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03" yWindow="3960" windowWidth="28995" windowHeight="15795" tabRatio="600" firstSheet="0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BG Formulas" sheetId="2" state="visible" r:id="rId2"/>
    <sheet xmlns:r="http://schemas.openxmlformats.org/officeDocument/2006/relationships" name="BBG Live" sheetId="3" state="visible" r:id="rId3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5">
    <numFmt numFmtId="164" formatCode="&quot;$&quot;#,##0_);\(&quot;$&quot;#,##0\)"/>
    <numFmt numFmtId="165" formatCode="#,##0\x"/>
    <numFmt numFmtId="166" formatCode="#,##0.0\x"/>
    <numFmt numFmtId="167" formatCode="#,##0%_);\(#,##0%\)"/>
    <numFmt numFmtId="168" formatCode="_(* #,##0.0_);_(* \(#,##0.0\);_(* &quot;-&quot;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Accounting"/>
      <scheme val="minor"/>
    </font>
    <font>
      <name val="Aptos Narrow"/>
      <family val="2"/>
      <color theme="1"/>
      <sz val="11"/>
      <u val="single"/>
      <scheme val="minor"/>
    </font>
    <font>
      <name val="Calibri"/>
      <family val="2"/>
      <color theme="1"/>
      <sz val="11"/>
    </font>
    <font>
      <name val="Aptos Narrow"/>
      <family val="2"/>
      <color rgb="FF0000FF"/>
      <sz val="11"/>
      <scheme val="minor"/>
    </font>
    <font>
      <name val="Aptos Narrow"/>
      <b val="1"/>
      <sz val="11"/>
    </font>
    <font>
      <name val="Aptos Narrow"/>
      <color rgb="FF0000FF"/>
      <sz val="11"/>
    </font>
    <font>
      <color rgb="000000FF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41" fontId="3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41" fontId="3" fillId="0" borderId="0" pivotButton="0" quotePrefix="0" xfId="0"/>
    <xf numFmtId="41" fontId="3" fillId="0" borderId="0" applyAlignment="1" pivotButton="0" quotePrefix="1" xfId="0">
      <alignment horizontal="centerContinuous"/>
    </xf>
    <xf numFmtId="0" fontId="0" fillId="0" borderId="0" applyAlignment="1" pivotButton="0" quotePrefix="0" xfId="0">
      <alignment horizontal="left"/>
    </xf>
    <xf numFmtId="41" fontId="4" fillId="0" borderId="0" applyAlignment="1" pivotButton="0" quotePrefix="1" xfId="0">
      <alignment horizontal="centerContinuous"/>
    </xf>
    <xf numFmtId="0" fontId="2" fillId="0" borderId="1" pivotButton="0" quotePrefix="0" xfId="0"/>
    <xf numFmtId="0" fontId="0" fillId="0" borderId="2" pivotButton="0" quotePrefix="0" xfId="0"/>
    <xf numFmtId="41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66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0" fontId="0" fillId="0" borderId="3" pivotButton="0" quotePrefix="0" xfId="0"/>
    <xf numFmtId="41" fontId="0" fillId="0" borderId="0" pivotButton="0" quotePrefix="0" xfId="0"/>
    <xf numFmtId="41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8" fontId="0" fillId="0" borderId="0" pivotButton="0" quotePrefix="0" xfId="0"/>
    <xf numFmtId="0" fontId="0" fillId="0" borderId="4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5" fillId="0" borderId="0" pivotButton="0" quotePrefix="0" xfId="0"/>
    <xf numFmtId="168" fontId="0" fillId="0" borderId="5" pivotButton="0" quotePrefix="0" xfId="0"/>
    <xf numFmtId="0" fontId="2" fillId="0" borderId="6" applyAlignment="1" pivotButton="0" quotePrefix="0" xfId="0">
      <alignment horizontal="left" indent="1"/>
    </xf>
    <xf numFmtId="0" fontId="2" fillId="0" borderId="7" pivotButton="0" quotePrefix="0" xfId="0"/>
    <xf numFmtId="41" fontId="2" fillId="0" borderId="7" pivotButton="0" quotePrefix="0" xfId="0"/>
    <xf numFmtId="164" fontId="2" fillId="0" borderId="7" pivotButton="0" quotePrefix="0" xfId="0"/>
    <xf numFmtId="165" fontId="2" fillId="0" borderId="7" pivotButton="0" quotePrefix="0" xfId="0"/>
    <xf numFmtId="166" fontId="2" fillId="0" borderId="7" pivotButton="0" quotePrefix="0" xfId="0"/>
    <xf numFmtId="167" fontId="2" fillId="0" borderId="7" applyAlignment="1" pivotButton="0" quotePrefix="0" xfId="0">
      <alignment horizontal="right"/>
    </xf>
    <xf numFmtId="167" fontId="5" fillId="0" borderId="7" pivotButton="0" quotePrefix="0" xfId="0"/>
    <xf numFmtId="168" fontId="2" fillId="0" borderId="8" pivotButton="0" quotePrefix="0" xfId="0"/>
    <xf numFmtId="166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4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applyAlignment="1" pivotButton="0" quotePrefix="0" xfId="0">
      <alignment horizontal="right"/>
    </xf>
    <xf numFmtId="168" fontId="2" fillId="0" borderId="0" pivotButton="0" quotePrefix="0" xfId="0"/>
    <xf numFmtId="168" fontId="0" fillId="0" borderId="0" applyAlignment="1" pivotButton="0" quotePrefix="0" xfId="0">
      <alignment horizontal="right"/>
    </xf>
    <xf numFmtId="166" fontId="0" fillId="0" borderId="2" pivotButton="0" quotePrefix="0" xfId="0"/>
    <xf numFmtId="167" fontId="0" fillId="0" borderId="2" pivotButton="0" quotePrefix="0" xfId="0"/>
    <xf numFmtId="0" fontId="4" fillId="0" borderId="0" applyAlignment="1" pivotButton="0" quotePrefix="0" xfId="0">
      <alignment horizontal="centerContinuous"/>
    </xf>
    <xf numFmtId="41" fontId="6" fillId="0" borderId="0" pivotButton="0" quotePrefix="0" xfId="0"/>
    <xf numFmtId="167" fontId="2" fillId="0" borderId="7" pivotButton="0" quotePrefix="0" xfId="0"/>
    <xf numFmtId="167" fontId="6" fillId="0" borderId="0" pivotButton="0" quotePrefix="0" xfId="0"/>
    <xf numFmtId="165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1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41" fontId="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8" fontId="8" fillId="0" borderId="0" pivotButton="0" quotePrefix="0" xfId="0"/>
    <xf numFmtId="167" fontId="8" fillId="0" borderId="0" applyAlignment="1" pivotButton="0" quotePrefix="0" xfId="0">
      <alignment horizontal="centerContinuous"/>
    </xf>
    <xf numFmtId="164" fontId="0" fillId="0" borderId="2" pivotButton="0" quotePrefix="0" xfId="0"/>
    <xf numFmtId="165" fontId="0" fillId="0" borderId="2" pivotButton="0" quotePrefix="0" xfId="0"/>
    <xf numFmtId="166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5" fillId="0" borderId="0" pivotButton="0" quotePrefix="0" xfId="0"/>
    <xf numFmtId="168" fontId="0" fillId="0" borderId="5" pivotButton="0" quotePrefix="0" xfId="0"/>
    <xf numFmtId="164" fontId="2" fillId="0" borderId="7" pivotButton="0" quotePrefix="0" xfId="0"/>
    <xf numFmtId="165" fontId="2" fillId="0" borderId="7" pivotButton="0" quotePrefix="0" xfId="0"/>
    <xf numFmtId="166" fontId="2" fillId="0" borderId="7" pivotButton="0" quotePrefix="0" xfId="0"/>
    <xf numFmtId="167" fontId="2" fillId="0" borderId="7" applyAlignment="1" pivotButton="0" quotePrefix="0" xfId="0">
      <alignment horizontal="right"/>
    </xf>
    <xf numFmtId="167" fontId="5" fillId="0" borderId="7" pivotButton="0" quotePrefix="0" xfId="0"/>
    <xf numFmtId="168" fontId="2" fillId="0" borderId="8" pivotButton="0" quotePrefix="0" xfId="0"/>
    <xf numFmtId="166" fontId="0" fillId="0" borderId="0" applyAlignment="1" pivotButton="0" quotePrefix="0" xfId="0">
      <alignment horizontal="right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applyAlignment="1" pivotButton="0" quotePrefix="0" xfId="0">
      <alignment horizontal="right"/>
    </xf>
    <xf numFmtId="168" fontId="2" fillId="0" borderId="0" pivotButton="0" quotePrefix="0" xfId="0"/>
    <xf numFmtId="168" fontId="0" fillId="0" borderId="0" applyAlignment="1" pivotButton="0" quotePrefix="0" xfId="0">
      <alignment horizontal="right"/>
    </xf>
    <xf numFmtId="166" fontId="0" fillId="0" borderId="2" pivotButton="0" quotePrefix="0" xfId="0"/>
    <xf numFmtId="167" fontId="0" fillId="0" borderId="2" pivotButton="0" quotePrefix="0" xfId="0"/>
    <xf numFmtId="167" fontId="2" fillId="0" borderId="7" pivotButton="0" quotePrefix="0" xfId="0"/>
    <xf numFmtId="167" fontId="6" fillId="0" borderId="0" pivotButton="0" quotePrefix="0" xfId="0"/>
    <xf numFmtId="165" fontId="1" fillId="0" borderId="0" pivotButton="0" quotePrefix="0" xfId="0"/>
    <xf numFmtId="41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167" fontId="9" fillId="0" borderId="0" applyAlignment="1" pivotButton="0" quotePrefix="0" xfId="0">
      <alignment horizontal="centerContinuous"/>
    </xf>
    <xf numFmtId="41" fontId="9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8" fontId="9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66"/>
  <sheetViews>
    <sheetView workbookViewId="0">
      <selection activeCell="C29" sqref="C29"/>
    </sheetView>
  </sheetViews>
  <sheetFormatPr baseColWidth="8" defaultRowHeight="14.25"/>
  <cols>
    <col width="9.53125" customWidth="1" min="1" max="1"/>
    <col hidden="1" outlineLevel="1" width="14.33203125" customWidth="1" min="2" max="2"/>
    <col collapsed="1" width="18.19921875" bestFit="1" customWidth="1" min="3" max="3"/>
    <col width="8.33203125" bestFit="1" customWidth="1" min="4" max="4"/>
    <col width="8.59765625" customWidth="1" min="5" max="15"/>
    <col width="3.6640625" customWidth="1" min="16" max="16"/>
    <col width="10" customWidth="1" min="17" max="17"/>
    <col width="3.3984375" customWidth="1" min="18" max="18"/>
    <col width="4.6640625" customWidth="1" min="19" max="19"/>
    <col width="7.59765625" customWidth="1" min="20" max="20"/>
    <col width="8.59765625" customWidth="1" min="21" max="34"/>
    <col width="5.19921875" bestFit="1" customWidth="1" min="36" max="40"/>
    <col width="22.73046875" bestFit="1" customWidth="1" min="41" max="41"/>
    <col width="10.19921875" bestFit="1" customWidth="1" min="42" max="46"/>
    <col width="6.1328125" bestFit="1" customWidth="1" min="47" max="47"/>
    <col width="10.19921875" bestFit="1" customWidth="1" min="48" max="50"/>
    <col width="8.796875" bestFit="1" customWidth="1" min="51" max="52"/>
    <col width="8.9296875" bestFit="1" customWidth="1" min="53" max="53"/>
    <col width="9.33203125" bestFit="1" customWidth="1" min="54" max="54"/>
    <col width="7.86328125" bestFit="1" customWidth="1" min="55" max="55"/>
    <col width="7" bestFit="1" customWidth="1" min="56" max="56"/>
    <col width="14.1328125" bestFit="1" customWidth="1" min="57" max="57"/>
    <col width="5" bestFit="1" customWidth="1" min="63" max="70"/>
  </cols>
  <sheetData>
    <row r="1" ht="15.4" customHeight="1">
      <c r="F1" s="1" t="inlineStr">
        <is>
          <t>PE</t>
        </is>
      </c>
      <c r="G1" s="1" t="n"/>
      <c r="H1" s="1" t="n"/>
      <c r="J1" s="1" t="inlineStr">
        <is>
          <t>2026 estimates</t>
        </is>
      </c>
      <c r="K1" s="1" t="n"/>
      <c r="L1" s="1" t="n"/>
      <c r="M1" s="1" t="inlineStr">
        <is>
          <t>Growth: 2025-2028</t>
        </is>
      </c>
      <c r="N1" s="1" t="n"/>
      <c r="O1" s="2" t="n"/>
      <c r="T1" s="2" t="inlineStr">
        <is>
          <t>Ratio: 2026 PE vs</t>
        </is>
      </c>
      <c r="AB1" s="1" t="inlineStr">
        <is>
          <t>LTM</t>
        </is>
      </c>
      <c r="AC1" s="1" t="n"/>
      <c r="AD1" s="1" t="n"/>
      <c r="AE1" s="1" t="n"/>
      <c r="AF1" s="1" t="n"/>
      <c r="AG1" s="1" t="n"/>
      <c r="AH1" s="2" t="inlineStr">
        <is>
          <t>BBG</t>
        </is>
      </c>
      <c r="AJ1" s="2" t="inlineStr">
        <is>
          <t>EPS</t>
        </is>
      </c>
      <c r="AP1" s="2" t="inlineStr">
        <is>
          <t>Rev</t>
        </is>
      </c>
      <c r="AQ1" s="2" t="n"/>
      <c r="AR1" s="2" t="n"/>
      <c r="AV1" s="2" t="inlineStr">
        <is>
          <t>EBIT</t>
        </is>
      </c>
      <c r="AW1" s="2" t="n"/>
      <c r="AX1" s="2" t="n"/>
      <c r="BB1" t="inlineStr">
        <is>
          <t>EV</t>
        </is>
      </c>
      <c r="BC1" t="inlineStr">
        <is>
          <t>Net Debt</t>
        </is>
      </c>
      <c r="BD1" t="inlineStr">
        <is>
          <t>Mkt cap</t>
        </is>
      </c>
      <c r="BE1" t="inlineStr">
        <is>
          <t>LTM EBITDA</t>
        </is>
      </c>
    </row>
    <row r="2" ht="15.4" customHeight="1">
      <c r="D2" s="2" t="inlineStr">
        <is>
          <t>Mkt cap</t>
        </is>
      </c>
      <c r="E2" s="3" t="inlineStr">
        <is>
          <t>Price</t>
        </is>
      </c>
      <c r="F2" s="4" t="n">
        <v>2026</v>
      </c>
      <c r="G2" s="4" t="n">
        <v>2027</v>
      </c>
      <c r="H2" s="4" t="n">
        <v>2028</v>
      </c>
      <c r="I2" s="3" t="inlineStr">
        <is>
          <t>Net levg</t>
        </is>
      </c>
      <c r="J2" s="1" t="inlineStr">
        <is>
          <t>Revenue</t>
        </is>
      </c>
      <c r="K2" s="1" t="inlineStr">
        <is>
          <t>Op margin</t>
        </is>
      </c>
      <c r="L2" s="1" t="inlineStr">
        <is>
          <t>ROIC</t>
        </is>
      </c>
      <c r="M2" s="1" t="inlineStr">
        <is>
          <t>Rev</t>
        </is>
      </c>
      <c r="N2" s="1" t="inlineStr">
        <is>
          <t>Op inc</t>
        </is>
      </c>
      <c r="O2" s="1" t="inlineStr">
        <is>
          <t>EPS</t>
        </is>
      </c>
      <c r="P2" s="5" t="n"/>
      <c r="Q2" s="1" t="inlineStr">
        <is>
          <t>YTD px chg</t>
        </is>
      </c>
      <c r="R2" s="5" t="n"/>
      <c r="S2" s="5" t="n"/>
      <c r="T2" s="6" t="inlineStr">
        <is>
          <t>25-'28 EPS gwth</t>
        </is>
      </c>
      <c r="AB2" s="1" t="inlineStr">
        <is>
          <t>Op inc</t>
        </is>
      </c>
      <c r="AC2" s="1" t="inlineStr">
        <is>
          <t>Debt</t>
        </is>
      </c>
      <c r="AD2" s="1" t="inlineStr">
        <is>
          <t>Equity</t>
        </is>
      </c>
      <c r="AE2" s="1" t="inlineStr">
        <is>
          <t>Cash</t>
        </is>
      </c>
      <c r="AF2" s="1" t="inlineStr">
        <is>
          <t>LTI</t>
        </is>
      </c>
      <c r="AG2" s="1" t="inlineStr">
        <is>
          <t>Total capital</t>
        </is>
      </c>
      <c r="AH2" s="1" t="inlineStr">
        <is>
          <t>ROIC</t>
        </is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P2" t="n">
        <v>2024</v>
      </c>
      <c r="AQ2" t="n">
        <v>2025</v>
      </c>
      <c r="AR2" t="n">
        <v>2026</v>
      </c>
      <c r="AS2" t="n">
        <v>2027</v>
      </c>
      <c r="AT2" t="n">
        <v>2028</v>
      </c>
      <c r="AV2" t="n">
        <v>2024</v>
      </c>
      <c r="AW2" t="n">
        <v>2025</v>
      </c>
      <c r="AX2" t="n">
        <v>2026</v>
      </c>
      <c r="AY2" t="n">
        <v>2027</v>
      </c>
      <c r="AZ2" t="n">
        <v>2028</v>
      </c>
    </row>
    <row r="3">
      <c r="A3" s="7" t="inlineStr">
        <is>
          <t>Large-cap technology</t>
        </is>
      </c>
      <c r="B3" s="8" t="n"/>
      <c r="C3" s="9" t="inlineStr">
        <is>
          <t xml:space="preserve"> </t>
        </is>
      </c>
      <c r="D3" s="9" t="n"/>
      <c r="E3" s="63" t="n"/>
      <c r="F3" s="64" t="n"/>
      <c r="G3" s="64" t="n"/>
      <c r="H3" s="64" t="n"/>
      <c r="I3" s="65" t="n"/>
      <c r="J3" s="66" t="n"/>
      <c r="K3" s="66" t="n"/>
      <c r="L3" s="66" t="n"/>
      <c r="M3" s="66" t="n"/>
      <c r="N3" s="66" t="n"/>
      <c r="O3" s="66" t="n"/>
      <c r="P3" s="8" t="n"/>
      <c r="Q3" s="8" t="n"/>
      <c r="R3" s="8" t="n"/>
      <c r="S3" s="8" t="n"/>
      <c r="T3" s="14" t="n"/>
      <c r="AB3" s="15" t="n"/>
      <c r="AC3" s="15" t="n"/>
      <c r="AD3" s="15" t="n"/>
      <c r="AE3" s="15" t="n"/>
      <c r="AF3" s="16" t="n"/>
      <c r="AG3" s="15" t="n"/>
      <c r="AH3" s="67" t="n"/>
      <c r="AJ3" s="15" t="n"/>
      <c r="AK3" s="15" t="n"/>
      <c r="AL3" s="15" t="n"/>
      <c r="AM3" s="15" t="n"/>
      <c r="AN3" s="15" t="n"/>
      <c r="AP3" s="15" t="n"/>
      <c r="AQ3" s="15" t="n"/>
      <c r="AR3" s="15" t="n"/>
      <c r="AS3" s="15" t="n"/>
      <c r="AT3" s="15" t="n"/>
      <c r="AV3" s="15" t="n"/>
      <c r="AW3" s="15" t="n"/>
      <c r="AX3" s="15" t="n"/>
      <c r="AY3" s="15" t="n"/>
      <c r="AZ3" s="15" t="n"/>
      <c r="BB3" s="68" t="n"/>
      <c r="BC3" s="68" t="n"/>
      <c r="BD3" s="15" t="n"/>
      <c r="BE3" s="16" t="n"/>
    </row>
    <row r="4">
      <c r="A4" s="19" t="inlineStr">
        <is>
          <t>META</t>
        </is>
      </c>
      <c r="B4">
        <f>A4&amp;" US Equity"</f>
        <v/>
      </c>
      <c r="C4" s="15">
        <f t="array" ref="C4">_xll.BDP($B4,"short_name")</f>
        <v/>
      </c>
      <c r="D4" s="15" t="n">
        <v>1453.58873458378</v>
      </c>
      <c r="E4" s="69" t="n">
        <v>574.46</v>
      </c>
      <c r="F4" s="70" t="n">
        <v>17.70074567079559</v>
      </c>
      <c r="G4" s="70" t="n">
        <v>15.15405719109423</v>
      </c>
      <c r="H4" s="70" t="n">
        <v>11.88103658662696</v>
      </c>
      <c r="I4" s="71" t="n">
        <v>0.03424213873513132</v>
      </c>
      <c r="J4" s="15" t="n">
        <v>250.3752835820895</v>
      </c>
      <c r="K4" s="72" t="n">
        <v>0.3484509633848329</v>
      </c>
      <c r="L4" s="72" t="n">
        <v>0.2202716638694619</v>
      </c>
      <c r="M4" s="72" t="n">
        <v>0.2005038584234304</v>
      </c>
      <c r="N4" s="72" t="n">
        <v>0.1369063160067727</v>
      </c>
      <c r="O4" s="72" t="n">
        <v>0.1677599964240308</v>
      </c>
      <c r="Q4" s="73" t="n">
        <v>-0.1297248</v>
      </c>
      <c r="T4" s="74" t="n">
        <v>1.055123154989531</v>
      </c>
      <c r="AB4" s="15" t="n">
        <v>83276</v>
      </c>
      <c r="AC4" s="15" t="n">
        <v>85081</v>
      </c>
      <c r="AD4" s="15" t="n">
        <v>217243</v>
      </c>
      <c r="AE4" s="15" t="n">
        <v>35873</v>
      </c>
      <c r="AF4" s="16" t="n">
        <v>27524</v>
      </c>
      <c r="AG4" s="15" t="n">
        <v>302324</v>
      </c>
      <c r="AH4" s="67" t="n">
        <v>0.2202716638694619</v>
      </c>
      <c r="AJ4" s="15" t="n">
        <v>24.014</v>
      </c>
      <c r="AK4" s="15" t="n">
        <v>30.363</v>
      </c>
      <c r="AL4" s="15" t="n">
        <v>32.454</v>
      </c>
      <c r="AM4" s="15" t="n">
        <v>37.908</v>
      </c>
      <c r="AN4" s="15" t="n">
        <v>48.351</v>
      </c>
      <c r="AP4" s="15" t="n">
        <v>163055.2535211268</v>
      </c>
      <c r="AQ4" s="15" t="n">
        <v>199441.5362318841</v>
      </c>
      <c r="AR4" s="15" t="n">
        <v>250375.2835820895</v>
      </c>
      <c r="AS4" s="15" t="n">
        <v>296791.2380952381</v>
      </c>
      <c r="AT4" s="15" t="n">
        <v>345069.275</v>
      </c>
      <c r="AV4" s="15" t="n">
        <v>66172.15789473684</v>
      </c>
      <c r="AW4" s="15" t="n">
        <v>82409.76785714286</v>
      </c>
      <c r="AX4" s="15" t="n">
        <v>87243.50877192983</v>
      </c>
      <c r="AY4" s="15" t="n">
        <v>102821.5384615385</v>
      </c>
      <c r="AZ4" s="15" t="n">
        <v>121102.3939393939</v>
      </c>
      <c r="BB4" s="68" t="n">
        <v>50661.58873458378</v>
      </c>
      <c r="BC4" s="68" t="n">
        <v>49208</v>
      </c>
      <c r="BD4" s="15" t="n">
        <v>1453.58873458378</v>
      </c>
      <c r="BE4" s="16" t="n">
        <v>104690</v>
      </c>
    </row>
    <row r="5">
      <c r="A5" s="19" t="inlineStr">
        <is>
          <t>TSM</t>
        </is>
      </c>
      <c r="B5">
        <f>A5&amp;" US Equity"</f>
        <v/>
      </c>
      <c r="C5" s="15">
        <f t="array" ref="C5">_xll.BDP($B5,"short_name")</f>
        <v/>
      </c>
      <c r="D5" s="15" t="n">
        <v>1758.43262265216</v>
      </c>
      <c r="E5" s="69" t="n">
        <v>339.04</v>
      </c>
      <c r="F5" s="70" t="n">
        <v>0.7493391564188024</v>
      </c>
      <c r="G5" s="70" t="n">
        <v>0.5601411587441101</v>
      </c>
      <c r="H5" s="70" t="n">
        <v>0.4429116371427079</v>
      </c>
      <c r="I5" s="71" t="n">
        <v>-0.763631216250258</v>
      </c>
      <c r="J5" s="15" t="n">
        <v>5029.845</v>
      </c>
      <c r="K5" s="72" t="n">
        <v>0.5431366696001093</v>
      </c>
      <c r="L5" s="72" t="n">
        <v>0.2683910127032517</v>
      </c>
      <c r="M5" s="72" t="n">
        <v>0.2516117510079781</v>
      </c>
      <c r="N5" s="72" t="n">
        <v>0.2787078209098977</v>
      </c>
      <c r="O5" s="72" t="n">
        <v>0.3323382377114008</v>
      </c>
      <c r="Q5" s="73" t="n">
        <v>0.1156668</v>
      </c>
      <c r="T5" s="74" t="n">
        <v>0.02254748540459919</v>
      </c>
      <c r="AB5" s="15" t="n">
        <v>1936091.677</v>
      </c>
      <c r="AC5" s="15" t="n">
        <v>1064582.701</v>
      </c>
      <c r="AD5" s="15" t="n">
        <v>5460795.282999999</v>
      </c>
      <c r="AE5" s="15" t="n">
        <v>2767856.402</v>
      </c>
      <c r="AF5" s="16" t="n">
        <v>134337.102</v>
      </c>
      <c r="AG5" s="15" t="n">
        <v>6525377.983999999</v>
      </c>
      <c r="AH5" s="67" t="n">
        <v>0.2683910127032517</v>
      </c>
      <c r="AJ5" s="15" t="n">
        <v>224.592</v>
      </c>
      <c r="AK5" s="15" t="n">
        <v>323.661</v>
      </c>
      <c r="AL5" s="15" t="n">
        <v>452.452</v>
      </c>
      <c r="AM5" s="15" t="n">
        <v>605.2760000000001</v>
      </c>
      <c r="AN5" s="15" t="n">
        <v>765.48</v>
      </c>
      <c r="AP5" s="15" t="n">
        <v>2878185.023809524</v>
      </c>
      <c r="AQ5" s="15" t="n">
        <v>3794835.354166667</v>
      </c>
      <c r="AR5" s="15" t="n">
        <v>5029845</v>
      </c>
      <c r="AS5" s="15" t="n">
        <v>6247522.80952381</v>
      </c>
      <c r="AT5" s="15" t="n">
        <v>7440495.08</v>
      </c>
      <c r="AV5" s="15" t="n">
        <v>1309263.972222222</v>
      </c>
      <c r="AW5" s="15" t="n">
        <v>1894338.5</v>
      </c>
      <c r="AX5" s="15" t="n">
        <v>2731893.261904762</v>
      </c>
      <c r="AY5" s="15" t="n">
        <v>3374501.685714286</v>
      </c>
      <c r="AZ5" s="15" t="n">
        <v>3960696.368421053</v>
      </c>
      <c r="BB5" s="68" t="n">
        <v>-1701515.268377347</v>
      </c>
      <c r="BC5" s="68" t="n">
        <v>-1703273.701</v>
      </c>
      <c r="BD5" s="15" t="n">
        <v>1758.43262265216</v>
      </c>
      <c r="BE5" s="16" t="n">
        <v>2624188.047</v>
      </c>
    </row>
    <row r="6">
      <c r="A6" s="19" t="inlineStr">
        <is>
          <t>AMZN</t>
        </is>
      </c>
      <c r="B6">
        <f>A6&amp;" US Equity"</f>
        <v/>
      </c>
      <c r="C6" s="15">
        <f t="array" ref="C6">_xll.BDP($B6,"short_name")</f>
        <v/>
      </c>
      <c r="D6" s="15" t="n">
        <v>2251.8643508999</v>
      </c>
      <c r="E6" s="69" t="n">
        <v>209.77</v>
      </c>
      <c r="F6" s="70" t="n">
        <v>22.92568306010929</v>
      </c>
      <c r="G6" s="70" t="n">
        <v>19.35326137097518</v>
      </c>
      <c r="H6" s="70" t="n">
        <v>16.33468307117272</v>
      </c>
      <c r="I6" s="71" t="n">
        <v>0.293638918973062</v>
      </c>
      <c r="J6" s="15" t="n">
        <v>806.3694923076923</v>
      </c>
      <c r="K6" s="72" t="n">
        <v>0.1224382991082155</v>
      </c>
      <c r="L6" s="72" t="n">
        <v>0.1243529318244537</v>
      </c>
      <c r="M6" s="72" t="n">
        <v>0.1220442954673817</v>
      </c>
      <c r="N6" s="72" t="n">
        <v>0.2292467983952202</v>
      </c>
      <c r="O6" s="72" t="n">
        <v>0.1361240988492514</v>
      </c>
      <c r="Q6" s="73" t="n">
        <v>-0.09119662999999999</v>
      </c>
      <c r="T6" s="74" t="n">
        <v>1.68417519409976</v>
      </c>
      <c r="AB6" s="15" t="n">
        <v>79975</v>
      </c>
      <c r="AC6" s="15" t="n">
        <v>169934</v>
      </c>
      <c r="AD6" s="15" t="n">
        <v>411065</v>
      </c>
      <c r="AE6" s="15" t="n">
        <v>86810</v>
      </c>
      <c r="AF6" s="16">
        <f>IF(ISNUMBER(_xlfn.SINGLE(_xll.BDP($B6,"BS_LONG_TERM_INVESTMENTS"))),_xlfn.SINGLE(_xll.BDP($B6,"BS_LONG_TERM_INVESTMENTS")),0)</f>
        <v/>
      </c>
      <c r="AG6" s="15" t="n">
        <v>580999</v>
      </c>
      <c r="AH6" s="67" t="n">
        <v>0.1243529318244537</v>
      </c>
      <c r="AJ6" s="15" t="n">
        <v>6.796</v>
      </c>
      <c r="AK6" s="15" t="n">
        <v>8.757</v>
      </c>
      <c r="AL6" s="15" t="n">
        <v>9.15</v>
      </c>
      <c r="AM6" s="15" t="n">
        <v>10.839</v>
      </c>
      <c r="AN6" s="15" t="n">
        <v>12.842</v>
      </c>
      <c r="AP6" s="15" t="n">
        <v>637832.4794520548</v>
      </c>
      <c r="AQ6" s="15" t="n">
        <v>714794.2753623188</v>
      </c>
      <c r="AR6" s="15" t="n">
        <v>806369.4923076923</v>
      </c>
      <c r="AS6" s="15" t="n">
        <v>901666.6825396825</v>
      </c>
      <c r="AT6" s="15" t="n">
        <v>1009743.513513514</v>
      </c>
      <c r="AV6" s="15" t="n">
        <v>66203.95081967213</v>
      </c>
      <c r="AW6" s="15" t="n">
        <v>80096.60655737705</v>
      </c>
      <c r="AX6" s="15" t="n">
        <v>98730.50909090909</v>
      </c>
      <c r="AY6" s="15" t="n">
        <v>121635.6603773585</v>
      </c>
      <c r="AZ6" s="15" t="n">
        <v>148775.4848484849</v>
      </c>
      <c r="BB6" s="68" t="n">
        <v>85375.86435089989</v>
      </c>
      <c r="BC6" s="68" t="n">
        <v>83124</v>
      </c>
      <c r="BD6" s="15" t="n">
        <v>2251.8643508999</v>
      </c>
      <c r="BE6" s="16" t="n">
        <v>159737</v>
      </c>
    </row>
    <row r="7">
      <c r="A7" s="19" t="inlineStr">
        <is>
          <t>NVDA</t>
        </is>
      </c>
      <c r="B7">
        <f>A7&amp;" US Equity"</f>
        <v/>
      </c>
      <c r="C7" s="15">
        <f t="array" ref="C7">_xll.BDP($B7,"short_name")</f>
        <v/>
      </c>
      <c r="D7" s="15" t="n">
        <v>4310.577</v>
      </c>
      <c r="E7" s="69" t="n">
        <v>177.39</v>
      </c>
      <c r="F7" s="70" t="n">
        <v>37.8391638225256</v>
      </c>
      <c r="G7" s="70" t="n">
        <v>21.20114736464682</v>
      </c>
      <c r="H7" s="70" t="n">
        <v>15.94086987778576</v>
      </c>
      <c r="I7" s="71" t="n">
        <v>-0.3825537994330209</v>
      </c>
      <c r="J7" s="15" t="n">
        <v>213.7625373134328</v>
      </c>
      <c r="K7" s="72" t="n">
        <v>0.634749080822908</v>
      </c>
      <c r="L7" s="72" t="n">
        <v>0.9212258247945241</v>
      </c>
      <c r="M7" s="72" t="n">
        <v>0.5466261185716828</v>
      </c>
      <c r="N7" s="72" t="n">
        <v>0.5536841449287351</v>
      </c>
      <c r="O7" s="72" t="n">
        <v>0.5646732581179688</v>
      </c>
      <c r="Q7" s="73" t="n">
        <v>-0.04884718</v>
      </c>
      <c r="T7" s="74" t="n">
        <v>0.6701072395147926</v>
      </c>
      <c r="AB7" s="15" t="n">
        <v>130387</v>
      </c>
      <c r="AC7" s="15" t="n">
        <v>11412</v>
      </c>
      <c r="AD7" s="15" t="n">
        <v>157293</v>
      </c>
      <c r="AE7" s="15" t="n">
        <v>10605</v>
      </c>
      <c r="AF7" s="16">
        <f>IF(ISNUMBER(_xlfn.SINGLE(_xll.BDP($B7,"BS_LONG_TERM_INVESTMENTS"))),_xlfn.SINGLE(_xll.BDP($B7,"BS_LONG_TERM_INVESTMENTS")),0)</f>
        <v/>
      </c>
      <c r="AG7" s="15" t="n">
        <v>168705</v>
      </c>
      <c r="AH7" s="67" t="n">
        <v>0.9212258247945241</v>
      </c>
      <c r="AJ7" s="15" t="n">
        <v>1.241</v>
      </c>
      <c r="AK7" s="15" t="n">
        <v>2.905</v>
      </c>
      <c r="AL7" s="15" t="n">
        <v>4.688</v>
      </c>
      <c r="AM7" s="15" t="n">
        <v>8.367000000000001</v>
      </c>
      <c r="AN7" s="15" t="n">
        <v>11.128</v>
      </c>
      <c r="AP7" s="15" t="n">
        <v>59315.83333333334</v>
      </c>
      <c r="AQ7" s="15" t="n">
        <v>129608.5166666667</v>
      </c>
      <c r="AR7" s="15" t="n">
        <v>213762.5373134328</v>
      </c>
      <c r="AS7" s="15" t="n">
        <v>366102.7846153846</v>
      </c>
      <c r="AT7" s="15" t="n">
        <v>479501.0476190476</v>
      </c>
      <c r="AV7" s="15" t="n">
        <v>35621.57142857143</v>
      </c>
      <c r="AW7" s="15" t="n">
        <v>85879.85365853659</v>
      </c>
      <c r="AX7" s="15" t="n">
        <v>135685.5740740741</v>
      </c>
      <c r="AY7" s="15" t="n">
        <v>243682.3584905661</v>
      </c>
      <c r="AZ7" s="15" t="n">
        <v>322091.6730769231</v>
      </c>
      <c r="BB7" s="68" t="n">
        <v>5117.577</v>
      </c>
      <c r="BC7" s="68" t="n">
        <v>807</v>
      </c>
      <c r="BD7" s="15" t="n">
        <v>4310.577</v>
      </c>
      <c r="BE7" s="16" t="n">
        <v>133692</v>
      </c>
    </row>
    <row r="8">
      <c r="A8" s="19" t="inlineStr">
        <is>
          <t>AVGO</t>
        </is>
      </c>
      <c r="B8">
        <f>A8&amp;" US Equity"</f>
        <v/>
      </c>
      <c r="C8" s="15">
        <f t="array" ref="C8">_xll.BDP($B8,"short_name")</f>
        <v/>
      </c>
      <c r="D8" s="15" t="n">
        <v>1489.2898772772</v>
      </c>
      <c r="E8" s="69" t="n">
        <v>314.55</v>
      </c>
      <c r="F8" s="70" t="n">
        <v>28.09736489504243</v>
      </c>
      <c r="G8" s="70" t="n">
        <v>18.07550856223423</v>
      </c>
      <c r="H8" s="70" t="n">
        <v>14.21823441667043</v>
      </c>
      <c r="I8" s="71" t="n">
        <v>1.419857146766646</v>
      </c>
      <c r="J8" s="15" t="n">
        <v>103.7797555555556</v>
      </c>
      <c r="K8" s="72" t="n">
        <v>0.6590145453218063</v>
      </c>
      <c r="L8" s="72" t="n">
        <v>0.1900357389159896</v>
      </c>
      <c r="M8" s="72" t="n">
        <v>0.4457558360536007</v>
      </c>
      <c r="N8" s="72" t="n">
        <v>0.4636467831871205</v>
      </c>
      <c r="O8" s="72" t="n">
        <v>0.4854847478580779</v>
      </c>
      <c r="Q8" s="73" t="n">
        <v>-0.09115864</v>
      </c>
      <c r="T8" s="74" t="n">
        <v>0.5787486634545346</v>
      </c>
      <c r="AB8" s="15" t="n">
        <v>27787</v>
      </c>
      <c r="AC8" s="15" t="n">
        <v>66461</v>
      </c>
      <c r="AD8" s="15" t="n">
        <v>81292</v>
      </c>
      <c r="AE8" s="15" t="n">
        <v>16178</v>
      </c>
      <c r="AF8" s="16">
        <f>IF(ISNUMBER(_xlfn.SINGLE(_xll.BDP($B8,"BS_LONG_TERM_INVESTMENTS"))),_xlfn.SINGLE(_xll.BDP($B8,"BS_LONG_TERM_INVESTMENTS")),0)</f>
        <v/>
      </c>
      <c r="AG8" s="15" t="n">
        <v>147753</v>
      </c>
      <c r="AH8" s="67" t="n">
        <v>0.1900357389159896</v>
      </c>
      <c r="AJ8" s="15" t="n">
        <v>4.73</v>
      </c>
      <c r="AK8" s="15" t="n">
        <v>6.749000000000001</v>
      </c>
      <c r="AL8" s="15" t="n">
        <v>11.195</v>
      </c>
      <c r="AM8" s="15" t="n">
        <v>17.402</v>
      </c>
      <c r="AN8" s="15" t="n">
        <v>22.123</v>
      </c>
      <c r="AP8" s="15" t="n">
        <v>51577.78048780488</v>
      </c>
      <c r="AQ8" s="15" t="n">
        <v>63377.95918367347</v>
      </c>
      <c r="AR8" s="15" t="n">
        <v>103779.7555555556</v>
      </c>
      <c r="AS8" s="15" t="n">
        <v>157222.3111111111</v>
      </c>
      <c r="AT8" s="15" t="n">
        <v>191523.96</v>
      </c>
      <c r="AV8" s="15" t="n">
        <v>30632.53125</v>
      </c>
      <c r="AW8" s="15" t="n">
        <v>41515</v>
      </c>
      <c r="AX8" s="15" t="n">
        <v>68392.36842105264</v>
      </c>
      <c r="AY8" s="15" t="n">
        <v>104888.4102564103</v>
      </c>
      <c r="AZ8" s="15" t="n">
        <v>130170.8947368421</v>
      </c>
      <c r="BB8" s="68" t="n">
        <v>51772.2898772772</v>
      </c>
      <c r="BC8" s="68" t="n">
        <v>50283</v>
      </c>
      <c r="BD8" s="15" t="n">
        <v>1489.2898772772</v>
      </c>
      <c r="BE8" s="16" t="n">
        <v>36541</v>
      </c>
      <c r="BW8" s="15" t="n"/>
      <c r="BX8" s="15" t="n"/>
      <c r="BY8" s="15" t="n"/>
      <c r="BZ8" s="15" t="n"/>
      <c r="CA8" s="15" t="n"/>
    </row>
    <row r="9">
      <c r="A9" s="26" t="inlineStr">
        <is>
          <t>Average</t>
        </is>
      </c>
      <c r="B9" s="27" t="n"/>
      <c r="C9" s="28" t="n"/>
      <c r="D9" s="28" t="n"/>
      <c r="E9" s="75" t="n"/>
      <c r="F9" s="76">
        <f>AVERAGE(F4:F8)</f>
        <v/>
      </c>
      <c r="G9" s="76">
        <f>AVERAGE(G4:G8)</f>
        <v/>
      </c>
      <c r="H9" s="76">
        <f>AVERAGE(H4:H8)</f>
        <v/>
      </c>
      <c r="I9" s="77">
        <f>AVERAGE(I4:I8)</f>
        <v/>
      </c>
      <c r="J9" s="78" t="n"/>
      <c r="K9" s="78">
        <f>AVERAGE(K4:K8)</f>
        <v/>
      </c>
      <c r="L9" s="78">
        <f>AVERAGE(L4:L8)</f>
        <v/>
      </c>
      <c r="M9" s="78">
        <f>AVERAGE(M4:M8)</f>
        <v/>
      </c>
      <c r="N9" s="78">
        <f>AVERAGE(N4:N8)</f>
        <v/>
      </c>
      <c r="O9" s="78">
        <f>AVERAGE(O4:O8)</f>
        <v/>
      </c>
      <c r="P9" s="27" t="n"/>
      <c r="Q9" s="79" t="n"/>
      <c r="R9" s="27" t="n"/>
      <c r="S9" s="27" t="n"/>
      <c r="T9" s="80">
        <f>F9/O9/100</f>
        <v/>
      </c>
      <c r="AB9" s="15" t="n"/>
      <c r="AC9" s="15" t="n"/>
      <c r="AD9" s="15" t="n"/>
      <c r="AE9" s="15" t="n"/>
      <c r="AF9" s="16" t="n"/>
      <c r="AG9" s="15" t="n"/>
      <c r="AH9" s="67" t="n"/>
      <c r="AJ9" s="15" t="n"/>
      <c r="AK9" s="15" t="n"/>
      <c r="AL9" s="15" t="n"/>
      <c r="AM9" s="15" t="n"/>
      <c r="AN9" s="15" t="n"/>
      <c r="AP9" s="15" t="n"/>
      <c r="AQ9" s="15" t="n"/>
      <c r="AR9" s="15" t="n"/>
      <c r="AS9" s="15" t="n"/>
      <c r="AT9" s="15" t="n"/>
      <c r="AV9" s="15" t="n"/>
      <c r="AW9" s="15" t="n"/>
      <c r="AX9" s="15" t="n"/>
      <c r="AY9" s="15" t="n"/>
      <c r="AZ9" s="15" t="n"/>
      <c r="BB9" s="68" t="n"/>
      <c r="BC9" s="68" t="n"/>
      <c r="BD9" s="15" t="n"/>
      <c r="BE9" s="16" t="n"/>
    </row>
    <row r="10">
      <c r="C10" s="15" t="n"/>
      <c r="D10" s="15" t="n"/>
      <c r="E10" s="69" t="n"/>
      <c r="F10" s="70" t="n"/>
      <c r="G10" s="70" t="n"/>
      <c r="H10" s="70" t="n"/>
      <c r="I10" s="81" t="n"/>
      <c r="J10" s="67" t="n"/>
      <c r="K10" s="67" t="n"/>
      <c r="L10" s="67" t="n"/>
      <c r="M10" s="67" t="n"/>
      <c r="N10" s="67" t="n"/>
      <c r="O10" s="67" t="n"/>
      <c r="AB10" s="15" t="n"/>
      <c r="AC10" s="15" t="n"/>
      <c r="AD10" s="15" t="n"/>
      <c r="AE10" s="15" t="n"/>
      <c r="AF10" s="16" t="n"/>
      <c r="AG10" s="15" t="n"/>
      <c r="AH10" s="67" t="n"/>
      <c r="AJ10" s="15" t="n"/>
      <c r="AK10" s="15" t="n"/>
      <c r="AL10" s="15" t="n"/>
      <c r="AM10" s="15" t="n"/>
      <c r="AN10" s="15" t="n"/>
      <c r="AP10" s="15" t="n"/>
      <c r="AQ10" s="15" t="n"/>
      <c r="AR10" s="15" t="n"/>
      <c r="AS10" s="15" t="n"/>
      <c r="AT10" s="15" t="n"/>
      <c r="AV10" s="15" t="n"/>
      <c r="AW10" s="15" t="n"/>
      <c r="AX10" s="15" t="n"/>
      <c r="AY10" s="15" t="n"/>
      <c r="AZ10" s="15" t="n"/>
      <c r="BB10" s="68" t="n"/>
      <c r="BC10" s="68" t="n"/>
      <c r="BD10" s="15" t="n"/>
      <c r="BE10" s="16" t="n"/>
    </row>
    <row r="11">
      <c r="A11" s="36" t="inlineStr">
        <is>
          <t>Acknowledged compounders</t>
        </is>
      </c>
      <c r="C11" s="15" t="n"/>
      <c r="D11" s="15" t="n"/>
      <c r="E11" s="69" t="n"/>
      <c r="F11" s="70" t="n"/>
      <c r="G11" s="70" t="n"/>
      <c r="H11" s="70" t="n"/>
      <c r="I11" s="81" t="n"/>
      <c r="J11" s="67" t="n"/>
      <c r="K11" s="67" t="n"/>
      <c r="L11" s="67" t="n"/>
      <c r="M11" s="67" t="n"/>
      <c r="N11" s="67" t="n"/>
      <c r="O11" s="67" t="n"/>
      <c r="AB11" s="15" t="n"/>
      <c r="AC11" s="15" t="n"/>
      <c r="AD11" s="15" t="n"/>
      <c r="AE11" s="15" t="n"/>
      <c r="AF11" s="16" t="n"/>
      <c r="AG11" s="15" t="n"/>
      <c r="AH11" s="67" t="n"/>
      <c r="AJ11" s="15" t="n"/>
      <c r="AK11" s="15" t="n"/>
      <c r="AL11" s="15" t="n"/>
      <c r="AM11" s="15" t="n"/>
      <c r="AN11" s="15" t="n"/>
      <c r="AP11" s="15" t="n"/>
      <c r="AQ11" s="15" t="n"/>
      <c r="AR11" s="15" t="n"/>
      <c r="AS11" s="15" t="n"/>
      <c r="AT11" s="15" t="n"/>
      <c r="AV11" s="15" t="n"/>
      <c r="AW11" s="15" t="n"/>
      <c r="AX11" s="15" t="n"/>
      <c r="AY11" s="15" t="n"/>
      <c r="AZ11" s="15" t="n"/>
      <c r="BB11" s="68" t="n"/>
      <c r="BC11" s="68" t="n"/>
      <c r="BD11" s="15" t="n"/>
      <c r="BE11" s="16" t="n"/>
    </row>
    <row r="12">
      <c r="A12" t="inlineStr">
        <is>
          <t>TDG</t>
        </is>
      </c>
      <c r="B12">
        <f>A12&amp;" US Equity"</f>
        <v/>
      </c>
      <c r="C12" s="15">
        <f t="array" ref="C12">_xll.BDP($B12,"short_name")</f>
        <v/>
      </c>
      <c r="D12" s="15" t="n">
        <v>65.904648021</v>
      </c>
      <c r="E12" s="69" t="n">
        <v>1167</v>
      </c>
      <c r="F12" s="70" t="n">
        <v>29.88476312419974</v>
      </c>
      <c r="G12" s="70" t="n">
        <v>25.48146207257959</v>
      </c>
      <c r="H12" s="70" t="n">
        <v>22.09306728257166</v>
      </c>
      <c r="I12" s="71" t="n">
        <v>5.947266047114761</v>
      </c>
      <c r="J12" s="15" t="n">
        <v>10.03504545454545</v>
      </c>
      <c r="K12" s="72" t="n">
        <v>0.4700995735000362</v>
      </c>
      <c r="L12" s="72" t="n">
        <v>0.1664549926042306</v>
      </c>
      <c r="M12" s="72" t="n">
        <v>0.1005527773427295</v>
      </c>
      <c r="N12" s="72" t="n">
        <v>0.109033715314744</v>
      </c>
      <c r="O12" s="72" t="n">
        <v>0.1299207404641014</v>
      </c>
      <c r="Q12" s="73" t="n">
        <v>-0.1224574</v>
      </c>
      <c r="T12" s="68" t="n">
        <v>2.300230357173591</v>
      </c>
      <c r="AB12" s="15" t="n">
        <v>4233</v>
      </c>
      <c r="AC12" s="15" t="n">
        <v>30365</v>
      </c>
      <c r="AD12" s="15" t="n">
        <v>-9679</v>
      </c>
      <c r="AE12" s="15" t="n">
        <v>2808</v>
      </c>
      <c r="AF12" s="16">
        <f>IF(ISNUMBER(_xlfn.SINGLE(_xll.BDP($B12,"BS_LONG_TERM_INVESTMENTS"))),_xlfn.SINGLE(_xll.BDP($B12,"BS_LONG_TERM_INVESTMENTS")),0)</f>
        <v/>
      </c>
      <c r="AG12" s="15" t="n">
        <v>20686</v>
      </c>
      <c r="AH12" s="67" t="n">
        <v>0.1664549926042306</v>
      </c>
      <c r="AJ12" s="15" t="n">
        <v>33.469</v>
      </c>
      <c r="AK12" s="15" t="n">
        <v>36.616</v>
      </c>
      <c r="AL12" s="15" t="n">
        <v>39.05</v>
      </c>
      <c r="AM12" s="15" t="n">
        <v>45.798</v>
      </c>
      <c r="AN12" s="15" t="n">
        <v>52.822</v>
      </c>
      <c r="AP12" s="15" t="n">
        <v>7926.863636363636</v>
      </c>
      <c r="AQ12" s="15" t="n">
        <v>8777.40909090909</v>
      </c>
      <c r="AR12" s="15" t="n">
        <v>10035.04545454545</v>
      </c>
      <c r="AS12" s="15" t="n">
        <v>10880.71428571428</v>
      </c>
      <c r="AT12" s="15" t="n">
        <v>11700.35294117647</v>
      </c>
      <c r="AV12" s="15" t="n">
        <v>3594.235294117647</v>
      </c>
      <c r="AW12" s="15" t="n">
        <v>4200.6875</v>
      </c>
      <c r="AX12" s="15" t="n">
        <v>4717.470588235295</v>
      </c>
      <c r="AY12" s="15" t="n">
        <v>5229.3125</v>
      </c>
      <c r="AZ12" s="15" t="n">
        <v>5730</v>
      </c>
      <c r="BB12" s="68" t="n">
        <v>27622.904648021</v>
      </c>
      <c r="BC12" s="68" t="n">
        <v>27557</v>
      </c>
      <c r="BD12" s="15" t="n">
        <v>65.904648021</v>
      </c>
      <c r="BE12" s="16" t="n">
        <v>4627</v>
      </c>
    </row>
    <row r="13">
      <c r="A13" t="inlineStr">
        <is>
          <t>MSFT</t>
        </is>
      </c>
      <c r="B13">
        <f>A13&amp;" US Equity"</f>
        <v/>
      </c>
      <c r="C13" s="15">
        <f t="array" ref="C13">_xll.BDP($B13,"short_name")</f>
        <v/>
      </c>
      <c r="D13" s="15" t="n">
        <v>2773.175434722959</v>
      </c>
      <c r="E13" s="69" t="n">
        <v>373.46</v>
      </c>
      <c r="F13" s="70" t="n">
        <v>22.08907553084521</v>
      </c>
      <c r="G13" s="70" t="n">
        <v>19.6495843417868</v>
      </c>
      <c r="H13" s="70" t="n">
        <v>16.68423874195854</v>
      </c>
      <c r="I13" s="71" t="n">
        <v>0.1768341787376458</v>
      </c>
      <c r="J13" s="15" t="n">
        <v>327.6395</v>
      </c>
      <c r="K13" s="72" t="n">
        <v>0.4642673625451518</v>
      </c>
      <c r="L13" s="72" t="n">
        <v>0.2501201509478164</v>
      </c>
      <c r="M13" s="72" t="n">
        <v>0.1650023134089147</v>
      </c>
      <c r="N13" s="72" t="n">
        <v>0.176796960442047</v>
      </c>
      <c r="O13" s="72" t="n">
        <v>0.1864679956584772</v>
      </c>
      <c r="Q13" s="73" t="n">
        <v>-0.2277821</v>
      </c>
      <c r="T13" s="68" t="n">
        <v>1.184604116799869</v>
      </c>
      <c r="AB13" s="15" t="n">
        <v>142559</v>
      </c>
      <c r="AC13" s="15" t="n">
        <v>112184</v>
      </c>
      <c r="AD13" s="15" t="n">
        <v>343479</v>
      </c>
      <c r="AE13" s="15" t="n">
        <v>30242</v>
      </c>
      <c r="AF13" s="16" t="n">
        <v>15405</v>
      </c>
      <c r="AG13" s="15" t="n">
        <v>455663</v>
      </c>
      <c r="AH13" s="67" t="n">
        <v>0.2501201509478164</v>
      </c>
      <c r="AJ13" s="15" t="n">
        <v>11.818</v>
      </c>
      <c r="AK13" s="15" t="n">
        <v>13.402</v>
      </c>
      <c r="AL13" s="15" t="n">
        <v>16.907</v>
      </c>
      <c r="AM13" s="15" t="n">
        <v>19.006</v>
      </c>
      <c r="AN13" s="15" t="n">
        <v>22.384</v>
      </c>
      <c r="AP13" s="15" t="n">
        <v>244963.9245283019</v>
      </c>
      <c r="AQ13" s="15" t="n">
        <v>279004.8615384615</v>
      </c>
      <c r="AR13" s="15" t="n">
        <v>327639.5</v>
      </c>
      <c r="AS13" s="15" t="n">
        <v>378442</v>
      </c>
      <c r="AT13" s="15" t="n">
        <v>441155.9428571429</v>
      </c>
      <c r="AV13" s="15" t="n">
        <v>108635.9230769231</v>
      </c>
      <c r="AW13" s="15" t="n">
        <v>125768.649122807</v>
      </c>
      <c r="AX13" s="15" t="n">
        <v>152112.3265306122</v>
      </c>
      <c r="AY13" s="15" t="n">
        <v>175056.16</v>
      </c>
      <c r="AZ13" s="15" t="n">
        <v>204963.7272727273</v>
      </c>
      <c r="BB13" s="68" t="n">
        <v>84715.17543472296</v>
      </c>
      <c r="BC13" s="68" t="n">
        <v>81942</v>
      </c>
      <c r="BD13" s="15" t="n">
        <v>2773.175434722959</v>
      </c>
      <c r="BE13" s="16" t="n">
        <v>191230</v>
      </c>
    </row>
    <row r="14">
      <c r="A14" t="inlineStr">
        <is>
          <t>V</t>
        </is>
      </c>
      <c r="B14">
        <f>A14&amp;" US Equity"</f>
        <v/>
      </c>
      <c r="C14" s="15">
        <f t="array" ref="C14">_xll.BDP($B14,"short_name")</f>
        <v/>
      </c>
      <c r="D14" s="15" t="n">
        <v>587.1551837372314</v>
      </c>
      <c r="E14" s="69" t="n">
        <v>300.8</v>
      </c>
      <c r="F14" s="70" t="n">
        <v>23.39399595582517</v>
      </c>
      <c r="G14" s="70" t="n">
        <v>20.67922452908016</v>
      </c>
      <c r="H14" s="70" t="n">
        <v>18.34817616201049</v>
      </c>
      <c r="I14" s="71" t="n">
        <v>0.02266992740965025</v>
      </c>
      <c r="J14" s="15" t="n">
        <v>44.641875</v>
      </c>
      <c r="K14" s="72" t="n">
        <v>0.6730996081913801</v>
      </c>
      <c r="L14" s="72" t="n">
        <v>0.3467610819220854</v>
      </c>
      <c r="M14" s="72" t="n">
        <v>0.10760234032819</v>
      </c>
      <c r="N14" s="72" t="n">
        <v>0.1116064440592364</v>
      </c>
      <c r="O14" s="72" t="n">
        <v>0.1277830576173802</v>
      </c>
      <c r="Q14" s="73" t="n">
        <v>-0.1423113</v>
      </c>
      <c r="T14" s="68" t="n">
        <v>1.830758818267882</v>
      </c>
      <c r="AB14" s="15" t="n">
        <v>24497</v>
      </c>
      <c r="AC14" s="15" t="n">
        <v>26084</v>
      </c>
      <c r="AD14" s="15" t="n">
        <v>37909</v>
      </c>
      <c r="AE14" s="15" t="n">
        <v>17164</v>
      </c>
      <c r="AF14" s="16" t="n">
        <v>999</v>
      </c>
      <c r="AG14" s="15" t="n">
        <v>63993</v>
      </c>
      <c r="AH14" s="67" t="n">
        <v>0.3467610819220854</v>
      </c>
      <c r="AJ14" s="15" t="n">
        <v>9.917</v>
      </c>
      <c r="AK14" s="15" t="n">
        <v>11.429</v>
      </c>
      <c r="AL14" s="15" t="n">
        <v>12.858</v>
      </c>
      <c r="AM14" s="15" t="n">
        <v>14.546</v>
      </c>
      <c r="AN14" s="15" t="n">
        <v>16.394</v>
      </c>
      <c r="AP14" s="15" t="n">
        <v>35803.89189189189</v>
      </c>
      <c r="AQ14" s="15" t="n">
        <v>39903.4358974359</v>
      </c>
      <c r="AR14" s="15" t="n">
        <v>44641.875</v>
      </c>
      <c r="AS14" s="15" t="n">
        <v>49295.92307692308</v>
      </c>
      <c r="AT14" s="15" t="n">
        <v>54220.29629629629</v>
      </c>
      <c r="AV14" s="15" t="n">
        <v>24110.83333333333</v>
      </c>
      <c r="AW14" s="15" t="n">
        <v>26995.17142857143</v>
      </c>
      <c r="AX14" s="15" t="n">
        <v>30048.42857142857</v>
      </c>
      <c r="AY14" s="15" t="n">
        <v>33568.02857142857</v>
      </c>
      <c r="AZ14" s="15" t="n">
        <v>37079.96</v>
      </c>
      <c r="BB14" s="68" t="n">
        <v>9507.155183737232</v>
      </c>
      <c r="BC14" s="68" t="n">
        <v>8920</v>
      </c>
      <c r="BD14" s="15" t="n">
        <v>587.1551837372314</v>
      </c>
      <c r="BE14" s="16" t="n">
        <v>25761</v>
      </c>
    </row>
    <row r="15">
      <c r="A15" t="inlineStr">
        <is>
          <t>SPGI</t>
        </is>
      </c>
      <c r="B15">
        <f>A15&amp;" US Equity"</f>
        <v/>
      </c>
      <c r="C15" s="15">
        <f t="array" ref="C15">_xll.BDP($B15,"short_name")</f>
        <v/>
      </c>
      <c r="D15" s="15" t="n">
        <v>130.8411027684</v>
      </c>
      <c r="E15" s="69" t="n">
        <v>431.16</v>
      </c>
      <c r="F15" s="70" t="n">
        <v>21.9833783714883</v>
      </c>
      <c r="G15" s="70" t="n">
        <v>19.54133430021755</v>
      </c>
      <c r="H15" s="70" t="n">
        <v>17.49340690550574</v>
      </c>
      <c r="I15" s="71" t="n">
        <v>1.519148936170213</v>
      </c>
      <c r="J15" s="15" t="n">
        <v>16.49754166666666</v>
      </c>
      <c r="K15" s="72" t="n">
        <v>0.5037377659363611</v>
      </c>
      <c r="L15" s="72" t="n">
        <v>0.1001484165739707</v>
      </c>
      <c r="M15" s="72" t="n">
        <v>0.07399729592350002</v>
      </c>
      <c r="N15" s="72" t="n">
        <v>0.08366465609282603</v>
      </c>
      <c r="O15" s="72" t="n">
        <v>0.1133600727397017</v>
      </c>
      <c r="Q15" s="73" t="n">
        <v>-0.1749556</v>
      </c>
      <c r="T15" s="68" t="n">
        <v>1.939252316992307</v>
      </c>
      <c r="AB15" s="15" t="n">
        <v>6478</v>
      </c>
      <c r="AC15" s="15" t="n">
        <v>13582</v>
      </c>
      <c r="AD15" s="15" t="n">
        <v>36152</v>
      </c>
      <c r="AE15" s="15" t="n">
        <v>1745</v>
      </c>
      <c r="AF15" s="16">
        <f>IF(ISNUMBER(_xlfn.SINGLE(_xll.BDP($B15,"BS_LONG_TERM_INVESTMENTS"))),_xlfn.SINGLE(_xll.BDP($B15,"BS_LONG_TERM_INVESTMENTS")),0)</f>
        <v/>
      </c>
      <c r="AG15" s="15" t="n">
        <v>49734</v>
      </c>
      <c r="AH15" s="67" t="n">
        <v>0.1001484165739707</v>
      </c>
      <c r="AJ15" s="15" t="n">
        <v>15.38</v>
      </c>
      <c r="AK15" s="15" t="n">
        <v>17.859</v>
      </c>
      <c r="AL15" s="15" t="n">
        <v>19.613</v>
      </c>
      <c r="AM15" s="15" t="n">
        <v>22.064</v>
      </c>
      <c r="AN15" s="15" t="n">
        <v>24.647</v>
      </c>
      <c r="AP15" s="15" t="n">
        <v>14102.68181818182</v>
      </c>
      <c r="AQ15" s="15" t="n">
        <v>15326.16666666667</v>
      </c>
      <c r="AR15" s="15" t="n">
        <v>16497.54166666666</v>
      </c>
      <c r="AS15" s="15" t="n">
        <v>17717.58333333333</v>
      </c>
      <c r="AT15" s="15" t="n">
        <v>18986.42105263158</v>
      </c>
      <c r="AV15" s="15" t="n">
        <v>6804.15</v>
      </c>
      <c r="AW15" s="15" t="n">
        <v>7743.1</v>
      </c>
      <c r="AX15" s="15" t="n">
        <v>8310.434782608696</v>
      </c>
      <c r="AY15" s="15" t="n">
        <v>9069.90909090909</v>
      </c>
      <c r="AZ15" s="15" t="n">
        <v>9853.705882352942</v>
      </c>
      <c r="BB15" s="68" t="n">
        <v>11967.8411027684</v>
      </c>
      <c r="BC15" s="68" t="n">
        <v>11837</v>
      </c>
      <c r="BD15" s="15" t="n">
        <v>130.8411027684</v>
      </c>
      <c r="BE15" s="16" t="n">
        <v>7755</v>
      </c>
    </row>
    <row r="16">
      <c r="A16" s="37" t="inlineStr">
        <is>
          <t>Average</t>
        </is>
      </c>
      <c r="B16" s="36" t="n"/>
      <c r="C16" s="38" t="n"/>
      <c r="D16" s="38" t="n"/>
      <c r="E16" s="82" t="n"/>
      <c r="F16" s="83">
        <f>AVERAGE(F12:F15)</f>
        <v/>
      </c>
      <c r="G16" s="83">
        <f>AVERAGE(G12:G15)</f>
        <v/>
      </c>
      <c r="H16" s="83">
        <f>AVERAGE(H12:H15)</f>
        <v/>
      </c>
      <c r="I16" s="84">
        <f>AVERAGE(I12:I15)</f>
        <v/>
      </c>
      <c r="J16" s="85" t="n"/>
      <c r="K16" s="85">
        <f>AVERAGE(K12:K15)</f>
        <v/>
      </c>
      <c r="L16" s="85">
        <f>AVERAGE(L12:L15)</f>
        <v/>
      </c>
      <c r="M16" s="85">
        <f>AVERAGE(M12:M15)</f>
        <v/>
      </c>
      <c r="N16" s="85">
        <f>AVERAGE(N12:N15)</f>
        <v/>
      </c>
      <c r="O16" s="85">
        <f>AVERAGE(O12:O15)</f>
        <v/>
      </c>
      <c r="P16" s="36" t="n"/>
      <c r="Q16" s="36" t="n"/>
      <c r="R16" s="36" t="n"/>
      <c r="S16" s="36" t="n"/>
      <c r="T16" s="86">
        <f>F16/O16/100</f>
        <v/>
      </c>
      <c r="AB16" s="15" t="n"/>
      <c r="AC16" s="15" t="n"/>
      <c r="AD16" s="15" t="n"/>
      <c r="AE16" s="15" t="n"/>
      <c r="AF16" s="16" t="n"/>
      <c r="AG16" s="15" t="n"/>
      <c r="AH16" s="67" t="n"/>
      <c r="AJ16" s="15" t="n"/>
      <c r="AK16" s="15" t="n"/>
      <c r="AL16" s="15" t="n"/>
      <c r="AM16" s="15" t="n"/>
      <c r="AN16" s="15" t="n"/>
      <c r="AP16" s="15" t="n"/>
      <c r="AQ16" s="15" t="n"/>
      <c r="AR16" s="15" t="n"/>
      <c r="AS16" s="15" t="n"/>
      <c r="AT16" s="15" t="n"/>
      <c r="AV16" s="15" t="n"/>
      <c r="AW16" s="15" t="n"/>
      <c r="AX16" s="15" t="n"/>
      <c r="AY16" s="15" t="n"/>
      <c r="AZ16" s="15" t="n"/>
      <c r="BB16" s="68" t="n"/>
      <c r="BC16" s="68" t="n"/>
      <c r="BD16" s="15" t="n"/>
      <c r="BE16" s="16" t="n"/>
    </row>
    <row r="17">
      <c r="C17" s="15" t="n"/>
      <c r="D17" s="15" t="n"/>
      <c r="E17" s="69" t="n"/>
      <c r="F17" s="70" t="n"/>
      <c r="G17" s="70" t="n"/>
      <c r="H17" s="70" t="n"/>
      <c r="I17" s="71" t="n"/>
      <c r="J17" s="15" t="n"/>
      <c r="K17" s="72" t="n"/>
      <c r="L17" s="72" t="n"/>
      <c r="M17" s="72" t="n"/>
      <c r="N17" s="72" t="n"/>
      <c r="O17" s="72" t="n"/>
      <c r="AB17" s="15" t="n"/>
      <c r="AC17" s="15" t="n"/>
      <c r="AD17" s="15" t="n"/>
      <c r="AE17" s="15" t="n"/>
      <c r="AF17" s="16" t="n"/>
      <c r="AG17" s="15" t="n"/>
      <c r="AH17" s="67" t="n"/>
      <c r="AJ17" s="15" t="n"/>
      <c r="AK17" s="15" t="n"/>
      <c r="AL17" s="15" t="n"/>
      <c r="AM17" s="15" t="n"/>
      <c r="AN17" s="15" t="n"/>
      <c r="AP17" s="15" t="n"/>
      <c r="AQ17" s="15" t="n"/>
      <c r="AR17" s="15" t="n"/>
      <c r="AS17" s="15" t="n"/>
      <c r="AT17" s="15" t="n"/>
      <c r="AV17" s="15" t="n"/>
      <c r="AW17" s="15" t="n"/>
      <c r="AX17" s="15" t="n"/>
      <c r="AY17" s="15" t="n"/>
      <c r="AZ17" s="15" t="n"/>
      <c r="BB17" s="68" t="n"/>
      <c r="BC17" s="68" t="n"/>
      <c r="BD17" s="15" t="n"/>
      <c r="BE17" s="16" t="n"/>
    </row>
    <row r="18">
      <c r="A18" s="36" t="inlineStr">
        <is>
          <t>CPG / health and personal care</t>
        </is>
      </c>
      <c r="C18" s="15" t="n"/>
      <c r="D18" s="15" t="n"/>
      <c r="E18" s="69" t="n"/>
      <c r="F18" s="70" t="n"/>
      <c r="G18" s="70" t="n"/>
      <c r="H18" s="70" t="n"/>
      <c r="I18" s="81" t="n"/>
      <c r="J18" s="67" t="n"/>
      <c r="K18" s="67" t="n"/>
      <c r="L18" s="67" t="n"/>
      <c r="M18" s="67" t="n"/>
      <c r="N18" s="67" t="n"/>
      <c r="O18" s="67" t="n"/>
      <c r="AB18" s="15" t="n"/>
      <c r="AC18" s="15" t="n"/>
      <c r="AD18" s="15" t="n"/>
      <c r="AE18" s="15" t="n"/>
      <c r="AF18" s="16" t="n"/>
      <c r="AG18" s="15" t="n"/>
      <c r="AH18" s="67" t="n"/>
      <c r="AJ18" s="15" t="n"/>
      <c r="AK18" s="15" t="n"/>
      <c r="AL18" s="15" t="n"/>
      <c r="AM18" s="15" t="n"/>
      <c r="AN18" s="15" t="n"/>
      <c r="AP18" s="15" t="n"/>
      <c r="AQ18" s="15" t="n"/>
      <c r="AR18" s="15" t="n"/>
      <c r="AS18" s="15" t="n"/>
      <c r="AT18" s="15" t="n"/>
      <c r="AV18" s="15" t="n"/>
      <c r="AW18" s="15" t="n"/>
      <c r="AX18" s="15" t="n"/>
      <c r="AY18" s="15" t="n"/>
      <c r="AZ18" s="15" t="n"/>
      <c r="BB18" s="68" t="n"/>
      <c r="BC18" s="68" t="n"/>
      <c r="BD18" s="15" t="n"/>
      <c r="BE18" s="16" t="n"/>
    </row>
    <row r="19">
      <c r="A19" t="inlineStr">
        <is>
          <t>PG</t>
        </is>
      </c>
      <c r="B19">
        <f>A19&amp;" US Equity"</f>
        <v/>
      </c>
      <c r="C19" s="15">
        <f t="array" ref="C19">_xll.BDP($B19,"short_name")</f>
        <v/>
      </c>
      <c r="D19" s="15" t="n">
        <v>332.6109780372</v>
      </c>
      <c r="E19" s="69" t="n">
        <v>143.12</v>
      </c>
      <c r="F19" s="70" t="n">
        <v>20.53960964408726</v>
      </c>
      <c r="G19" s="70" t="n">
        <v>19.60816550212358</v>
      </c>
      <c r="H19" s="70" t="n">
        <v>18.54847071021254</v>
      </c>
      <c r="I19" s="71" t="n">
        <v>1.116957293063909</v>
      </c>
      <c r="J19" s="15" t="n">
        <v>86.65103999999999</v>
      </c>
      <c r="K19" s="72" t="n">
        <v>0.2425675130122763</v>
      </c>
      <c r="L19" s="72" t="n">
        <v>0.184660760204909</v>
      </c>
      <c r="M19" s="72" t="n">
        <v>0.03004025088613016</v>
      </c>
      <c r="N19" s="72" t="n">
        <v>0.04170935802112163</v>
      </c>
      <c r="O19" s="72" t="n">
        <v>0.04605847869835955</v>
      </c>
      <c r="Q19" s="73" t="n">
        <v>-0.00132578</v>
      </c>
      <c r="T19" s="68" t="n">
        <v>4.459463322399923</v>
      </c>
      <c r="AB19" s="15" t="n">
        <v>20135</v>
      </c>
      <c r="AC19" s="15" t="n">
        <v>35464</v>
      </c>
      <c r="AD19" s="15" t="n">
        <v>52285</v>
      </c>
      <c r="AE19" s="15" t="n">
        <v>9556</v>
      </c>
      <c r="AF19" s="16">
        <f>IF(ISNUMBER(_xlfn.SINGLE(_xll.BDP($B19,"BS_LONG_TERM_INVESTMENTS"))),_xlfn.SINGLE(_xll.BDP($B19,"BS_LONG_TERM_INVESTMENTS")),0)</f>
        <v/>
      </c>
      <c r="AG19" s="15" t="n">
        <v>87749</v>
      </c>
      <c r="AH19" s="67" t="n">
        <v>0.184660760204909</v>
      </c>
      <c r="AJ19" s="15" t="n">
        <v>6.55</v>
      </c>
      <c r="AK19" s="15" t="n">
        <v>6.741000000000001</v>
      </c>
      <c r="AL19" s="15" t="n">
        <v>6.968</v>
      </c>
      <c r="AM19" s="15" t="n">
        <v>7.299</v>
      </c>
      <c r="AN19" s="15" t="n">
        <v>7.716</v>
      </c>
      <c r="AP19" s="15" t="n">
        <v>84377.74074074074</v>
      </c>
      <c r="AQ19" s="15" t="n">
        <v>84252.41666666667</v>
      </c>
      <c r="AR19" s="15" t="n">
        <v>86651.03999999999</v>
      </c>
      <c r="AS19" s="15" t="n">
        <v>89091.28</v>
      </c>
      <c r="AT19" s="15" t="n">
        <v>92075.68421052632</v>
      </c>
      <c r="AV19" s="15" t="n">
        <v>20004.6923076923</v>
      </c>
      <c r="AW19" s="15" t="n">
        <v>20428.90476190476</v>
      </c>
      <c r="AX19" s="15" t="n">
        <v>21018.72727272727</v>
      </c>
      <c r="AY19" s="15" t="n">
        <v>21911.45454545454</v>
      </c>
      <c r="AZ19" s="15" t="n">
        <v>23093.23529411765</v>
      </c>
      <c r="BB19" s="68" t="n">
        <v>26240.6109780372</v>
      </c>
      <c r="BC19" s="68" t="n">
        <v>25908</v>
      </c>
      <c r="BD19" s="15" t="n">
        <v>332.6109780372</v>
      </c>
      <c r="BE19" s="16" t="n">
        <v>23111</v>
      </c>
    </row>
    <row r="20">
      <c r="A20" t="inlineStr">
        <is>
          <t>KO</t>
        </is>
      </c>
      <c r="B20">
        <f>A20&amp;" US Equity"</f>
        <v/>
      </c>
      <c r="C20" s="15">
        <f t="array" ref="C20">_xll.BDP($B20,"short_name")</f>
        <v/>
      </c>
      <c r="D20" s="15" t="n">
        <v>330.21460872344</v>
      </c>
      <c r="E20" s="69" t="n">
        <v>76.72</v>
      </c>
      <c r="F20" s="70" t="n">
        <v>23.75967791886033</v>
      </c>
      <c r="G20" s="70" t="n">
        <v>22.21192819918934</v>
      </c>
      <c r="H20" s="70" t="n">
        <v>20.8082451857879</v>
      </c>
      <c r="I20" s="71" t="n">
        <v>2.120442884147988</v>
      </c>
      <c r="J20" s="15" t="n">
        <v>49.12430434782609</v>
      </c>
      <c r="K20" s="72" t="n">
        <v>0.328359429931396</v>
      </c>
      <c r="L20" s="72" t="n">
        <v>0.1430850944436964</v>
      </c>
      <c r="M20" s="72" t="n">
        <v>0.02760523259034042</v>
      </c>
      <c r="N20" s="72" t="n">
        <v>0.06467717456907396</v>
      </c>
      <c r="O20" s="72" t="n">
        <v>0.07246322120584558</v>
      </c>
      <c r="Q20" s="73" t="n">
        <v>0.09741089999999999</v>
      </c>
      <c r="T20" s="68" t="n">
        <v>3.278860299539601</v>
      </c>
      <c r="AB20" s="15" t="n">
        <v>13762</v>
      </c>
      <c r="AC20" s="15" t="n">
        <v>47214</v>
      </c>
      <c r="AD20" s="15" t="n">
        <v>34275</v>
      </c>
      <c r="AE20" s="15" t="n">
        <v>10270</v>
      </c>
      <c r="AF20" s="16">
        <f>IF(ISNUMBER(_xlfn.SINGLE(_xll.BDP($B20,"BS_LONG_TERM_INVESTMENTS"))),_xlfn.SINGLE(_xll.BDP($B20,"BS_LONG_TERM_INVESTMENTS")),0)</f>
        <v/>
      </c>
      <c r="AG20" s="15" t="n">
        <v>81489</v>
      </c>
      <c r="AH20" s="67" t="n">
        <v>0.1430850944436964</v>
      </c>
      <c r="AJ20" s="15" t="n">
        <v>2.854</v>
      </c>
      <c r="AK20" s="15" t="n">
        <v>2.989</v>
      </c>
      <c r="AL20" s="15" t="n">
        <v>3.229</v>
      </c>
      <c r="AM20" s="15" t="n">
        <v>3.454</v>
      </c>
      <c r="AN20" s="15" t="n">
        <v>3.687</v>
      </c>
      <c r="AP20" s="15" t="n">
        <v>46185.33333333334</v>
      </c>
      <c r="AQ20" s="15" t="n">
        <v>48264.27272727273</v>
      </c>
      <c r="AR20" s="15" t="n">
        <v>49124.30434782609</v>
      </c>
      <c r="AS20" s="15" t="n">
        <v>50106.82608695652</v>
      </c>
      <c r="AT20" s="15" t="n">
        <v>52372.66666666666</v>
      </c>
      <c r="AV20" s="15" t="n">
        <v>13920.4</v>
      </c>
      <c r="AW20" s="15" t="n">
        <v>15036.15</v>
      </c>
      <c r="AX20" s="15" t="n">
        <v>16130.42857142857</v>
      </c>
      <c r="AY20" s="15" t="n">
        <v>17093.95238095238</v>
      </c>
      <c r="AZ20" s="15" t="n">
        <v>18146.4</v>
      </c>
      <c r="BB20" s="68" t="n">
        <v>37274.21460872344</v>
      </c>
      <c r="BC20" s="68" t="n">
        <v>36944</v>
      </c>
      <c r="BD20" s="15" t="n">
        <v>330.21460872344</v>
      </c>
      <c r="BE20" s="16" t="n">
        <v>15217</v>
      </c>
    </row>
    <row r="21">
      <c r="A21" t="inlineStr">
        <is>
          <t>CHD</t>
        </is>
      </c>
      <c r="B21">
        <f>A21&amp;" US Equity"</f>
        <v/>
      </c>
      <c r="C21" s="15">
        <f t="array" ref="C21">_xll.BDP($B21,"short_name")</f>
        <v/>
      </c>
      <c r="D21" s="15" t="n">
        <v>21.9938524779</v>
      </c>
      <c r="E21" s="69" t="n">
        <v>92.84999999999999</v>
      </c>
      <c r="F21" s="70" t="n">
        <v>24.76660442784742</v>
      </c>
      <c r="G21" s="70" t="n">
        <v>23.16038912446994</v>
      </c>
      <c r="H21" s="70" t="n">
        <v>21.72946407676106</v>
      </c>
      <c r="I21" s="71" t="n">
        <v>1.443095377413692</v>
      </c>
      <c r="J21" s="15" t="n">
        <v>6.142</v>
      </c>
      <c r="K21" s="72" t="n">
        <v>0.1963204168023445</v>
      </c>
      <c r="L21" s="72" t="n">
        <v>0.1127341739304069</v>
      </c>
      <c r="M21" s="72" t="n">
        <v>0.02208104273832046</v>
      </c>
      <c r="N21" s="72" t="n">
        <v>0.04888846124114887</v>
      </c>
      <c r="O21" s="72" t="n">
        <v>0.06990193864985006</v>
      </c>
      <c r="Q21" s="73" t="n">
        <v>0.1073345</v>
      </c>
      <c r="T21" s="68" t="n">
        <v>3.543049721683298</v>
      </c>
      <c r="AB21" s="15" t="n">
        <v>1077.6</v>
      </c>
      <c r="AC21" s="15" t="n">
        <v>2382</v>
      </c>
      <c r="AD21" s="15" t="n">
        <v>4002.2</v>
      </c>
      <c r="AE21" s="15" t="n">
        <v>409</v>
      </c>
      <c r="AF21" s="16">
        <f>IF(ISNUMBER(_xlfn.SINGLE(_xll.BDP($B21,"BS_LONG_TERM_INVESTMENTS"))),_xlfn.SINGLE(_xll.BDP($B21,"BS_LONG_TERM_INVESTMENTS")),0)</f>
        <v/>
      </c>
      <c r="AG21" s="15" t="n">
        <v>6384.2</v>
      </c>
      <c r="AH21" s="67" t="n">
        <v>0.1127341739304069</v>
      </c>
      <c r="AJ21" s="15" t="n">
        <v>3.441</v>
      </c>
      <c r="AK21" s="15" t="n">
        <v>3.489</v>
      </c>
      <c r="AL21" s="15" t="n">
        <v>3.749</v>
      </c>
      <c r="AM21" s="15" t="n">
        <v>4.009</v>
      </c>
      <c r="AN21" s="15" t="n">
        <v>4.273</v>
      </c>
      <c r="AP21" s="15" t="n">
        <v>6089.95652173913</v>
      </c>
      <c r="AQ21" s="15" t="n">
        <v>6197.15</v>
      </c>
      <c r="AR21" s="15" t="n">
        <v>6142</v>
      </c>
      <c r="AS21" s="15" t="n">
        <v>6381.85</v>
      </c>
      <c r="AT21" s="15" t="n">
        <v>6616.8</v>
      </c>
      <c r="AV21" s="15" t="n">
        <v>1159.272727272727</v>
      </c>
      <c r="AW21" s="15" t="n">
        <v>1167.45</v>
      </c>
      <c r="AX21" s="15" t="n">
        <v>1205.8</v>
      </c>
      <c r="AY21" s="15" t="n">
        <v>1278.95</v>
      </c>
      <c r="AZ21" s="15" t="n">
        <v>1347.181818181818</v>
      </c>
      <c r="BB21" s="68" t="n">
        <v>1994.9938524779</v>
      </c>
      <c r="BC21" s="68" t="n">
        <v>1973</v>
      </c>
      <c r="BD21" s="15" t="n">
        <v>21.9938524779</v>
      </c>
      <c r="BE21" s="16" t="n">
        <v>1367.2</v>
      </c>
    </row>
    <row r="22">
      <c r="A22" t="inlineStr">
        <is>
          <t>CL</t>
        </is>
      </c>
      <c r="B22">
        <f>A22&amp;" US Equity"</f>
        <v/>
      </c>
      <c r="C22" s="15">
        <f t="array" ref="C22">_xll.BDP($B22,"short_name")</f>
        <v/>
      </c>
      <c r="D22" s="15" t="n">
        <v>68.30798504309999</v>
      </c>
      <c r="E22" s="69" t="n">
        <v>85.14</v>
      </c>
      <c r="F22" s="70" t="n">
        <v>21.96594427244582</v>
      </c>
      <c r="G22" s="70" t="n">
        <v>20.625</v>
      </c>
      <c r="H22" s="70" t="n">
        <v>19.2973708068903</v>
      </c>
      <c r="I22" s="71" t="n">
        <v>1.818389636779274</v>
      </c>
      <c r="J22" s="15" t="n">
        <v>21.27147619047619</v>
      </c>
      <c r="K22" s="72" t="n">
        <v>0.2131336173413537</v>
      </c>
      <c r="L22" s="72" t="n">
        <v>0.2654958612991294</v>
      </c>
      <c r="M22" s="72" t="n">
        <v>0.03870173392074516</v>
      </c>
      <c r="N22" s="72" t="n">
        <v>0.05040769151120927</v>
      </c>
      <c r="O22" s="72" t="n">
        <v>0.0647542301628905</v>
      </c>
      <c r="Q22" s="73" t="n">
        <v>0.07744879</v>
      </c>
      <c r="T22" s="68" t="n">
        <v>3.392202210911946</v>
      </c>
      <c r="AB22" s="15" t="n">
        <v>3306</v>
      </c>
      <c r="AC22" s="15" t="n">
        <v>8554</v>
      </c>
      <c r="AD22" s="15" t="n">
        <v>365</v>
      </c>
      <c r="AE22" s="15" t="n">
        <v>1288</v>
      </c>
      <c r="AF22" s="16">
        <f>IF(ISNUMBER(_xlfn.SINGLE(_xll.BDP($B22,"BS_LONG_TERM_INVESTMENTS"))),_xlfn.SINGLE(_xll.BDP($B22,"BS_LONG_TERM_INVESTMENTS")),0)</f>
        <v/>
      </c>
      <c r="AG22" s="15" t="n">
        <v>8919</v>
      </c>
      <c r="AH22" s="67" t="n">
        <v>0.2654958612991294</v>
      </c>
      <c r="AJ22" s="15" t="n">
        <v>3.578</v>
      </c>
      <c r="AK22" s="15" t="n">
        <v>3.655</v>
      </c>
      <c r="AL22" s="15" t="n">
        <v>3.876</v>
      </c>
      <c r="AM22" s="15" t="n">
        <v>4.128</v>
      </c>
      <c r="AN22" s="15" t="n">
        <v>4.412</v>
      </c>
      <c r="AP22" s="15" t="n">
        <v>20161.77272727273</v>
      </c>
      <c r="AQ22" s="15" t="n">
        <v>20269.04761904762</v>
      </c>
      <c r="AR22" s="15" t="n">
        <v>21271.47619047619</v>
      </c>
      <c r="AS22" s="15" t="n">
        <v>21976</v>
      </c>
      <c r="AT22" s="15" t="n">
        <v>22714.64285714286</v>
      </c>
      <c r="AV22" s="15" t="n">
        <v>4380.555555555556</v>
      </c>
      <c r="AW22" s="15" t="n">
        <v>4320.333333333333</v>
      </c>
      <c r="AX22" s="15" t="n">
        <v>4533.666666666667</v>
      </c>
      <c r="AY22" s="15" t="n">
        <v>4744.61111111111</v>
      </c>
      <c r="AZ22" s="15" t="n">
        <v>5007.153846153846</v>
      </c>
      <c r="BB22" s="68" t="n">
        <v>7334.3079850431</v>
      </c>
      <c r="BC22" s="68" t="n">
        <v>7266</v>
      </c>
      <c r="BD22" s="15" t="n">
        <v>68.30798504309999</v>
      </c>
      <c r="BE22" s="16" t="n">
        <v>4087</v>
      </c>
    </row>
    <row r="23">
      <c r="A23" t="inlineStr">
        <is>
          <t>CLX</t>
        </is>
      </c>
      <c r="B23">
        <f>A23&amp;" US Equity"</f>
        <v/>
      </c>
      <c r="C23" s="15">
        <f t="array" ref="C23">_xll.BDP($B23,"short_name")</f>
        <v/>
      </c>
      <c r="D23" s="15" t="n">
        <v>12.22902582382</v>
      </c>
      <c r="E23" s="69" t="n">
        <v>101.14</v>
      </c>
      <c r="F23" s="70" t="n">
        <v>17.07868963188112</v>
      </c>
      <c r="G23" s="70" t="n">
        <v>14.89982321744255</v>
      </c>
      <c r="H23" s="70" t="n">
        <v>13.97154303080536</v>
      </c>
      <c r="I23" s="71" t="n">
        <v>2.378679395385839</v>
      </c>
      <c r="J23" s="15" t="n">
        <v>6.507736842105262</v>
      </c>
      <c r="K23" s="72" t="n">
        <v>0.1607317605764798</v>
      </c>
      <c r="L23" s="72" t="n">
        <v>0.2515963462795814</v>
      </c>
      <c r="M23" s="72" t="n">
        <v>0.008960854994231715</v>
      </c>
      <c r="N23" s="72" t="n">
        <v>0.01901254132781527</v>
      </c>
      <c r="O23" s="72" t="n">
        <v>0.008952901841184246</v>
      </c>
      <c r="Q23" s="73" t="n">
        <v>0.003074464</v>
      </c>
      <c r="T23" s="68" t="n">
        <v>19.07614976109471</v>
      </c>
      <c r="AB23" s="15" t="n">
        <v>1034</v>
      </c>
      <c r="AC23" s="15" t="n">
        <v>2916</v>
      </c>
      <c r="AD23" s="15" t="n">
        <v>482</v>
      </c>
      <c r="AE23" s="15" t="n">
        <v>167</v>
      </c>
      <c r="AF23" s="16">
        <f>IF(ISNUMBER(_xlfn.SINGLE(_xll.BDP($B23,"BS_LONG_TERM_INVESTMENTS"))),_xlfn.SINGLE(_xll.BDP($B23,"BS_LONG_TERM_INVESTMENTS")),0)</f>
        <v/>
      </c>
      <c r="AG23" s="15" t="n">
        <v>3398</v>
      </c>
      <c r="AH23" s="67" t="n">
        <v>0.2515963462795814</v>
      </c>
      <c r="AJ23" s="15" t="n">
        <v>5.919</v>
      </c>
      <c r="AK23" s="15" t="n">
        <v>7.048</v>
      </c>
      <c r="AL23" s="15" t="n">
        <v>5.922</v>
      </c>
      <c r="AM23" s="15" t="n">
        <v>6.788</v>
      </c>
      <c r="AN23" s="15" t="n">
        <v>7.239</v>
      </c>
      <c r="AP23" s="15" t="n">
        <v>7139.761904761905</v>
      </c>
      <c r="AQ23" s="15" t="n">
        <v>7047.833333333333</v>
      </c>
      <c r="AR23" s="15" t="n">
        <v>6507.736842105262</v>
      </c>
      <c r="AS23" s="15" t="n">
        <v>6957.947368421052</v>
      </c>
      <c r="AT23" s="15" t="n">
        <v>7239</v>
      </c>
      <c r="AV23" s="15" t="n">
        <v>1026.8125</v>
      </c>
      <c r="AW23" s="15" t="n">
        <v>1210.3125</v>
      </c>
      <c r="AX23" s="15" t="n">
        <v>1046</v>
      </c>
      <c r="AY23" s="15" t="n">
        <v>1191.555555555556</v>
      </c>
      <c r="AZ23" s="15" t="n">
        <v>1280.666666666667</v>
      </c>
      <c r="BB23" s="68" t="n">
        <v>2761.22902582382</v>
      </c>
      <c r="BC23" s="68" t="n">
        <v>2749</v>
      </c>
      <c r="BD23" s="15" t="n">
        <v>12.22902582382</v>
      </c>
      <c r="BE23" s="16" t="n">
        <v>1257</v>
      </c>
    </row>
    <row r="24">
      <c r="A24" t="inlineStr">
        <is>
          <t>KMB</t>
        </is>
      </c>
      <c r="B24">
        <f>A24&amp;" US Equity"</f>
        <v/>
      </c>
      <c r="C24" s="15">
        <f t="array" ref="C24">_xll.BDP($B24,"short_name")</f>
        <v/>
      </c>
      <c r="D24" s="15" t="n">
        <v>31.90802388558</v>
      </c>
      <c r="E24" s="69" t="n">
        <v>96.13</v>
      </c>
      <c r="F24" s="70" t="n">
        <v>12.72065634511049</v>
      </c>
      <c r="G24" s="70" t="n">
        <v>12.58575543335952</v>
      </c>
      <c r="H24" s="70" t="n">
        <v>11.83866995073891</v>
      </c>
      <c r="I24" s="71" t="n">
        <v>2.236482084690554</v>
      </c>
      <c r="J24" s="15" t="n">
        <v>17.99764285714285</v>
      </c>
      <c r="K24" s="72" t="n">
        <v>0.1655737656121635</v>
      </c>
      <c r="L24" s="72" t="n">
        <v>0.2091055112560865</v>
      </c>
      <c r="M24" s="72" t="n">
        <v>0.1267610919757132</v>
      </c>
      <c r="N24" s="72" t="n">
        <v>0.08853000729206872</v>
      </c>
      <c r="O24" s="72" t="n">
        <v>0.02774366969602515</v>
      </c>
      <c r="Q24" s="73" t="n">
        <v>-0.04718009</v>
      </c>
      <c r="T24" s="68" t="n">
        <v>4.585066245556185</v>
      </c>
      <c r="AB24" s="15" t="n">
        <v>2351</v>
      </c>
      <c r="AC24" s="15" t="n">
        <v>7554</v>
      </c>
      <c r="AD24" s="15" t="n">
        <v>1652</v>
      </c>
      <c r="AE24" s="15" t="n">
        <v>688</v>
      </c>
      <c r="AF24" s="16">
        <f>IF(ISNUMBER(_xlfn.SINGLE(_xll.BDP($B24,"BS_LONG_TERM_INVESTMENTS"))),_xlfn.SINGLE(_xll.BDP($B24,"BS_LONG_TERM_INVESTMENTS")),0)</f>
        <v/>
      </c>
      <c r="AG24" s="15" t="n">
        <v>9206</v>
      </c>
      <c r="AH24" s="67" t="n">
        <v>0.2091055112560865</v>
      </c>
      <c r="AJ24" s="15" t="n">
        <v>7.346</v>
      </c>
      <c r="AK24" s="15" t="n">
        <v>7.48</v>
      </c>
      <c r="AL24" s="15" t="n">
        <v>7.557</v>
      </c>
      <c r="AM24" s="15" t="n">
        <v>7.638</v>
      </c>
      <c r="AN24" s="15" t="n">
        <v>8.120000000000001</v>
      </c>
      <c r="AP24" s="15" t="n">
        <v>19984.47058823529</v>
      </c>
      <c r="AQ24" s="15" t="n">
        <v>16460.07692307692</v>
      </c>
      <c r="AR24" s="15" t="n">
        <v>17997.64285714286</v>
      </c>
      <c r="AS24" s="15" t="n">
        <v>19918.3076923077</v>
      </c>
      <c r="AT24" s="15" t="n">
        <v>23546.55555555556</v>
      </c>
      <c r="AV24" s="15" t="n">
        <v>3254.285714285714</v>
      </c>
      <c r="AW24" s="15" t="n">
        <v>2774.785714285714</v>
      </c>
      <c r="AX24" s="15" t="n">
        <v>2979.9375</v>
      </c>
      <c r="AY24" s="15" t="n">
        <v>3325.4</v>
      </c>
      <c r="AZ24" s="15" t="n">
        <v>3578.909090909091</v>
      </c>
      <c r="BB24" s="68" t="n">
        <v>6897.90802388558</v>
      </c>
      <c r="BC24" s="68" t="n">
        <v>6866</v>
      </c>
      <c r="BD24" s="15" t="n">
        <v>31.90802388558</v>
      </c>
      <c r="BE24" s="16" t="n">
        <v>3297</v>
      </c>
    </row>
    <row r="25">
      <c r="A25" t="inlineStr">
        <is>
          <t>CLX</t>
        </is>
      </c>
      <c r="B25">
        <f>A25&amp;" US Equity"</f>
        <v/>
      </c>
      <c r="C25" s="15">
        <f t="array" ref="C25">_xll.BDP($B25,"short_name")</f>
        <v/>
      </c>
      <c r="D25" s="15" t="n">
        <v>12.22902582382</v>
      </c>
      <c r="E25" s="69" t="n">
        <v>101.14</v>
      </c>
      <c r="F25" s="70" t="n">
        <v>17.07868963188112</v>
      </c>
      <c r="G25" s="70" t="n">
        <v>14.89982321744255</v>
      </c>
      <c r="H25" s="70" t="n">
        <v>13.97154303080536</v>
      </c>
      <c r="I25" s="71" t="n">
        <v>2.378679395385839</v>
      </c>
      <c r="J25" s="15" t="n">
        <v>6.507736842105262</v>
      </c>
      <c r="K25" s="72" t="n">
        <v>0.1607317605764798</v>
      </c>
      <c r="L25" s="72" t="n">
        <v>0.2515963462795814</v>
      </c>
      <c r="M25" s="72" t="n">
        <v>0.008960854994231715</v>
      </c>
      <c r="N25" s="72" t="n">
        <v>0.01901254132781527</v>
      </c>
      <c r="O25" s="72" t="n">
        <v>0.008952901841184246</v>
      </c>
      <c r="Q25" s="73" t="n">
        <v>0.003074464</v>
      </c>
      <c r="T25" s="68" t="n">
        <v>19.07614976109471</v>
      </c>
      <c r="AB25" s="15" t="n">
        <v>1034</v>
      </c>
      <c r="AC25" s="15" t="n">
        <v>2916</v>
      </c>
      <c r="AD25" s="15" t="n">
        <v>482</v>
      </c>
      <c r="AE25" s="15" t="n">
        <v>167</v>
      </c>
      <c r="AF25" s="16">
        <f>IF(ISNUMBER(_xlfn.SINGLE(_xll.BDP($B25,"BS_LONG_TERM_INVESTMENTS"))),_xlfn.SINGLE(_xll.BDP($B25,"BS_LONG_TERM_INVESTMENTS")),0)</f>
        <v/>
      </c>
      <c r="AG25" s="15" t="n">
        <v>3398</v>
      </c>
      <c r="AH25" s="67" t="n">
        <v>0.2515963462795814</v>
      </c>
      <c r="AJ25" s="15" t="n">
        <v>5.919</v>
      </c>
      <c r="AK25" s="15" t="n">
        <v>7.048</v>
      </c>
      <c r="AL25" s="15" t="n">
        <v>5.922</v>
      </c>
      <c r="AM25" s="15" t="n">
        <v>6.788</v>
      </c>
      <c r="AN25" s="15" t="n">
        <v>7.239</v>
      </c>
      <c r="AP25" s="15" t="n">
        <v>7139.761904761905</v>
      </c>
      <c r="AQ25" s="15" t="n">
        <v>7047.833333333333</v>
      </c>
      <c r="AR25" s="15" t="n">
        <v>6507.736842105262</v>
      </c>
      <c r="AS25" s="15" t="n">
        <v>6957.947368421052</v>
      </c>
      <c r="AT25" s="15" t="n">
        <v>7239</v>
      </c>
      <c r="AV25" s="15" t="n">
        <v>1026.8125</v>
      </c>
      <c r="AW25" s="15" t="n">
        <v>1210.3125</v>
      </c>
      <c r="AX25" s="15" t="n">
        <v>1046</v>
      </c>
      <c r="AY25" s="15" t="n">
        <v>1191.555555555556</v>
      </c>
      <c r="AZ25" s="15" t="n">
        <v>1280.666666666667</v>
      </c>
      <c r="BB25" s="68" t="n">
        <v>2761.22902582382</v>
      </c>
      <c r="BC25" s="68" t="n">
        <v>2749</v>
      </c>
      <c r="BD25" s="15" t="n">
        <v>12.22902582382</v>
      </c>
      <c r="BE25" s="16" t="n">
        <v>1257</v>
      </c>
    </row>
    <row r="26">
      <c r="A26" s="37" t="inlineStr">
        <is>
          <t>Average</t>
        </is>
      </c>
      <c r="B26" s="36" t="n"/>
      <c r="C26" s="38" t="n"/>
      <c r="D26" s="38" t="n"/>
      <c r="E26" s="82" t="n"/>
      <c r="F26" s="83">
        <f>AVERAGE(F19:F25)</f>
        <v/>
      </c>
      <c r="G26" s="83">
        <f>AVERAGE(G19:G25)</f>
        <v/>
      </c>
      <c r="H26" s="83">
        <f>AVERAGE(H19:H25)</f>
        <v/>
      </c>
      <c r="I26" s="84">
        <f>AVERAGE(I19:I25)</f>
        <v/>
      </c>
      <c r="J26" s="85" t="n"/>
      <c r="K26" s="85">
        <f>AVERAGE(K19:K25)</f>
        <v/>
      </c>
      <c r="L26" s="85">
        <f>AVERAGE(L19:L25)</f>
        <v/>
      </c>
      <c r="M26" s="85">
        <f>AVERAGE(M19:M25)</f>
        <v/>
      </c>
      <c r="N26" s="85">
        <f>AVERAGE(N19:N25)</f>
        <v/>
      </c>
      <c r="O26" s="85">
        <f>AVERAGE(O19:O25)</f>
        <v/>
      </c>
      <c r="P26" s="36" t="n"/>
      <c r="Q26" s="36" t="n"/>
      <c r="R26" s="36" t="n"/>
      <c r="S26" s="36" t="n"/>
      <c r="T26" s="86">
        <f>F26/O26/100</f>
        <v/>
      </c>
      <c r="AB26" s="15" t="n"/>
      <c r="AC26" s="15" t="n"/>
      <c r="AD26" s="15" t="n"/>
      <c r="AE26" s="15" t="n"/>
      <c r="AF26" s="16" t="n"/>
      <c r="AG26" s="15" t="n"/>
      <c r="AH26" s="67" t="n"/>
      <c r="AJ26" s="15" t="n"/>
      <c r="AK26" s="15" t="n"/>
      <c r="AL26" s="15" t="n"/>
      <c r="AM26" s="15" t="n"/>
      <c r="AN26" s="15" t="n"/>
      <c r="AP26" s="15" t="n"/>
      <c r="AQ26" s="15" t="n"/>
      <c r="AR26" s="15" t="n"/>
      <c r="AS26" s="15" t="n"/>
      <c r="AT26" s="15" t="n"/>
      <c r="AV26" s="15" t="n"/>
      <c r="AW26" s="15" t="n"/>
      <c r="AX26" s="15" t="n"/>
      <c r="AY26" s="15" t="n"/>
      <c r="AZ26" s="15" t="n"/>
      <c r="BB26" s="68" t="n"/>
      <c r="BC26" s="68" t="n"/>
      <c r="BD26" s="15" t="n"/>
      <c r="BE26" s="16" t="n"/>
    </row>
    <row r="27">
      <c r="C27" s="15" t="n"/>
      <c r="D27" s="15" t="n"/>
      <c r="E27" s="69" t="n"/>
      <c r="F27" s="70" t="n"/>
      <c r="G27" s="70" t="n"/>
      <c r="H27" s="70" t="n"/>
      <c r="I27" s="71" t="n"/>
      <c r="J27" s="15" t="n"/>
      <c r="K27" s="72" t="n"/>
      <c r="L27" s="72" t="n"/>
      <c r="M27" s="72" t="n"/>
      <c r="N27" s="72" t="n"/>
      <c r="O27" s="72" t="n"/>
      <c r="AB27" s="15" t="n"/>
      <c r="AC27" s="15" t="n"/>
      <c r="AD27" s="15" t="n"/>
      <c r="AE27" s="15" t="n"/>
      <c r="AF27" s="16" t="n"/>
      <c r="AG27" s="15" t="n"/>
      <c r="AH27" s="67" t="n"/>
      <c r="AJ27" s="15" t="n"/>
      <c r="AK27" s="15" t="n"/>
      <c r="AL27" s="15" t="n"/>
      <c r="AM27" s="15" t="n"/>
      <c r="AN27" s="15" t="n"/>
      <c r="AP27" s="15" t="n"/>
      <c r="AQ27" s="15" t="n"/>
      <c r="AR27" s="15" t="n"/>
      <c r="AS27" s="15" t="n"/>
      <c r="AT27" s="15" t="n"/>
      <c r="AV27" s="15" t="n"/>
      <c r="AW27" s="15" t="n"/>
      <c r="AX27" s="15" t="n"/>
      <c r="AY27" s="15" t="n"/>
      <c r="AZ27" s="15" t="n"/>
      <c r="BB27" s="68" t="n"/>
      <c r="BC27" s="68" t="n"/>
      <c r="BD27" s="15" t="n"/>
      <c r="BE27" s="16" t="n"/>
    </row>
    <row r="28">
      <c r="A28" s="36" t="inlineStr">
        <is>
          <t xml:space="preserve">S&amp;P stalwarts </t>
        </is>
      </c>
      <c r="C28" s="15" t="n"/>
      <c r="D28" s="15" t="n"/>
      <c r="E28" s="69" t="n"/>
      <c r="F28" s="70" t="n"/>
      <c r="G28" s="70" t="n"/>
      <c r="H28" s="70" t="n"/>
      <c r="I28" s="81" t="n"/>
      <c r="J28" s="67" t="n"/>
      <c r="K28" s="67" t="n"/>
      <c r="L28" s="67" t="n"/>
      <c r="M28" s="67" t="n"/>
      <c r="N28" s="67" t="n"/>
      <c r="O28" s="67" t="n"/>
      <c r="AB28" s="15" t="n"/>
      <c r="AC28" s="15" t="n"/>
      <c r="AD28" s="15" t="n"/>
      <c r="AE28" s="15" t="n"/>
      <c r="AF28" s="16" t="n"/>
      <c r="AG28" s="15" t="n"/>
      <c r="AH28" s="67" t="n"/>
      <c r="AJ28" s="15" t="n"/>
      <c r="AK28" s="15" t="n"/>
      <c r="AL28" s="15" t="n"/>
      <c r="AM28" s="15" t="n"/>
      <c r="AN28" s="15" t="n"/>
      <c r="AP28" s="15" t="n"/>
      <c r="AQ28" s="15" t="n"/>
      <c r="AR28" s="15" t="n"/>
      <c r="AS28" s="15" t="n"/>
      <c r="AT28" s="15" t="n"/>
      <c r="AV28" s="15" t="n"/>
      <c r="AW28" s="15" t="n"/>
      <c r="AX28" s="15" t="n"/>
      <c r="AY28" s="15" t="n"/>
      <c r="AZ28" s="15" t="n"/>
      <c r="BB28" s="68" t="n"/>
      <c r="BC28" s="68" t="n"/>
      <c r="BD28" s="15" t="n"/>
      <c r="BE28" s="16" t="n"/>
    </row>
    <row r="29">
      <c r="A29" t="inlineStr">
        <is>
          <t>HD</t>
        </is>
      </c>
      <c r="B29">
        <f>A29&amp;" US Equity"</f>
        <v/>
      </c>
      <c r="C29" s="15">
        <f t="array" ref="C29">_xll.BDP($B29,"short_name")</f>
        <v/>
      </c>
      <c r="D29" s="15" t="n">
        <v>320.34716780958</v>
      </c>
      <c r="E29" s="69" t="n">
        <v>321.63</v>
      </c>
      <c r="F29" s="70" t="n">
        <v>22.12948947295995</v>
      </c>
      <c r="G29" s="70" t="n">
        <v>21.32966377080708</v>
      </c>
      <c r="H29" s="70" t="n">
        <v>19.69685835017453</v>
      </c>
      <c r="I29" s="71" t="n">
        <v>2.568829714925433</v>
      </c>
      <c r="J29" s="15" t="n">
        <v>164.5939032258065</v>
      </c>
      <c r="K29" s="72" t="n">
        <v>0.1291399161242457</v>
      </c>
      <c r="L29" s="72" t="n">
        <v>0.2080569344484989</v>
      </c>
      <c r="M29" s="72" t="n">
        <v>0.0397390949105032</v>
      </c>
      <c r="N29" s="72" t="n">
        <v>0.02327338972023929</v>
      </c>
      <c r="O29" s="72" t="n">
        <v>0.0259956213410637</v>
      </c>
      <c r="Q29" s="73" t="n">
        <v>-0.06530079999999999</v>
      </c>
      <c r="T29" s="68" t="n">
        <v>8.512775741198901</v>
      </c>
      <c r="AB29" s="15" t="n">
        <v>20890</v>
      </c>
      <c r="AC29" s="15" t="n">
        <v>65638</v>
      </c>
      <c r="AD29" s="15" t="n">
        <v>12813</v>
      </c>
      <c r="AE29" s="15" t="n">
        <v>1389</v>
      </c>
      <c r="AF29" s="16">
        <f>IF(ISNUMBER(_xlfn.SINGLE(_xll.BDP($B29,"BS_LONG_TERM_INVESTMENTS"))),_xlfn.SINGLE(_xll.BDP($B29,"BS_LONG_TERM_INVESTMENTS")),0)</f>
        <v/>
      </c>
      <c r="AG29" s="15" t="n">
        <v>78451</v>
      </c>
      <c r="AH29" s="67" t="n">
        <v>0.2080569344484989</v>
      </c>
      <c r="AJ29" s="15" t="n">
        <v>15.082</v>
      </c>
      <c r="AK29" s="15" t="n">
        <v>15.119</v>
      </c>
      <c r="AL29" s="15" t="n">
        <v>14.534</v>
      </c>
      <c r="AM29" s="15" t="n">
        <v>15.079</v>
      </c>
      <c r="AN29" s="15" t="n">
        <v>16.329</v>
      </c>
      <c r="AP29" s="15" t="n">
        <v>152612.525</v>
      </c>
      <c r="AQ29" s="15" t="n">
        <v>158809.5</v>
      </c>
      <c r="AR29" s="15" t="n">
        <v>164593.9032258065</v>
      </c>
      <c r="AS29" s="15" t="n">
        <v>171318.25</v>
      </c>
      <c r="AT29" s="15" t="n">
        <v>178504.6774193548</v>
      </c>
      <c r="AV29" s="15" t="n">
        <v>21697.91666666667</v>
      </c>
      <c r="AW29" s="15" t="n">
        <v>21767.44444444444</v>
      </c>
      <c r="AX29" s="15" t="n">
        <v>21255.64285714286</v>
      </c>
      <c r="AY29" s="15" t="n">
        <v>21939.93548387097</v>
      </c>
      <c r="AZ29" s="15" t="n">
        <v>23322.89655172414</v>
      </c>
      <c r="BB29" s="68" t="n">
        <v>64569.34716780958</v>
      </c>
      <c r="BC29" s="68" t="n">
        <v>64249</v>
      </c>
      <c r="BD29" s="15" t="n">
        <v>320.34716780958</v>
      </c>
      <c r="BE29" s="16" t="n">
        <v>26857</v>
      </c>
    </row>
    <row r="30">
      <c r="A30" t="inlineStr">
        <is>
          <t>WMT</t>
        </is>
      </c>
      <c r="B30">
        <f>A30&amp;" US Equity"</f>
        <v/>
      </c>
      <c r="C30" s="15">
        <f t="array" ref="C30">_xll.BDP($B30,"short_name")</f>
        <v/>
      </c>
      <c r="D30" s="15" t="n">
        <v>1002.84851060079</v>
      </c>
      <c r="E30" s="69" t="n">
        <v>125.79</v>
      </c>
      <c r="F30" s="70" t="n">
        <v>47.77440182301557</v>
      </c>
      <c r="G30" s="70" t="n">
        <v>42.88782816229116</v>
      </c>
      <c r="H30" s="70" t="n">
        <v>38.29223744292238</v>
      </c>
      <c r="I30" s="71" t="n">
        <v>1.28027618788044</v>
      </c>
      <c r="J30" s="15" t="n">
        <v>712.992</v>
      </c>
      <c r="K30" s="72" t="n">
        <v>0.04333871382848616</v>
      </c>
      <c r="L30" s="72" t="n">
        <v>0.1304626126783086</v>
      </c>
      <c r="M30" s="72" t="n">
        <v>0.04816901782985528</v>
      </c>
      <c r="N30" s="72" t="n">
        <v>0.08337301160563726</v>
      </c>
      <c r="O30" s="72" t="n">
        <v>0.09690788682917661</v>
      </c>
      <c r="Q30" s="73" t="n">
        <v>0.1290728</v>
      </c>
      <c r="T30" s="68" t="n">
        <v>4.929877576138814</v>
      </c>
      <c r="AB30" s="15" t="n">
        <v>29825</v>
      </c>
      <c r="AC30" s="15" t="n">
        <v>67095</v>
      </c>
      <c r="AD30" s="15" t="n">
        <v>106180</v>
      </c>
      <c r="AE30" s="15" t="n">
        <v>10727</v>
      </c>
      <c r="AF30" s="16">
        <f>IF(ISNUMBER(_xlfn.SINGLE(_xll.BDP($B30,"BS_LONG_TERM_INVESTMENTS"))),_xlfn.SINGLE(_xll.BDP($B30,"BS_LONG_TERM_INVESTMENTS")),0)</f>
        <v/>
      </c>
      <c r="AG30" s="15" t="n">
        <v>173275</v>
      </c>
      <c r="AH30" s="67" t="n">
        <v>0.1304626126783086</v>
      </c>
      <c r="AJ30" s="15" t="n">
        <v>2.163</v>
      </c>
      <c r="AK30" s="15" t="n">
        <v>2.489</v>
      </c>
      <c r="AL30" s="15" t="n">
        <v>2.633</v>
      </c>
      <c r="AM30" s="15" t="n">
        <v>2.933</v>
      </c>
      <c r="AN30" s="15" t="n">
        <v>3.285</v>
      </c>
      <c r="AP30" s="15" t="n">
        <v>644829.9024390244</v>
      </c>
      <c r="AQ30" s="15" t="n">
        <v>680701.1351351351</v>
      </c>
      <c r="AR30" s="15" t="n">
        <v>712992</v>
      </c>
      <c r="AS30" s="15" t="n">
        <v>748192.6315789474</v>
      </c>
      <c r="AT30" s="15" t="n">
        <v>783881.5277777779</v>
      </c>
      <c r="AV30" s="15" t="n">
        <v>26559.81081081081</v>
      </c>
      <c r="AW30" s="15" t="n">
        <v>29494.69696969697</v>
      </c>
      <c r="AX30" s="15" t="n">
        <v>30900.15625</v>
      </c>
      <c r="AY30" s="15" t="n">
        <v>33871.45454545454</v>
      </c>
      <c r="AZ30" s="15" t="n">
        <v>37504.03333333333</v>
      </c>
      <c r="BB30" s="68" t="n">
        <v>57370.84851060079</v>
      </c>
      <c r="BC30" s="68" t="n">
        <v>56368</v>
      </c>
      <c r="BD30" s="15" t="n">
        <v>1002.84851060079</v>
      </c>
      <c r="BE30" s="16" t="n">
        <v>46462</v>
      </c>
    </row>
    <row r="31">
      <c r="A31" t="inlineStr">
        <is>
          <t>ADP</t>
        </is>
      </c>
      <c r="B31">
        <f>A31&amp;" US Equity"</f>
        <v/>
      </c>
      <c r="C31" s="15">
        <f t="array" ref="C31">_xll.BDP($B31,"short_name")</f>
        <v/>
      </c>
      <c r="D31" s="15" t="n">
        <v>82.14347669964</v>
      </c>
      <c r="E31" s="69" t="n">
        <v>204.01</v>
      </c>
      <c r="F31" s="70" t="n">
        <v>18.60726012404232</v>
      </c>
      <c r="G31" s="70" t="n">
        <v>17.05911865540597</v>
      </c>
      <c r="H31" s="70" t="n">
        <v>15.7475878039367</v>
      </c>
      <c r="I31" s="71" t="n">
        <v>0.3211627423046757</v>
      </c>
      <c r="J31" s="15" t="n">
        <v>21.79723529411765</v>
      </c>
      <c r="K31" s="72" t="n">
        <v>0.2676387915975775</v>
      </c>
      <c r="L31" s="72" t="n">
        <v>0.411709878315874</v>
      </c>
      <c r="M31" s="72" t="n">
        <v>0.05960383633072142</v>
      </c>
      <c r="N31" s="72" t="n">
        <v>0.0801380491551964</v>
      </c>
      <c r="O31" s="72" t="n">
        <v>0.09104208820438142</v>
      </c>
      <c r="Q31" s="73" t="n">
        <v>-0.2068966</v>
      </c>
      <c r="T31" s="68" t="n">
        <v>2.043808582495457</v>
      </c>
      <c r="AB31" s="15" t="n">
        <v>5574</v>
      </c>
      <c r="AC31" s="15" t="n">
        <v>4435.099999999999</v>
      </c>
      <c r="AD31" s="15" t="n">
        <v>6187.999999999995</v>
      </c>
      <c r="AE31" s="15" t="n">
        <v>3347.8</v>
      </c>
      <c r="AF31" s="16" t="n">
        <v>4.4</v>
      </c>
      <c r="AG31" s="15" t="n">
        <v>10623.09999999999</v>
      </c>
      <c r="AH31" s="67" t="n">
        <v>0.411709878315874</v>
      </c>
      <c r="AJ31" s="15" t="n">
        <v>9.166</v>
      </c>
      <c r="AK31" s="15" t="n">
        <v>9.975</v>
      </c>
      <c r="AL31" s="15" t="n">
        <v>10.964</v>
      </c>
      <c r="AM31" s="15" t="n">
        <v>11.959</v>
      </c>
      <c r="AN31" s="15" t="n">
        <v>12.955</v>
      </c>
      <c r="AP31" s="15" t="n">
        <v>19171.88888888889</v>
      </c>
      <c r="AQ31" s="15" t="n">
        <v>20473.13333333333</v>
      </c>
      <c r="AR31" s="15" t="n">
        <v>21797.23529411765</v>
      </c>
      <c r="AS31" s="15" t="n">
        <v>23040.52941176471</v>
      </c>
      <c r="AT31" s="15" t="n">
        <v>24356.5</v>
      </c>
      <c r="AV31" s="15" t="n">
        <v>4933.066666666667</v>
      </c>
      <c r="AW31" s="15" t="n">
        <v>5353.615384615385</v>
      </c>
      <c r="AX31" s="15" t="n">
        <v>5833.785714285714</v>
      </c>
      <c r="AY31" s="15" t="n">
        <v>6309.357142857142</v>
      </c>
      <c r="AZ31" s="15" t="n">
        <v>6746.6</v>
      </c>
      <c r="BB31" s="68" t="n">
        <v>1169.443476699639</v>
      </c>
      <c r="BC31" s="68" t="n">
        <v>1087.299999999999</v>
      </c>
      <c r="BD31" s="15" t="n">
        <v>82.14347669964</v>
      </c>
      <c r="BE31" s="16" t="n">
        <v>6247.3</v>
      </c>
    </row>
    <row r="32">
      <c r="A32" t="inlineStr">
        <is>
          <t>IBM</t>
        </is>
      </c>
      <c r="B32">
        <f>A32&amp;" US Equity"</f>
        <v/>
      </c>
      <c r="C32" s="15">
        <f t="array" ref="C32">_xll.BDP($B32,"short_name")</f>
        <v/>
      </c>
      <c r="D32" s="15" t="n">
        <v>232.87559530752</v>
      </c>
      <c r="E32" s="69" t="n">
        <v>248.16</v>
      </c>
      <c r="F32" s="70" t="n">
        <v>20.0646830530401</v>
      </c>
      <c r="G32" s="70" t="n">
        <v>18.54708520179372</v>
      </c>
      <c r="H32" s="70" t="n">
        <v>16.84839432412248</v>
      </c>
      <c r="I32" s="71" t="n">
        <v>3.160977453079733</v>
      </c>
      <c r="J32" s="15" t="n">
        <v>71.17805263157895</v>
      </c>
      <c r="K32" s="72" t="n">
        <v>0.2065735076527877</v>
      </c>
      <c r="L32" s="72" t="n">
        <v>0.1095648815261291</v>
      </c>
      <c r="M32" s="72" t="n">
        <v>0.05365080155980473</v>
      </c>
      <c r="N32" s="72" t="n">
        <v>0.09329321500054011</v>
      </c>
      <c r="O32" s="72" t="n">
        <v>0.09103990991777522</v>
      </c>
      <c r="Q32" s="73" t="n">
        <v>-0.162216</v>
      </c>
      <c r="T32" s="68" t="n">
        <v>2.203943640889142</v>
      </c>
      <c r="AB32" s="15" t="n">
        <v>10858</v>
      </c>
      <c r="AC32" s="15" t="n">
        <v>64607</v>
      </c>
      <c r="AD32" s="15" t="n">
        <v>32741</v>
      </c>
      <c r="AE32" s="15" t="n">
        <v>13587</v>
      </c>
      <c r="AF32" s="16" t="n">
        <v>7708</v>
      </c>
      <c r="AG32" s="15" t="n">
        <v>97348</v>
      </c>
      <c r="AH32" s="67" t="n">
        <v>0.1095648815261291</v>
      </c>
      <c r="AJ32" s="15" t="n">
        <v>10.19</v>
      </c>
      <c r="AK32" s="15" t="n">
        <v>11.341</v>
      </c>
      <c r="AL32" s="15" t="n">
        <v>12.368</v>
      </c>
      <c r="AM32" s="15" t="n">
        <v>13.38</v>
      </c>
      <c r="AN32" s="15" t="n">
        <v>14.729</v>
      </c>
      <c r="AP32" s="15" t="n">
        <v>62759.31578947369</v>
      </c>
      <c r="AQ32" s="15" t="n">
        <v>67047.45</v>
      </c>
      <c r="AR32" s="15" t="n">
        <v>71178.05263157895</v>
      </c>
      <c r="AS32" s="15" t="n">
        <v>74486.84210526316</v>
      </c>
      <c r="AT32" s="15" t="n">
        <v>78428.22222222223</v>
      </c>
      <c r="AV32" s="15" t="n">
        <v>10764.33333333333</v>
      </c>
      <c r="AW32" s="15" t="n">
        <v>13319.36363636364</v>
      </c>
      <c r="AX32" s="15" t="n">
        <v>14703.5</v>
      </c>
      <c r="AY32" s="15" t="n">
        <v>15907.85714285714</v>
      </c>
      <c r="AZ32" s="15" t="n">
        <v>17405.77777777778</v>
      </c>
      <c r="BB32" s="68" t="n">
        <v>51252.87559530752</v>
      </c>
      <c r="BC32" s="68" t="n">
        <v>51020</v>
      </c>
      <c r="BD32" s="15" t="n">
        <v>232.87559530752</v>
      </c>
      <c r="BE32" s="16" t="n">
        <v>16881</v>
      </c>
    </row>
    <row r="33">
      <c r="A33" t="inlineStr">
        <is>
          <t>MCD</t>
        </is>
      </c>
      <c r="B33">
        <f>A33&amp;" US Equity"</f>
        <v/>
      </c>
      <c r="C33" s="15">
        <f t="array" ref="C33">_xll.BDP($B33,"short_name")</f>
        <v/>
      </c>
      <c r="D33" s="15" t="n">
        <v>218.19183890388</v>
      </c>
      <c r="E33" s="69" t="n">
        <v>307.14</v>
      </c>
      <c r="F33" s="70" t="n">
        <v>23.21717438959861</v>
      </c>
      <c r="G33" s="70" t="n">
        <v>21.28334834730788</v>
      </c>
      <c r="H33" s="70" t="n">
        <v>19.61427932818188</v>
      </c>
      <c r="I33" s="71" t="n">
        <v>3.703330592105263</v>
      </c>
      <c r="J33" s="15" t="n">
        <v>28.75314285714285</v>
      </c>
      <c r="K33" s="72" t="n">
        <v>0.4745298931056545</v>
      </c>
      <c r="L33" s="72" t="n">
        <v>0.1913375528995714</v>
      </c>
      <c r="M33" s="72" t="n">
        <v>0.06253179335328563</v>
      </c>
      <c r="N33" s="72" t="n">
        <v>0.07616257157671025</v>
      </c>
      <c r="O33" s="72" t="n">
        <v>0.08863984072587083</v>
      </c>
      <c r="Q33" s="73" t="n">
        <v>0.004940598</v>
      </c>
      <c r="T33" s="68" t="n">
        <v>2.61927077028494</v>
      </c>
      <c r="AB33" s="15" t="n">
        <v>12393</v>
      </c>
      <c r="AC33" s="15" t="n">
        <v>54813</v>
      </c>
      <c r="AD33" s="15" t="n">
        <v>-1791</v>
      </c>
      <c r="AE33" s="15" t="n">
        <v>774</v>
      </c>
      <c r="AF33" s="16">
        <f>IF(ISNUMBER(_xlfn.SINGLE(_xll.BDP($B33,"BS_LONG_TERM_INVESTMENTS"))),_xlfn.SINGLE(_xll.BDP($B33,"BS_LONG_TERM_INVESTMENTS")),0)</f>
        <v/>
      </c>
      <c r="AG33" s="15" t="n">
        <v>53022</v>
      </c>
      <c r="AH33" s="67" t="n">
        <v>0.1913375528995714</v>
      </c>
      <c r="AJ33" s="15" t="n">
        <v>11.748</v>
      </c>
      <c r="AK33" s="15" t="n">
        <v>12.137</v>
      </c>
      <c r="AL33" s="15" t="n">
        <v>13.229</v>
      </c>
      <c r="AM33" s="15" t="n">
        <v>14.431</v>
      </c>
      <c r="AN33" s="15" t="n">
        <v>15.659</v>
      </c>
      <c r="AP33" s="15" t="n">
        <v>25985.71428571429</v>
      </c>
      <c r="AQ33" s="15" t="n">
        <v>26696.40540540541</v>
      </c>
      <c r="AR33" s="15" t="n">
        <v>28753.14285714286</v>
      </c>
      <c r="AS33" s="15" t="n">
        <v>30419.94285714286</v>
      </c>
      <c r="AT33" s="15" t="n">
        <v>32024.22222222222</v>
      </c>
      <c r="AV33" s="15" t="n">
        <v>11973.70967741936</v>
      </c>
      <c r="AW33" s="15" t="n">
        <v>12503.375</v>
      </c>
      <c r="AX33" s="15" t="n">
        <v>13644.22580645161</v>
      </c>
      <c r="AY33" s="15" t="n">
        <v>14579.41935483871</v>
      </c>
      <c r="AZ33" s="15" t="n">
        <v>15583.35294117647</v>
      </c>
      <c r="BB33" s="68" t="n">
        <v>54257.19183890388</v>
      </c>
      <c r="BC33" s="68" t="n">
        <v>54039</v>
      </c>
      <c r="BD33" s="15" t="n">
        <v>218.19183890388</v>
      </c>
      <c r="BE33" s="16" t="n">
        <v>16223</v>
      </c>
    </row>
    <row r="34">
      <c r="A34" t="inlineStr">
        <is>
          <t>HON</t>
        </is>
      </c>
      <c r="B34">
        <f>A34&amp;" US Equity"</f>
        <v/>
      </c>
      <c r="C34" s="15">
        <f t="array" ref="C34">_xll.BDP($B34,"short_name")</f>
        <v/>
      </c>
      <c r="D34" s="15" t="n">
        <v>145.85578959445</v>
      </c>
      <c r="E34" s="69" t="n">
        <v>229.45</v>
      </c>
      <c r="F34" s="70" t="n">
        <v>21.84405940594059</v>
      </c>
      <c r="G34" s="70" t="n">
        <v>20.03580160670625</v>
      </c>
      <c r="H34" s="70" t="n">
        <v>18.21465428276574</v>
      </c>
      <c r="I34" s="71" t="n">
        <v>3.251400660824594</v>
      </c>
      <c r="J34" s="15" t="n">
        <v>39.52908695652174</v>
      </c>
      <c r="K34" s="72" t="n">
        <v>0.2311675479707872</v>
      </c>
      <c r="L34" s="72" t="n">
        <v>0.07607202031583762</v>
      </c>
      <c r="M34" s="72" t="n">
        <v>0.03105577967239159</v>
      </c>
      <c r="N34" s="72" t="n">
        <v>0.05436042894277082</v>
      </c>
      <c r="O34" s="72" t="n">
        <v>0.08021265638802189</v>
      </c>
      <c r="Q34" s="73" t="n">
        <v>0.1761239</v>
      </c>
      <c r="T34" s="68" t="n">
        <v>2.723268420418821</v>
      </c>
      <c r="AB34" s="15" t="n">
        <v>5573</v>
      </c>
      <c r="AC34" s="15" t="n">
        <v>35563</v>
      </c>
      <c r="AD34" s="15" t="n">
        <v>15030</v>
      </c>
      <c r="AE34" s="15" t="n">
        <v>12487</v>
      </c>
      <c r="AF34" s="16" t="n">
        <v>1404</v>
      </c>
      <c r="AG34" s="15" t="n">
        <v>50593</v>
      </c>
      <c r="AH34" s="67" t="n">
        <v>0.07607202031583762</v>
      </c>
      <c r="AJ34" s="15" t="n">
        <v>9.76</v>
      </c>
      <c r="AK34" s="15" t="n">
        <v>9.994</v>
      </c>
      <c r="AL34" s="15" t="n">
        <v>10.504</v>
      </c>
      <c r="AM34" s="15" t="n">
        <v>11.452</v>
      </c>
      <c r="AN34" s="15" t="n">
        <v>12.597</v>
      </c>
      <c r="AP34" s="15" t="n">
        <v>38285.18181818182</v>
      </c>
      <c r="AQ34" s="15" t="n">
        <v>40275.5</v>
      </c>
      <c r="AR34" s="15" t="n">
        <v>39529.08695652174</v>
      </c>
      <c r="AS34" s="15" t="n">
        <v>41841.17391304348</v>
      </c>
      <c r="AT34" s="15" t="n">
        <v>44145.6</v>
      </c>
      <c r="AV34" s="15" t="n">
        <v>8690.64705882353</v>
      </c>
      <c r="AW34" s="15" t="n">
        <v>9114.111111111111</v>
      </c>
      <c r="AX34" s="15" t="n">
        <v>9137.842105263158</v>
      </c>
      <c r="AY34" s="15" t="n">
        <v>9955.315789473685</v>
      </c>
      <c r="AZ34" s="15" t="n">
        <v>10682.71428571428</v>
      </c>
      <c r="BB34" s="68" t="n">
        <v>23221.85578959445</v>
      </c>
      <c r="BC34" s="68" t="n">
        <v>23076</v>
      </c>
      <c r="BD34" s="15" t="n">
        <v>145.85578959445</v>
      </c>
      <c r="BE34" s="16" t="n">
        <v>7196</v>
      </c>
    </row>
    <row r="35">
      <c r="A35" t="inlineStr">
        <is>
          <t>SBUX</t>
        </is>
      </c>
      <c r="B35">
        <f>A35&amp;" US Equity"</f>
        <v/>
      </c>
      <c r="C35" s="15">
        <f t="array" ref="C35">_xll.BDP($B35,"short_name")</f>
        <v/>
      </c>
      <c r="D35" s="15" t="n">
        <v>102.958541</v>
      </c>
      <c r="E35" s="69" t="n">
        <v>90.37</v>
      </c>
      <c r="F35" s="70" t="n">
        <v>39.60122699386503</v>
      </c>
      <c r="G35" s="70" t="n">
        <v>30.66508313539192</v>
      </c>
      <c r="H35" s="70" t="n">
        <v>25.01937984496124</v>
      </c>
      <c r="I35" s="71" t="n">
        <v>3.310719583446857</v>
      </c>
      <c r="J35" s="15" t="n">
        <v>38.28829729729729</v>
      </c>
      <c r="K35" s="72" t="n">
        <v>0.1026893405436846</v>
      </c>
      <c r="L35" s="72" t="n">
        <v>0.09269310103203637</v>
      </c>
      <c r="M35" s="72" t="n">
        <v>0.04717654317005837</v>
      </c>
      <c r="N35" s="72" t="n">
        <v>0.160472456197178</v>
      </c>
      <c r="O35" s="72" t="n">
        <v>0.1893378284307827</v>
      </c>
      <c r="Q35" s="73" t="n">
        <v>0.07315047</v>
      </c>
      <c r="T35" s="68" t="n">
        <v>2.091564444468226</v>
      </c>
      <c r="AB35" s="15" t="n">
        <v>2705.6</v>
      </c>
      <c r="AC35" s="15" t="n">
        <v>26611.5</v>
      </c>
      <c r="AD35" s="15" t="n">
        <v>-8089.2</v>
      </c>
      <c r="AE35" s="15" t="n">
        <v>3219.8</v>
      </c>
      <c r="AF35" s="16" t="n">
        <v>246.9</v>
      </c>
      <c r="AG35" s="15" t="n">
        <v>18522.3</v>
      </c>
      <c r="AH35" s="67" t="n">
        <v>0.09269310103203637</v>
      </c>
      <c r="AJ35" s="15" t="n">
        <v>3.5</v>
      </c>
      <c r="AK35" s="15" t="n">
        <v>2.147</v>
      </c>
      <c r="AL35" s="15" t="n">
        <v>2.282</v>
      </c>
      <c r="AM35" s="15" t="n">
        <v>2.947</v>
      </c>
      <c r="AN35" s="15" t="n">
        <v>3.612</v>
      </c>
      <c r="AP35" s="15" t="n">
        <v>36404.53125</v>
      </c>
      <c r="AQ35" s="15" t="n">
        <v>36962.67647058823</v>
      </c>
      <c r="AR35" s="15" t="n">
        <v>38288.29729729729</v>
      </c>
      <c r="AS35" s="15" t="n">
        <v>40328.86486486487</v>
      </c>
      <c r="AT35" s="15" t="n">
        <v>42444.66666666666</v>
      </c>
      <c r="AV35" s="15" t="n">
        <v>5684.2</v>
      </c>
      <c r="AW35" s="15" t="n">
        <v>3709.181818181818</v>
      </c>
      <c r="AX35" s="15" t="n">
        <v>3931.8</v>
      </c>
      <c r="AY35" s="15" t="n">
        <v>4889.823529411765</v>
      </c>
      <c r="AZ35" s="15" t="n">
        <v>5796.724137931034</v>
      </c>
      <c r="BB35" s="68" t="n">
        <v>23494.658541</v>
      </c>
      <c r="BC35" s="68" t="n">
        <v>23391.7</v>
      </c>
      <c r="BD35" s="15" t="n">
        <v>102.958541</v>
      </c>
      <c r="BE35" s="16" t="n">
        <v>6606.6</v>
      </c>
    </row>
    <row r="36">
      <c r="A36" t="inlineStr">
        <is>
          <t>NKE</t>
        </is>
      </c>
      <c r="B36">
        <f>A36&amp;" US Equity"</f>
        <v/>
      </c>
      <c r="C36" s="15">
        <f t="array" ref="C36">_xll.BDP($B36,"short_name")</f>
        <v/>
      </c>
      <c r="D36" s="15" t="n">
        <v>65.44039798826999</v>
      </c>
      <c r="E36" s="69" t="n">
        <v>44.19</v>
      </c>
      <c r="F36" s="70" t="n">
        <v>28.82583170254403</v>
      </c>
      <c r="G36" s="70" t="n">
        <v>22.10605302651325</v>
      </c>
      <c r="H36" s="70" t="n">
        <v>17.20794392523364</v>
      </c>
      <c r="I36" s="71" t="n">
        <v>0.876685393258427</v>
      </c>
      <c r="J36" s="15" t="n">
        <v>46.40876315789474</v>
      </c>
      <c r="K36" s="72" t="n">
        <v>0.06021328844547916</v>
      </c>
      <c r="L36" s="72" t="n">
        <v>0.08368167954234181</v>
      </c>
      <c r="M36" s="72" t="n">
        <v>0.0244459172848952</v>
      </c>
      <c r="N36" s="72" t="n">
        <v>0.08402878366614286</v>
      </c>
      <c r="O36" s="72" t="n">
        <v>0.05904181958946997</v>
      </c>
      <c r="Q36" s="73" t="n">
        <v>-0.3063883</v>
      </c>
      <c r="T36" s="87" t="n">
        <v>4.88227359911602</v>
      </c>
      <c r="AB36" s="15" t="n">
        <v>2807</v>
      </c>
      <c r="AC36" s="15" t="n">
        <v>11018</v>
      </c>
      <c r="AD36" s="15" t="n">
        <v>13213</v>
      </c>
      <c r="AE36" s="15" t="n">
        <v>7464</v>
      </c>
      <c r="AF36" s="16">
        <f>IF(ISNUMBER(_xlfn.SINGLE(_xll.BDP($B36,"BS_LONG_TERM_INVESTMENTS"))),_xlfn.SINGLE(_xll.BDP($B36,"BS_LONG_TERM_INVESTMENTS")),0)</f>
        <v/>
      </c>
      <c r="AG36" s="15" t="n">
        <v>24231</v>
      </c>
      <c r="AH36" s="67" t="n">
        <v>0.08368167954234181</v>
      </c>
      <c r="AJ36" s="15" t="n">
        <v>3.692</v>
      </c>
      <c r="AK36" s="15" t="n">
        <v>2.162</v>
      </c>
      <c r="AL36" s="15" t="n">
        <v>1.533</v>
      </c>
      <c r="AM36" s="15" t="n">
        <v>1.999</v>
      </c>
      <c r="AN36" s="15" t="n">
        <v>2.568</v>
      </c>
      <c r="AP36" s="15" t="n">
        <v>51644.48717948718</v>
      </c>
      <c r="AQ36" s="15" t="n">
        <v>45906.79487179487</v>
      </c>
      <c r="AR36" s="15" t="n">
        <v>46408.76315789474</v>
      </c>
      <c r="AS36" s="15" t="n">
        <v>47112.73684210526</v>
      </c>
      <c r="AT36" s="15" t="n">
        <v>49356.46875</v>
      </c>
      <c r="AV36" s="15" t="n">
        <v>6575.615384615385</v>
      </c>
      <c r="AW36" s="15" t="n">
        <v>3573.805555555555</v>
      </c>
      <c r="AX36" s="15" t="n">
        <v>2794.424242424242</v>
      </c>
      <c r="AY36" s="15" t="n">
        <v>3563.060606060606</v>
      </c>
      <c r="AZ36" s="15" t="n">
        <v>4552.535714285714</v>
      </c>
      <c r="BB36" s="68" t="n">
        <v>3619.44039798827</v>
      </c>
      <c r="BC36" s="68" t="n">
        <v>3554</v>
      </c>
      <c r="BD36" s="15" t="n">
        <v>65.44039798826999</v>
      </c>
      <c r="BE36" s="16" t="n">
        <v>3560</v>
      </c>
    </row>
    <row r="37">
      <c r="A37" t="inlineStr">
        <is>
          <t>UNP</t>
        </is>
      </c>
      <c r="B37">
        <f>A37&amp;" US Equity"</f>
        <v/>
      </c>
      <c r="C37" s="15">
        <f t="array" ref="C37">_xll.BDP($B37,"short_name")</f>
        <v/>
      </c>
      <c r="D37" s="15" t="n">
        <v>145.279016793</v>
      </c>
      <c r="E37" s="69" t="n">
        <v>244.71</v>
      </c>
      <c r="F37" s="70" t="n">
        <v>19.65226469643431</v>
      </c>
      <c r="G37" s="70" t="n">
        <v>18.03316138540899</v>
      </c>
      <c r="H37" s="70" t="n">
        <v>16.41247484909457</v>
      </c>
      <c r="I37" s="71" t="n">
        <v>2.542929087807652</v>
      </c>
      <c r="J37" s="15" t="n">
        <v>25.46408</v>
      </c>
      <c r="K37" s="72" t="n">
        <v>0.415426535946107</v>
      </c>
      <c r="L37" s="72" t="n">
        <v>0.1184227200669516</v>
      </c>
      <c r="M37" s="72" t="n">
        <v>0.07362975897406243</v>
      </c>
      <c r="N37" s="72" t="n">
        <v>0.08344203904304548</v>
      </c>
      <c r="O37" s="72" t="n">
        <v>0.08447874380525677</v>
      </c>
      <c r="Q37" s="73" t="n">
        <v>0.05788515</v>
      </c>
      <c r="T37" s="68" t="n">
        <v>2.326296984450594</v>
      </c>
      <c r="AB37" s="15" t="n">
        <v>9846</v>
      </c>
      <c r="AC37" s="15" t="n">
        <v>32822</v>
      </c>
      <c r="AD37" s="15" t="n">
        <v>18467</v>
      </c>
      <c r="AE37" s="15" t="n">
        <v>1266</v>
      </c>
      <c r="AF37" s="16" t="n">
        <v>2885</v>
      </c>
      <c r="AG37" s="15" t="n">
        <v>51289</v>
      </c>
      <c r="AH37" s="67" t="n">
        <v>0.1184227200669516</v>
      </c>
      <c r="AJ37" s="15" t="n">
        <v>10.963</v>
      </c>
      <c r="AK37" s="15" t="n">
        <v>11.69</v>
      </c>
      <c r="AL37" s="15" t="n">
        <v>12.452</v>
      </c>
      <c r="AM37" s="15" t="n">
        <v>13.57</v>
      </c>
      <c r="AN37" s="15" t="n">
        <v>14.91</v>
      </c>
      <c r="AP37" s="15" t="n">
        <v>24284</v>
      </c>
      <c r="AQ37" s="15" t="n">
        <v>24536.33333333333</v>
      </c>
      <c r="AR37" s="15" t="n">
        <v>25464.08</v>
      </c>
      <c r="AS37" s="15" t="n">
        <v>26713.65217391304</v>
      </c>
      <c r="AT37" s="15" t="n">
        <v>30365</v>
      </c>
      <c r="AV37" s="15" t="n">
        <v>9635.192307692309</v>
      </c>
      <c r="AW37" s="15" t="n">
        <v>9979.440000000001</v>
      </c>
      <c r="AX37" s="15" t="n">
        <v>10578.45454545455</v>
      </c>
      <c r="AY37" s="15" t="n">
        <v>11397.63636363636</v>
      </c>
      <c r="AZ37" s="15" t="n">
        <v>12691.8</v>
      </c>
      <c r="BB37" s="68" t="n">
        <v>31701.279016793</v>
      </c>
      <c r="BC37" s="68" t="n">
        <v>31556</v>
      </c>
      <c r="BD37" s="15" t="n">
        <v>145.279016793</v>
      </c>
      <c r="BE37" s="16" t="n">
        <v>12616</v>
      </c>
    </row>
    <row r="38">
      <c r="A38" t="inlineStr">
        <is>
          <t>ETN</t>
        </is>
      </c>
      <c r="B38">
        <f>A38&amp;" US Equity"</f>
        <v/>
      </c>
      <c r="C38" s="15">
        <f t="array" ref="C38">_xll.BDP($B38,"short_name")</f>
        <v/>
      </c>
      <c r="D38" s="15" t="n">
        <v>140.101506274</v>
      </c>
      <c r="E38" s="69" t="n">
        <v>361.1</v>
      </c>
      <c r="F38" s="70" t="n">
        <v>27.21175584024115</v>
      </c>
      <c r="G38" s="70" t="n">
        <v>23.60902255639098</v>
      </c>
      <c r="H38" s="70" t="n">
        <v>20.73023709742236</v>
      </c>
      <c r="I38" s="71" t="n">
        <v>1.589607464607465</v>
      </c>
      <c r="J38" s="15" t="n">
        <v>30.46578787878788</v>
      </c>
      <c r="K38" s="72" t="n">
        <v>0.2070015162846068</v>
      </c>
      <c r="L38" s="72" t="n">
        <v>0.1485483623990184</v>
      </c>
      <c r="M38" s="72" t="n">
        <v>0.101775980989973</v>
      </c>
      <c r="N38" s="72" t="n">
        <v>0.132715606794132</v>
      </c>
      <c r="O38" s="72" t="n">
        <v>0.1302884692161195</v>
      </c>
      <c r="Q38" s="73" t="n">
        <v>0.1337163</v>
      </c>
      <c r="T38" s="68" t="n">
        <v>2.088577446949885</v>
      </c>
      <c r="AB38" s="15" t="n">
        <v>5209</v>
      </c>
      <c r="AC38" s="15" t="n">
        <v>10684</v>
      </c>
      <c r="AD38" s="15" t="n">
        <v>19469</v>
      </c>
      <c r="AE38" s="15" t="n">
        <v>622</v>
      </c>
      <c r="AF38" s="16">
        <f>IF(ISNUMBER(_xlfn.SINGLE(_xll.BDP($B38,"BS_LONG_TERM_INVESTMENTS"))),_xlfn.SINGLE(_xll.BDP($B38,"BS_LONG_TERM_INVESTMENTS")),0)</f>
        <v/>
      </c>
      <c r="AG38" s="15" t="n">
        <v>30153</v>
      </c>
      <c r="AH38" s="67" t="n">
        <v>0.1485483623990184</v>
      </c>
      <c r="AJ38" s="15" t="n">
        <v>10.783</v>
      </c>
      <c r="AK38" s="15" t="n">
        <v>12.063</v>
      </c>
      <c r="AL38" s="15" t="n">
        <v>13.27</v>
      </c>
      <c r="AM38" s="15" t="n">
        <v>15.295</v>
      </c>
      <c r="AN38" s="15" t="n">
        <v>17.419</v>
      </c>
      <c r="AP38" s="15" t="n">
        <v>24994.96428571429</v>
      </c>
      <c r="AQ38" s="15" t="n">
        <v>27458.42857142857</v>
      </c>
      <c r="AR38" s="15" t="n">
        <v>30465.78787878788</v>
      </c>
      <c r="AS38" s="15" t="n">
        <v>33266.96774193548</v>
      </c>
      <c r="AT38" s="15" t="n">
        <v>36724.47368421053</v>
      </c>
      <c r="AV38" s="15" t="n">
        <v>4844.739130434783</v>
      </c>
      <c r="AW38" s="15" t="n">
        <v>5629</v>
      </c>
      <c r="AX38" s="15" t="n">
        <v>6306.464285714286</v>
      </c>
      <c r="AY38" s="15" t="n">
        <v>7136.137931034483</v>
      </c>
      <c r="AZ38" s="15" t="n">
        <v>8180.764705882353</v>
      </c>
      <c r="BB38" s="68" t="n">
        <v>10202.101506274</v>
      </c>
      <c r="BC38" s="68" t="n">
        <v>10062</v>
      </c>
      <c r="BD38" s="15" t="n">
        <v>140.101506274</v>
      </c>
      <c r="BE38" s="16" t="n">
        <v>6465</v>
      </c>
    </row>
    <row r="39">
      <c r="A39" s="37" t="inlineStr">
        <is>
          <t>Average</t>
        </is>
      </c>
      <c r="B39" s="36" t="n"/>
      <c r="C39" s="38" t="n"/>
      <c r="D39" s="38" t="n"/>
      <c r="E39" s="82" t="n"/>
      <c r="F39" s="83">
        <f>AVERAGE(F29:F38)</f>
        <v/>
      </c>
      <c r="G39" s="83">
        <f>AVERAGE(G29:G38)</f>
        <v/>
      </c>
      <c r="H39" s="83">
        <f>AVERAGE(H29:H38)</f>
        <v/>
      </c>
      <c r="I39" s="84">
        <f>AVERAGE(I29:I38)</f>
        <v/>
      </c>
      <c r="J39" s="85" t="n"/>
      <c r="K39" s="85">
        <f>AVERAGE(K29:K38)</f>
        <v/>
      </c>
      <c r="L39" s="85">
        <f>AVERAGE(L29:L38)</f>
        <v/>
      </c>
      <c r="M39" s="85">
        <f>AVERAGE(M29:M38)</f>
        <v/>
      </c>
      <c r="N39" s="85">
        <f>AVERAGE(N29:N38)</f>
        <v/>
      </c>
      <c r="O39" s="85">
        <f>AVERAGE(O29:O38)</f>
        <v/>
      </c>
      <c r="P39" s="36" t="n"/>
      <c r="Q39" s="36" t="n"/>
      <c r="R39" s="36" t="n"/>
      <c r="S39" s="36" t="n"/>
      <c r="T39" s="86">
        <f>F39/O39/100</f>
        <v/>
      </c>
      <c r="AB39" s="15" t="n"/>
      <c r="AC39" s="15" t="n"/>
      <c r="AD39" s="15" t="n"/>
      <c r="AE39" s="15" t="n"/>
      <c r="AF39" s="16" t="n"/>
      <c r="AG39" s="15" t="n"/>
      <c r="AH39" s="67" t="n"/>
      <c r="AJ39" s="15" t="n"/>
      <c r="AK39" s="15" t="n"/>
      <c r="AL39" s="15" t="n"/>
      <c r="AM39" s="15" t="n"/>
      <c r="AN39" s="15" t="n"/>
      <c r="AP39" s="15" t="n"/>
      <c r="AQ39" s="15" t="n"/>
      <c r="AR39" s="15" t="n"/>
      <c r="AS39" s="15" t="n"/>
      <c r="AT39" s="15" t="n"/>
      <c r="AV39" s="15" t="n"/>
      <c r="AW39" s="15" t="n"/>
      <c r="AX39" s="15" t="n"/>
      <c r="AY39" s="15" t="n"/>
      <c r="AZ39" s="15" t="n"/>
      <c r="BB39" s="68" t="n"/>
      <c r="BC39" s="68" t="n"/>
      <c r="BD39" s="15" t="n"/>
      <c r="BE39" s="16" t="n"/>
    </row>
    <row r="40">
      <c r="C40" s="15" t="n"/>
      <c r="D40" s="15" t="n"/>
      <c r="E40" s="69" t="n"/>
      <c r="F40" s="70" t="n"/>
      <c r="G40" s="70" t="n"/>
      <c r="H40" s="70" t="n"/>
      <c r="I40" s="71" t="n"/>
      <c r="J40" s="15" t="n"/>
      <c r="K40" s="72" t="n"/>
      <c r="L40" s="72" t="n"/>
      <c r="M40" s="72" t="n"/>
      <c r="N40" s="72" t="n"/>
      <c r="O40" s="72" t="n"/>
      <c r="AB40" s="15" t="n"/>
      <c r="AC40" s="15" t="n"/>
      <c r="AD40" s="15" t="n"/>
      <c r="AE40" s="15" t="n"/>
      <c r="AF40" s="16" t="n"/>
      <c r="AG40" s="15" t="n"/>
      <c r="AH40" s="67" t="n"/>
      <c r="AJ40" s="15" t="n"/>
      <c r="AK40" s="15" t="n"/>
      <c r="AL40" s="15" t="n"/>
      <c r="AM40" s="15" t="n"/>
      <c r="AN40" s="15" t="n"/>
      <c r="AP40" s="15" t="n"/>
      <c r="AQ40" s="15" t="n"/>
      <c r="AR40" s="15" t="n"/>
      <c r="AS40" s="15" t="n"/>
      <c r="AT40" s="15" t="n"/>
      <c r="AV40" s="15" t="n"/>
      <c r="AW40" s="15" t="n"/>
      <c r="AX40" s="15" t="n"/>
      <c r="AY40" s="15" t="n"/>
      <c r="AZ40" s="15" t="n"/>
      <c r="BB40" s="68" t="n"/>
      <c r="BC40" s="68" t="n"/>
      <c r="BD40" s="15" t="n"/>
      <c r="BE40" s="16" t="n"/>
    </row>
    <row r="41">
      <c r="A41" s="7" t="inlineStr">
        <is>
          <t>Other businesses we own</t>
        </is>
      </c>
      <c r="B41" s="8" t="n"/>
      <c r="C41" s="9" t="n"/>
      <c r="D41" s="9" t="n"/>
      <c r="E41" s="63" t="n"/>
      <c r="F41" s="64" t="n"/>
      <c r="G41" s="64" t="n"/>
      <c r="H41" s="64" t="n"/>
      <c r="I41" s="88" t="n"/>
      <c r="J41" s="9" t="n"/>
      <c r="K41" s="89" t="n"/>
      <c r="L41" s="89" t="n"/>
      <c r="M41" s="89" t="n"/>
      <c r="N41" s="89" t="n"/>
      <c r="O41" s="89" t="n"/>
      <c r="P41" s="8" t="n"/>
      <c r="Q41" s="8" t="n"/>
      <c r="R41" s="8" t="n"/>
      <c r="S41" s="8" t="n"/>
      <c r="T41" s="14" t="n"/>
      <c r="AB41" s="15" t="n"/>
      <c r="AC41" s="15" t="n"/>
      <c r="AD41" s="15" t="n"/>
      <c r="AE41" s="15" t="n"/>
      <c r="AF41" s="16" t="n"/>
      <c r="AG41" s="15" t="n"/>
      <c r="AH41" s="67" t="n"/>
      <c r="AJ41" s="15" t="n"/>
      <c r="AK41" s="15" t="n"/>
      <c r="AL41" s="15" t="n"/>
      <c r="AM41" s="15" t="n"/>
      <c r="AN41" s="15" t="n"/>
      <c r="AP41" s="15" t="n"/>
      <c r="AQ41" s="15" t="n"/>
      <c r="AR41" s="15" t="n"/>
      <c r="AS41" s="15" t="n"/>
      <c r="AT41" s="15" t="n"/>
      <c r="AV41" s="15" t="n"/>
      <c r="AW41" s="15" t="n"/>
      <c r="AX41" s="15" t="n"/>
      <c r="AY41" s="15" t="n"/>
      <c r="AZ41" s="15" t="n"/>
      <c r="BB41" s="68" t="n"/>
      <c r="BC41" s="68" t="n"/>
      <c r="BD41" s="15" t="n"/>
      <c r="BE41" s="16" t="n"/>
    </row>
    <row r="42">
      <c r="A42" s="19" t="inlineStr">
        <is>
          <t>HCA</t>
        </is>
      </c>
      <c r="B42">
        <f>A42&amp;" US Equity"</f>
        <v/>
      </c>
      <c r="C42" s="15">
        <f t="array" ref="C42">_xll.BDP($B42,"short_name")</f>
        <v/>
      </c>
      <c r="D42" s="15" t="n">
        <v>105.48878091744</v>
      </c>
      <c r="E42" s="69" t="n">
        <v>471.84</v>
      </c>
      <c r="F42" s="70" t="n">
        <v>15.53843114009089</v>
      </c>
      <c r="G42" s="70" t="n">
        <v>14.15619093336533</v>
      </c>
      <c r="H42" s="70" t="n">
        <v>12.63800723182001</v>
      </c>
      <c r="I42" s="71" t="n">
        <v>3.085614669421488</v>
      </c>
      <c r="J42" s="15" t="n">
        <v>78.66312499999999</v>
      </c>
      <c r="K42" s="72" t="n">
        <v>0.156625695542437</v>
      </c>
      <c r="L42" s="72" t="n">
        <v>0.2093997986300319</v>
      </c>
      <c r="M42" s="72" t="n">
        <v>0.04742017500858919</v>
      </c>
      <c r="N42" s="72" t="n">
        <v>0.04405752187630929</v>
      </c>
      <c r="O42" s="72" t="n">
        <v>0.1047509914099656</v>
      </c>
      <c r="Q42" s="73" t="n">
        <v>0.01066704</v>
      </c>
      <c r="T42" s="74" t="n">
        <v>1.483368408350227</v>
      </c>
      <c r="AB42" s="15" t="n">
        <v>11965</v>
      </c>
      <c r="AC42" s="15" t="n">
        <v>48830</v>
      </c>
      <c r="AD42" s="15" t="n">
        <v>-2771</v>
      </c>
      <c r="AE42" s="15" t="n">
        <v>1040</v>
      </c>
      <c r="AF42" s="16" t="n">
        <v>485</v>
      </c>
      <c r="AG42" s="15" t="n">
        <v>46059</v>
      </c>
      <c r="AH42" s="67" t="n">
        <v>0.2093997986300319</v>
      </c>
      <c r="AJ42" s="15" t="n">
        <v>21.932</v>
      </c>
      <c r="AK42" s="15" t="n">
        <v>27.69</v>
      </c>
      <c r="AL42" s="15" t="n">
        <v>30.366</v>
      </c>
      <c r="AM42" s="15" t="n">
        <v>33.331</v>
      </c>
      <c r="AN42" s="15" t="n">
        <v>37.335</v>
      </c>
      <c r="AP42" s="15" t="n">
        <v>70541.31818181818</v>
      </c>
      <c r="AQ42" s="15" t="n">
        <v>75765.81818181818</v>
      </c>
      <c r="AR42" s="15" t="n">
        <v>78663.125</v>
      </c>
      <c r="AS42" s="15" t="n">
        <v>82444.52173913043</v>
      </c>
      <c r="AT42" s="15" t="n">
        <v>87063.5</v>
      </c>
      <c r="AV42" s="15" t="n">
        <v>10571.36842105263</v>
      </c>
      <c r="AW42" s="15" t="n">
        <v>11973.52631578948</v>
      </c>
      <c r="AX42" s="15" t="n">
        <v>12320.66666666667</v>
      </c>
      <c r="AY42" s="15" t="n">
        <v>12918.33333333333</v>
      </c>
      <c r="AZ42" s="15" t="n">
        <v>13626.84615384615</v>
      </c>
      <c r="BB42" s="68" t="n">
        <v>47895.48878091744</v>
      </c>
      <c r="BC42" s="68" t="n">
        <v>47790</v>
      </c>
      <c r="BD42" s="15" t="n">
        <v>105.48878091744</v>
      </c>
      <c r="BE42" s="16" t="n">
        <v>16004</v>
      </c>
    </row>
    <row r="43">
      <c r="A43" s="19" t="inlineStr">
        <is>
          <t>UNH</t>
        </is>
      </c>
      <c r="B43">
        <f>A43&amp;" US Equity"</f>
        <v/>
      </c>
      <c r="C43" s="15">
        <f t="array" ref="C43">_xll.BDP($B43,"short_name")</f>
        <v/>
      </c>
      <c r="D43" s="15" t="n">
        <v>251.66220312114</v>
      </c>
      <c r="E43" s="69" t="n">
        <v>277.26</v>
      </c>
      <c r="F43" s="70" t="n">
        <v>15.52233792408465</v>
      </c>
      <c r="G43" s="70" t="n">
        <v>13.96705455644552</v>
      </c>
      <c r="H43" s="70" t="n">
        <v>11.6061785759136</v>
      </c>
      <c r="I43" s="71" t="n">
        <v>2.352968917470525</v>
      </c>
      <c r="J43" s="15" t="n">
        <v>440.6198260869566</v>
      </c>
      <c r="K43" s="72" t="n">
        <v>0.05329162792019463</v>
      </c>
      <c r="L43" s="72" t="n">
        <v>0.08674036867936624</v>
      </c>
      <c r="M43" s="72" t="n">
        <v>0.02480850036454729</v>
      </c>
      <c r="N43" s="72" t="n">
        <v>0.1089830844013311</v>
      </c>
      <c r="O43" s="72" t="n">
        <v>0.1354271428728624</v>
      </c>
      <c r="Q43" s="73" t="n">
        <v>-0.1600981</v>
      </c>
      <c r="T43" s="74" t="n">
        <v>1.146176283040753</v>
      </c>
      <c r="AB43" s="15" t="n">
        <v>18964</v>
      </c>
      <c r="AC43" s="15" t="n">
        <v>83004</v>
      </c>
      <c r="AD43" s="15" t="n">
        <v>101698</v>
      </c>
      <c r="AE43" s="15" t="n">
        <v>24365</v>
      </c>
      <c r="AF43" s="16" t="n">
        <v>54251</v>
      </c>
      <c r="AG43" s="15" t="n">
        <v>184702</v>
      </c>
      <c r="AH43" s="67" t="n">
        <v>0.08674036867936624</v>
      </c>
      <c r="AJ43" s="15" t="n">
        <v>27.547</v>
      </c>
      <c r="AK43" s="15" t="n">
        <v>16.32</v>
      </c>
      <c r="AL43" s="15" t="n">
        <v>17.862</v>
      </c>
      <c r="AM43" s="15" t="n">
        <v>19.851</v>
      </c>
      <c r="AN43" s="15" t="n">
        <v>23.889</v>
      </c>
      <c r="AP43" s="15" t="n">
        <v>400992.2857142857</v>
      </c>
      <c r="AQ43" s="15" t="n">
        <v>448006.8333333333</v>
      </c>
      <c r="AR43" s="15" t="n">
        <v>440619.8260869565</v>
      </c>
      <c r="AS43" s="15" t="n">
        <v>455314.0434782609</v>
      </c>
      <c r="AT43" s="15" t="n">
        <v>482184</v>
      </c>
      <c r="AV43" s="15" t="n">
        <v>33370.91304347826</v>
      </c>
      <c r="AW43" s="15" t="n">
        <v>21932.05</v>
      </c>
      <c r="AX43" s="15" t="n">
        <v>23481.34782608696</v>
      </c>
      <c r="AY43" s="15" t="n">
        <v>25964</v>
      </c>
      <c r="AZ43" s="15" t="n">
        <v>29912.58823529412</v>
      </c>
      <c r="BB43" s="68" t="n">
        <v>58890.66220312114</v>
      </c>
      <c r="BC43" s="68" t="n">
        <v>58639</v>
      </c>
      <c r="BD43" s="15" t="n">
        <v>251.66220312114</v>
      </c>
      <c r="BE43" s="16" t="n">
        <v>24925</v>
      </c>
      <c r="BK43" s="47" t="n"/>
      <c r="BL43" s="47" t="n"/>
      <c r="BM43" s="47" t="n"/>
      <c r="BN43" s="47" t="n"/>
      <c r="BO43" s="47" t="n"/>
      <c r="BP43" s="47" t="n"/>
      <c r="BQ43" s="47" t="n"/>
      <c r="BR43" s="47" t="n"/>
      <c r="BS43" s="47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</row>
    <row r="44">
      <c r="A44" s="19" t="inlineStr">
        <is>
          <t>CACC</t>
        </is>
      </c>
      <c r="B44">
        <f>A44&amp;" US Equity"</f>
        <v/>
      </c>
      <c r="C44" s="15">
        <f t="array" ref="C44">_xll.BDP($B44,"short_name")</f>
        <v/>
      </c>
      <c r="D44" s="15" t="n">
        <v>4.47651702982</v>
      </c>
      <c r="E44" s="69" t="n">
        <v>416.51</v>
      </c>
      <c r="F44" s="70" t="n">
        <v>8.874565870496239</v>
      </c>
      <c r="G44" s="70" t="n">
        <v>7.556422351233671</v>
      </c>
      <c r="H44" s="70" t="n">
        <v>5.584741217484581</v>
      </c>
      <c r="I44" s="15" t="n">
        <v>6.001611527158971</v>
      </c>
      <c r="J44" s="15" t="n">
        <v>2.36675</v>
      </c>
      <c r="K44" s="72" t="n">
        <v>0.4520967571564382</v>
      </c>
      <c r="L44" s="15" t="n">
        <v>0.08735311657441393</v>
      </c>
      <c r="M44" s="72" t="n">
        <v>0.03034668858084699</v>
      </c>
      <c r="N44" s="15" t="n">
        <v>0</v>
      </c>
      <c r="O44" s="72" t="n">
        <v>0.2352629816153426</v>
      </c>
      <c r="Q44" s="73" t="n">
        <v>-0.06077209</v>
      </c>
      <c r="T44" s="74" t="n">
        <v>0.3772189661782934</v>
      </c>
      <c r="AB44" s="15" t="n">
        <v>565.4</v>
      </c>
      <c r="AC44" s="15" t="n">
        <v>6353.9</v>
      </c>
      <c r="AD44" s="15" t="n">
        <v>1523.6</v>
      </c>
      <c r="AE44" s="15" t="n">
        <v>22.8</v>
      </c>
      <c r="AF44" s="16" t="n">
        <v>7909.2</v>
      </c>
      <c r="AG44" s="15" t="n">
        <v>7877.5</v>
      </c>
      <c r="AH44" s="67" t="n">
        <v>0.08735311657441393</v>
      </c>
      <c r="AJ44" s="15" t="n">
        <v>36.693</v>
      </c>
      <c r="AK44" s="15" t="n">
        <v>39.568</v>
      </c>
      <c r="AL44" s="15" t="n">
        <v>46.933</v>
      </c>
      <c r="AM44" s="15" t="n">
        <v>55.12</v>
      </c>
      <c r="AN44" s="15" t="n">
        <v>74.58</v>
      </c>
      <c r="AP44" s="15" t="n">
        <v>2157.5</v>
      </c>
      <c r="AQ44" s="15" t="n">
        <v>2321.2</v>
      </c>
      <c r="AR44" s="15" t="n">
        <v>2366.75</v>
      </c>
      <c r="AS44" s="15" t="n">
        <v>2479.25</v>
      </c>
      <c r="AT44" s="15" t="n">
        <v>2539</v>
      </c>
      <c r="AV44" s="15" t="n">
        <v>521</v>
      </c>
      <c r="AW44" s="15" t="n">
        <v>1016</v>
      </c>
      <c r="AX44" s="15" t="n">
        <v>1070</v>
      </c>
      <c r="AY44" s="15" t="n">
        <v>1155</v>
      </c>
      <c r="AZ44" s="15">
        <f>_xll.BDP($B44,"BEST_EBIT","BEST_FPERIOD_OVERRIDE=28Y")</f>
        <v/>
      </c>
      <c r="BB44" s="68" t="n">
        <v>6335.576517029819</v>
      </c>
      <c r="BC44" s="68" t="n">
        <v>6331.099999999999</v>
      </c>
      <c r="BD44" s="15" t="n">
        <v>4.47651702982</v>
      </c>
      <c r="BE44" s="16" t="n">
        <v>1054.9</v>
      </c>
      <c r="BK44" s="47" t="n"/>
      <c r="BL44" s="47" t="n"/>
      <c r="BM44" s="47" t="n"/>
      <c r="BN44" s="47" t="n"/>
      <c r="BO44" s="47" t="n"/>
      <c r="BP44" s="47" t="n"/>
      <c r="BQ44" s="47" t="n"/>
      <c r="BR44" s="47" t="n"/>
      <c r="BS44" s="47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</row>
    <row r="45">
      <c r="A45" s="19" t="inlineStr">
        <is>
          <t>GL</t>
        </is>
      </c>
      <c r="B45">
        <f>A45&amp;" US Equity"</f>
        <v/>
      </c>
      <c r="C45" s="15">
        <f t="array" ref="C45">_xll.BDP($B45,"short_name")</f>
        <v/>
      </c>
      <c r="D45" s="15" t="n">
        <v>11.186193543</v>
      </c>
      <c r="E45" s="69" t="n">
        <v>142.6</v>
      </c>
      <c r="F45" s="70" t="n">
        <v>9.294746447660017</v>
      </c>
      <c r="G45" s="70" t="n">
        <v>8.635620420274934</v>
      </c>
      <c r="H45" s="70" t="n">
        <v>7.857615164205422</v>
      </c>
      <c r="I45" s="15" t="n">
        <v>0</v>
      </c>
      <c r="J45" s="15" t="n">
        <v>6.403375</v>
      </c>
      <c r="K45" s="72" t="n">
        <v>0.2545532629277529</v>
      </c>
      <c r="L45" s="15" t="n">
        <v>0.07065791899456549</v>
      </c>
      <c r="M45" s="72" t="n">
        <v>0.06227422557650253</v>
      </c>
      <c r="N45" s="72" t="n">
        <v>0.02400756312345376</v>
      </c>
      <c r="O45" s="72" t="n">
        <v>0.07579652471013087</v>
      </c>
      <c r="Q45" s="73" t="n">
        <v>0.01959102</v>
      </c>
      <c r="T45" s="74" t="n">
        <v>1.226276070467079</v>
      </c>
      <c r="AB45" s="15" t="n">
        <v>1577.196</v>
      </c>
      <c r="AC45" s="15" t="n">
        <v>2625.449</v>
      </c>
      <c r="AD45" s="15" t="n">
        <v>5974.579</v>
      </c>
      <c r="AE45" s="15" t="n">
        <v>144.704</v>
      </c>
      <c r="AF45" s="16" t="n">
        <v>20470.009</v>
      </c>
      <c r="AG45" s="15" t="n">
        <v>8600.028</v>
      </c>
      <c r="AH45" s="67" t="n">
        <v>0.07065791899456549</v>
      </c>
      <c r="AJ45" s="15" t="n">
        <v>12.305</v>
      </c>
      <c r="AK45" s="15" t="n">
        <v>14.576</v>
      </c>
      <c r="AL45" s="15" t="n">
        <v>15.342</v>
      </c>
      <c r="AM45" s="15" t="n">
        <v>16.513</v>
      </c>
      <c r="AN45" s="15" t="n">
        <v>18.148</v>
      </c>
      <c r="AP45" s="15" t="n">
        <v>5813.666666666667</v>
      </c>
      <c r="AQ45" s="15" t="n">
        <v>6031.125</v>
      </c>
      <c r="AR45" s="15" t="n">
        <v>6403.375</v>
      </c>
      <c r="AS45" s="15" t="n">
        <v>6783.625</v>
      </c>
      <c r="AT45" s="15" t="n">
        <v>7229.5</v>
      </c>
      <c r="AV45" s="15" t="n">
        <v>1546</v>
      </c>
      <c r="AW45" s="15" t="n">
        <v>1681</v>
      </c>
      <c r="AX45" s="15" t="n">
        <v>1630</v>
      </c>
      <c r="AY45" s="15" t="n">
        <v>1681.5</v>
      </c>
      <c r="AZ45" s="15" t="n">
        <v>1805</v>
      </c>
      <c r="BB45" s="68" t="n">
        <v>2491.931193543</v>
      </c>
      <c r="BC45" s="68" t="n">
        <v>2480.745</v>
      </c>
      <c r="BD45" s="15" t="n">
        <v>11.186193543</v>
      </c>
      <c r="BE45" s="16">
        <f>_xll.BDP($B45,"EBITDA")</f>
        <v/>
      </c>
      <c r="BK45" s="47" t="n"/>
      <c r="BL45" s="47" t="n"/>
      <c r="BM45" s="47" t="n"/>
      <c r="BN45" s="47" t="n"/>
      <c r="BO45" s="47" t="n"/>
      <c r="BP45" s="47" t="n"/>
      <c r="BQ45" s="47" t="n"/>
      <c r="BR45" s="47" t="n"/>
      <c r="BS45" s="47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</row>
    <row r="46">
      <c r="A46" s="19" t="inlineStr">
        <is>
          <t>APO</t>
        </is>
      </c>
      <c r="B46">
        <f>A46&amp;" US Equity"</f>
        <v/>
      </c>
      <c r="C46" s="15">
        <f t="array" ref="C46">_xll.BDP($B46,"short_name")</f>
        <v/>
      </c>
      <c r="D46" s="15" t="n">
        <v>61.89559505952001</v>
      </c>
      <c r="E46" s="69" t="n">
        <v>107.04</v>
      </c>
      <c r="F46" s="70" t="n">
        <v>11.67794021383373</v>
      </c>
      <c r="G46" s="70" t="n">
        <v>9.938718662952647</v>
      </c>
      <c r="H46" s="70" t="n">
        <v>8.559091636014713</v>
      </c>
      <c r="I46" s="15" t="n">
        <v>-0.03904555314533623</v>
      </c>
      <c r="J46" s="15" t="n">
        <v>23.13966666666667</v>
      </c>
      <c r="K46" s="72" t="n">
        <v>0.3021651132975122</v>
      </c>
      <c r="L46" s="72" t="n">
        <v>0.1042182448598488</v>
      </c>
      <c r="M46" s="15" t="n">
        <v>0.1604210500469614</v>
      </c>
      <c r="N46" s="15" t="n">
        <v>0.1839269257738438</v>
      </c>
      <c r="O46" s="72" t="n">
        <v>0.1627671313053276</v>
      </c>
      <c r="Q46" s="73" t="n">
        <v>-0.2605692</v>
      </c>
      <c r="T46" s="74" t="n">
        <v>0.7174630479864885</v>
      </c>
      <c r="AB46" s="15" t="n">
        <v>6813</v>
      </c>
      <c r="AC46" s="15" t="n">
        <v>18347</v>
      </c>
      <c r="AD46" s="15" t="n">
        <v>42515</v>
      </c>
      <c r="AE46" s="15" t="n">
        <v>18671</v>
      </c>
      <c r="AF46" s="16">
        <f>IF(ISNUMBER(_xlfn.SINGLE(_xll.BDP($B46,"BS_LONG_TERM_INVESTMENTS"))),_xlfn.SINGLE(_xll.BDP($B46,"BS_LONG_TERM_INVESTMENTS")),0)</f>
        <v/>
      </c>
      <c r="AG46" s="15" t="n">
        <v>60862</v>
      </c>
      <c r="AH46" s="67" t="n">
        <v>0.1042182448598488</v>
      </c>
      <c r="AJ46" s="15" t="n">
        <v>7.098</v>
      </c>
      <c r="AK46" s="15" t="n">
        <v>7.955</v>
      </c>
      <c r="AL46" s="15" t="n">
        <v>9.166</v>
      </c>
      <c r="AM46" s="15" t="n">
        <v>10.77</v>
      </c>
      <c r="AN46" s="48" t="n">
        <v>12.506</v>
      </c>
      <c r="AP46" s="15" t="n">
        <v>16054.33333333333</v>
      </c>
      <c r="AQ46" s="15" t="n">
        <v>19560.71428571429</v>
      </c>
      <c r="AR46" s="15" t="n">
        <v>23139.66666666667</v>
      </c>
      <c r="AS46" s="15" t="n">
        <v>26689.66666666667</v>
      </c>
      <c r="AT46" s="15" t="n">
        <v>30565.5</v>
      </c>
      <c r="AV46" s="15" t="n">
        <v>5455.2</v>
      </c>
      <c r="AW46" s="15" t="n">
        <v>5933.75</v>
      </c>
      <c r="AX46" s="15" t="n">
        <v>6992</v>
      </c>
      <c r="AY46" s="15" t="n">
        <v>8194.799999999999</v>
      </c>
      <c r="AZ46" s="15" t="n">
        <v>9847</v>
      </c>
      <c r="BB46" s="68" t="n">
        <v>-262.10440494048</v>
      </c>
      <c r="BC46" s="68" t="n">
        <v>-324</v>
      </c>
      <c r="BD46" s="15" t="n">
        <v>61.89559505952001</v>
      </c>
      <c r="BE46" s="16" t="n">
        <v>8298</v>
      </c>
    </row>
    <row r="47">
      <c r="A47" s="19" t="inlineStr">
        <is>
          <t>BN</t>
        </is>
      </c>
      <c r="B47">
        <f>A47&amp;" US Equity"</f>
        <v/>
      </c>
      <c r="C47" s="15">
        <f t="array" ref="C47">_xll.BDP($B47,"short_name")</f>
        <v/>
      </c>
      <c r="D47" s="15" t="n">
        <v>100.0349625981023</v>
      </c>
      <c r="E47" s="69" t="n">
        <v>40.89</v>
      </c>
      <c r="F47" s="70" t="n">
        <v>14.74576271186441</v>
      </c>
      <c r="G47" s="70" t="n">
        <v>11.94566170026293</v>
      </c>
      <c r="H47" s="70" t="n">
        <v>11.40585774058578</v>
      </c>
      <c r="I47" s="15" t="n">
        <v>8.694878289010834</v>
      </c>
      <c r="J47" s="15" t="n">
        <v>46.822</v>
      </c>
      <c r="K47" s="72" t="n">
        <v>0.1325730069910156</v>
      </c>
      <c r="L47" s="15" t="n">
        <v>0.02652934454216889</v>
      </c>
      <c r="M47" s="15" t="n">
        <v>-0.4536612480164464</v>
      </c>
      <c r="N47" s="15" t="n">
        <v>0.1760741182107861</v>
      </c>
      <c r="O47" s="72" t="n">
        <v>0.1334447898416047</v>
      </c>
      <c r="Q47" s="73" t="n">
        <v>-0.1089562</v>
      </c>
      <c r="T47" s="74" t="n">
        <v>1.105008500471785</v>
      </c>
      <c r="AB47" s="15" t="n">
        <v>18049</v>
      </c>
      <c r="AC47" s="15" t="n">
        <v>263420</v>
      </c>
      <c r="AD47" s="15" t="n">
        <v>166194</v>
      </c>
      <c r="AE47" s="15" t="n">
        <v>16242</v>
      </c>
      <c r="AF47" s="16" t="n">
        <v>85613</v>
      </c>
      <c r="AG47" s="15" t="n">
        <v>429614</v>
      </c>
      <c r="AH47" s="67" t="n">
        <v>0.02652934454216889</v>
      </c>
      <c r="AJ47" s="15" t="n">
        <v>3.827</v>
      </c>
      <c r="AK47" s="15" t="n">
        <v>2.462</v>
      </c>
      <c r="AL47" s="15" t="n">
        <v>2.773</v>
      </c>
      <c r="AM47" s="15" t="n">
        <v>3.423</v>
      </c>
      <c r="AN47" s="48" t="n">
        <v>3.585</v>
      </c>
      <c r="AP47" s="15" t="n">
        <v>63629.66666666666</v>
      </c>
      <c r="AQ47" s="15" t="n">
        <v>65025.5</v>
      </c>
      <c r="AR47" s="15" t="n">
        <v>46822</v>
      </c>
      <c r="AS47" s="15" t="n">
        <v>8849</v>
      </c>
      <c r="AT47" s="15" t="n">
        <v>10604</v>
      </c>
      <c r="AV47" s="15" t="n">
        <v>3898.5</v>
      </c>
      <c r="AW47" s="15" t="n">
        <v>5383.333333333333</v>
      </c>
      <c r="AX47" s="15" t="n">
        <v>6207.333333333333</v>
      </c>
      <c r="AY47" s="15" t="n">
        <v>7236.333333333333</v>
      </c>
      <c r="AZ47" s="15" t="n">
        <v>8757</v>
      </c>
      <c r="BB47" s="68" t="n">
        <v>247278.0349625981</v>
      </c>
      <c r="BC47" s="68" t="n">
        <v>247178</v>
      </c>
      <c r="BD47" s="15" t="n">
        <v>100.0349625981023</v>
      </c>
      <c r="BE47" s="16" t="n">
        <v>28428</v>
      </c>
    </row>
    <row r="48">
      <c r="A48" s="19" t="inlineStr">
        <is>
          <t>CVNA</t>
        </is>
      </c>
      <c r="B48">
        <f>A48&amp;" US Equity"</f>
        <v/>
      </c>
      <c r="C48" s="15">
        <f t="array" ref="C48">_xll.BDP($B48,"short_name")</f>
        <v/>
      </c>
      <c r="D48" s="15" t="n">
        <v>66.1506304238229</v>
      </c>
      <c r="E48" s="69" t="n">
        <v>313.91</v>
      </c>
      <c r="F48" s="70" t="n">
        <v>42.36302294197031</v>
      </c>
      <c r="G48" s="70" t="n">
        <v>31.15732009925558</v>
      </c>
      <c r="H48" s="70" t="n">
        <v>24.30584591560201</v>
      </c>
      <c r="I48" s="15" t="n">
        <v>1.470747074707471</v>
      </c>
      <c r="J48" s="15" t="n">
        <v>26.8022</v>
      </c>
      <c r="K48" s="72" t="n">
        <v>0.09495975833262227</v>
      </c>
      <c r="L48" s="15" t="n">
        <v>0.4727449117787316</v>
      </c>
      <c r="M48" s="72" t="n">
        <v>0.2696135384057345</v>
      </c>
      <c r="N48" s="72" t="n">
        <v>0.3133778153158688</v>
      </c>
      <c r="O48" s="72" t="n">
        <v>0.3594933800711522</v>
      </c>
      <c r="Q48" s="73" t="n">
        <v>-0.2561727</v>
      </c>
      <c r="T48" s="74" t="n">
        <v>1.178408985822929</v>
      </c>
      <c r="AB48" s="15" t="n">
        <v>1881</v>
      </c>
      <c r="AC48" s="15" t="n">
        <v>5595</v>
      </c>
      <c r="AD48" s="15" t="n">
        <v>4203</v>
      </c>
      <c r="AE48" s="15" t="n">
        <v>2327</v>
      </c>
      <c r="AF48" s="16">
        <f>IF(ISNUMBER(_xlfn.SINGLE(_xll.BDP($B48,"BS_LONG_TERM_INVESTMENTS"))),_xlfn.SINGLE(_xll.BDP($B48,"BS_LONG_TERM_INVESTMENTS")),0)</f>
        <v/>
      </c>
      <c r="AG48" s="15" t="n">
        <v>9798</v>
      </c>
      <c r="AH48" s="67" t="n">
        <v>0.4727449117787316</v>
      </c>
      <c r="AJ48" s="15" t="n">
        <v>1.424</v>
      </c>
      <c r="AK48" s="15" t="n">
        <v>5.14</v>
      </c>
      <c r="AL48" s="15" t="n">
        <v>7.41</v>
      </c>
      <c r="AM48" s="15" t="n">
        <v>10.075</v>
      </c>
      <c r="AN48" s="48" t="n">
        <v>12.915</v>
      </c>
      <c r="AP48" s="15" t="n">
        <v>13471.41666666667</v>
      </c>
      <c r="AQ48" s="15" t="n">
        <v>19984.23076923077</v>
      </c>
      <c r="AR48" s="15" t="n">
        <v>26802.2</v>
      </c>
      <c r="AS48" s="15" t="n">
        <v>33017.95652173914</v>
      </c>
      <c r="AT48" s="15" t="n">
        <v>40898</v>
      </c>
      <c r="AV48" s="15" t="n">
        <v>968</v>
      </c>
      <c r="AW48" s="15" t="n">
        <v>1912.304347826087</v>
      </c>
      <c r="AX48" s="15" t="n">
        <v>2545.130434782609</v>
      </c>
      <c r="AY48" s="15" t="n">
        <v>3434</v>
      </c>
      <c r="AZ48" s="15" t="n">
        <v>4332.375</v>
      </c>
      <c r="BB48" s="68" t="n">
        <v>3334.150630423823</v>
      </c>
      <c r="BC48" s="68" t="n">
        <v>3268</v>
      </c>
      <c r="BD48" s="15" t="n">
        <v>66.1506304238229</v>
      </c>
      <c r="BE48" s="16" t="n">
        <v>2222</v>
      </c>
    </row>
    <row r="49">
      <c r="A49" s="19" t="inlineStr">
        <is>
          <t>JPM</t>
        </is>
      </c>
      <c r="B49">
        <f>A49&amp;" US Equity"</f>
        <v/>
      </c>
      <c r="C49" s="15">
        <f t="array" ref="C49">_xll.BDP($B49,"short_name")</f>
        <v/>
      </c>
      <c r="D49" s="15" t="n">
        <v>794.5457376750001</v>
      </c>
      <c r="E49" s="69" t="n">
        <v>294.6</v>
      </c>
      <c r="F49" s="70" t="n">
        <v>13.67942050520059</v>
      </c>
      <c r="G49" s="70" t="n">
        <v>12.68078512396694</v>
      </c>
      <c r="H49" s="70" t="n">
        <v>11.52491980283233</v>
      </c>
      <c r="I49" s="15" t="n">
        <v>0</v>
      </c>
      <c r="J49" s="15" t="n">
        <v>195.876</v>
      </c>
      <c r="K49" s="72" t="n">
        <v>0.4522733770344504</v>
      </c>
      <c r="L49" s="15" t="n">
        <v>0.05162492530399945</v>
      </c>
      <c r="M49" s="15" t="n">
        <v>0.05175360749192626</v>
      </c>
      <c r="N49" s="72" t="n">
        <v>0.03898405045133257</v>
      </c>
      <c r="O49" s="72" t="n">
        <v>0.08172530909485243</v>
      </c>
      <c r="Q49" s="73" t="n">
        <v>-0.08571783999999999</v>
      </c>
      <c r="T49" s="74" t="n">
        <v>1.673829154848949</v>
      </c>
      <c r="AB49" s="15" t="n">
        <v>72595</v>
      </c>
      <c r="AC49" s="15" t="n">
        <v>1149356</v>
      </c>
      <c r="AD49" s="15" t="n">
        <v>362438</v>
      </c>
      <c r="AE49" s="15" t="n">
        <v>21742</v>
      </c>
      <c r="AF49" s="16" t="n">
        <v>270134</v>
      </c>
      <c r="AG49" s="15" t="n">
        <v>1511794</v>
      </c>
      <c r="AH49" s="67" t="n">
        <v>0.05162492530399945</v>
      </c>
      <c r="AJ49" s="15" t="n">
        <v>17.815</v>
      </c>
      <c r="AK49" s="15" t="n">
        <v>20.195</v>
      </c>
      <c r="AL49" s="15" t="n">
        <v>21.536</v>
      </c>
      <c r="AM49" s="15" t="n">
        <v>23.232</v>
      </c>
      <c r="AN49" s="15" t="n">
        <v>25.562</v>
      </c>
      <c r="AP49" s="15" t="n">
        <v>177179.3846153846</v>
      </c>
      <c r="AQ49" s="15" t="n">
        <v>184149.5625</v>
      </c>
      <c r="AR49" s="15" t="n">
        <v>195876</v>
      </c>
      <c r="AS49" s="15" t="n">
        <v>204986</v>
      </c>
      <c r="AT49" s="15" t="n">
        <v>214246</v>
      </c>
      <c r="AV49" s="15" t="n">
        <v>79575.5</v>
      </c>
      <c r="AW49" s="15" t="n">
        <v>86131.88888888889</v>
      </c>
      <c r="AX49" s="15" t="n">
        <v>88589.5</v>
      </c>
      <c r="AY49" s="15" t="n">
        <v>92298.39999999999</v>
      </c>
      <c r="AZ49" s="15" t="n">
        <v>96603</v>
      </c>
      <c r="BB49" s="68" t="n">
        <v>1128408.545737675</v>
      </c>
      <c r="BC49" s="68" t="n">
        <v>1127614</v>
      </c>
      <c r="BD49" s="15" t="n">
        <v>794.5457376750001</v>
      </c>
      <c r="BE49" s="16">
        <f>_xll.BDP($B49,"EBITDA")</f>
        <v/>
      </c>
    </row>
    <row r="50">
      <c r="A50" s="26" t="inlineStr">
        <is>
          <t>Average</t>
        </is>
      </c>
      <c r="B50" s="27" t="n"/>
      <c r="C50" s="28" t="n"/>
      <c r="D50" s="28" t="n"/>
      <c r="E50" s="75" t="n"/>
      <c r="F50" s="76">
        <f>AVERAGE(F42:F49)</f>
        <v/>
      </c>
      <c r="G50" s="76">
        <f>AVERAGE(G42:G49)</f>
        <v/>
      </c>
      <c r="H50" s="76">
        <f>AVERAGE(H42:H49)</f>
        <v/>
      </c>
      <c r="I50" s="77" t="n"/>
      <c r="J50" s="28" t="n"/>
      <c r="K50" s="90" t="n"/>
      <c r="L50" s="90" t="n"/>
      <c r="M50" s="90" t="n"/>
      <c r="N50" s="90" t="n"/>
      <c r="O50" s="90">
        <f>AVERAGE(O42:O49)</f>
        <v/>
      </c>
      <c r="P50" s="27" t="n"/>
      <c r="Q50" s="27" t="n"/>
      <c r="R50" s="27" t="n"/>
      <c r="S50" s="27" t="n"/>
      <c r="T50" s="80">
        <f>F50/O50/100</f>
        <v/>
      </c>
      <c r="AB50" s="15" t="n"/>
      <c r="AC50" s="15" t="n"/>
      <c r="AD50" s="15" t="n"/>
      <c r="AE50" s="15" t="n"/>
      <c r="AF50" s="16" t="n"/>
      <c r="AG50" s="15" t="n"/>
      <c r="AH50" s="67" t="n"/>
      <c r="AJ50" s="15" t="n"/>
      <c r="AK50" s="15" t="n"/>
      <c r="AL50" s="15" t="n"/>
      <c r="AM50" s="15" t="n"/>
      <c r="AN50" s="15" t="n"/>
      <c r="AP50" s="15" t="n"/>
      <c r="AQ50" s="15" t="n"/>
      <c r="AR50" s="15" t="n"/>
      <c r="AS50" s="15" t="n"/>
      <c r="AT50" s="15" t="n"/>
      <c r="AV50" s="15" t="n"/>
      <c r="AW50" s="15" t="n"/>
      <c r="AX50" s="15" t="n"/>
      <c r="AY50" s="15" t="n"/>
      <c r="AZ50" s="15" t="n"/>
      <c r="BB50" s="68" t="n"/>
      <c r="BC50" s="68" t="n"/>
      <c r="BD50" s="15" t="n"/>
      <c r="BE50" s="16" t="n"/>
    </row>
    <row r="51">
      <c r="A51" s="36" t="inlineStr">
        <is>
          <t>Financials</t>
        </is>
      </c>
      <c r="C51" s="15" t="n"/>
      <c r="D51" s="15" t="n"/>
      <c r="E51" s="69" t="n"/>
      <c r="F51" s="70" t="n"/>
      <c r="G51" s="70" t="n"/>
      <c r="H51" s="70" t="n"/>
      <c r="I51" s="71" t="n"/>
      <c r="J51" s="15" t="n"/>
      <c r="K51" s="72" t="n"/>
      <c r="L51" s="72" t="n"/>
      <c r="M51" s="72" t="n"/>
      <c r="N51" s="72" t="n"/>
      <c r="O51" s="72" t="n"/>
      <c r="AB51" s="15" t="n"/>
      <c r="AC51" s="15" t="n"/>
      <c r="AD51" s="15" t="n"/>
      <c r="AE51" s="15" t="n"/>
      <c r="AF51" s="16" t="n"/>
      <c r="AG51" s="15" t="n"/>
      <c r="AH51" s="67" t="n"/>
      <c r="AJ51" s="15" t="n"/>
      <c r="AK51" s="15" t="n"/>
      <c r="AL51" s="15" t="n"/>
      <c r="AM51" s="15" t="n"/>
      <c r="AN51" s="15" t="n"/>
      <c r="AP51" s="15" t="n"/>
      <c r="AQ51" s="15" t="n"/>
      <c r="AR51" s="15" t="n"/>
      <c r="AS51" s="15" t="n"/>
      <c r="AT51" s="15" t="n"/>
      <c r="AV51" s="15" t="n"/>
      <c r="AW51" s="15" t="n"/>
      <c r="AX51" s="15" t="n"/>
      <c r="AY51" s="15" t="n"/>
      <c r="AZ51" s="15" t="n"/>
      <c r="BB51" s="68" t="n"/>
      <c r="BC51" s="68" t="n"/>
      <c r="BD51" s="15" t="n"/>
      <c r="BE51" s="16" t="n"/>
    </row>
    <row r="52">
      <c r="A52" t="inlineStr">
        <is>
          <t>BX</t>
        </is>
      </c>
      <c r="B52">
        <f>A52&amp;" US Equity"</f>
        <v/>
      </c>
      <c r="C52" s="15">
        <f t="array" ref="C52">_xll.BDP($B52,"short_name")</f>
        <v/>
      </c>
      <c r="D52" s="15" t="n">
        <v>139.44160649615</v>
      </c>
      <c r="E52" s="69" t="n">
        <v>113.05</v>
      </c>
      <c r="F52" s="70" t="n">
        <v>17.97297297297297</v>
      </c>
      <c r="G52" s="70" t="n">
        <v>14.50288646568313</v>
      </c>
      <c r="H52" s="70" t="n">
        <v>13.53243954991621</v>
      </c>
      <c r="I52" s="71" t="n">
        <v>1.463923658751823</v>
      </c>
      <c r="J52" s="15" t="n">
        <v>15.62081818181818</v>
      </c>
      <c r="K52" s="72" t="n">
        <v>0.562582567552625</v>
      </c>
      <c r="L52" s="72" t="n">
        <v>0.1808435779054647</v>
      </c>
      <c r="M52" s="15" t="n">
        <v>0.1573516341745806</v>
      </c>
      <c r="N52" s="15" t="n">
        <v>0.1651678319082959</v>
      </c>
      <c r="O52" s="72" t="n">
        <v>0.1606548724442267</v>
      </c>
      <c r="Q52" s="73" t="n">
        <v>-0.2665758</v>
      </c>
      <c r="T52" s="68" t="n">
        <v>1.118731893999201</v>
      </c>
      <c r="AB52" s="15" t="n">
        <v>6747.658</v>
      </c>
      <c r="AC52" s="15" t="n">
        <v>13306.165</v>
      </c>
      <c r="AD52" s="15" t="n">
        <v>21881.172</v>
      </c>
      <c r="AE52" s="15" t="n">
        <v>2631.241</v>
      </c>
      <c r="AF52" s="16" t="n">
        <v>32212.111</v>
      </c>
      <c r="AG52" s="15" t="n">
        <v>35187.337</v>
      </c>
      <c r="AH52" s="67" t="n">
        <v>0.1808435779054647</v>
      </c>
      <c r="AJ52" s="15" t="n">
        <v>4.432</v>
      </c>
      <c r="AK52" s="15" t="n">
        <v>5.343</v>
      </c>
      <c r="AL52" s="15" t="n">
        <v>6.29</v>
      </c>
      <c r="AM52" s="15" t="n">
        <v>7.795</v>
      </c>
      <c r="AN52" s="15" t="n">
        <v>8.354000000000001</v>
      </c>
      <c r="AP52" s="15" t="n">
        <v>11378.07142857143</v>
      </c>
      <c r="AQ52" s="15" t="n">
        <v>12722.90909090909</v>
      </c>
      <c r="AR52" s="15" t="n">
        <v>15620.81818181818</v>
      </c>
      <c r="AS52" s="15" t="n">
        <v>19054.6923076923</v>
      </c>
      <c r="AT52" s="15" t="n">
        <v>19723.42857142857</v>
      </c>
      <c r="AV52" s="15" t="n">
        <v>6341.5</v>
      </c>
      <c r="AW52" s="15" t="n">
        <v>7632.2</v>
      </c>
      <c r="AX52" s="15" t="n">
        <v>8788</v>
      </c>
      <c r="AY52" s="15" t="n">
        <v>11557.28571428572</v>
      </c>
      <c r="AZ52" s="15" t="n">
        <v>12073</v>
      </c>
      <c r="BB52" s="68" t="n">
        <v>10814.36560649615</v>
      </c>
      <c r="BC52" s="68" t="n">
        <v>10674.924</v>
      </c>
      <c r="BD52" s="15" t="n">
        <v>139.44160649615</v>
      </c>
      <c r="BE52" s="16" t="n">
        <v>7291.789000000001</v>
      </c>
    </row>
    <row r="53">
      <c r="A53" t="inlineStr">
        <is>
          <t>KKR</t>
        </is>
      </c>
      <c r="B53">
        <f>A53&amp;" US Equity"</f>
        <v/>
      </c>
      <c r="C53" s="15">
        <f t="array" ref="C53">_xll.BDP($B53,"short_name")</f>
        <v/>
      </c>
      <c r="D53" s="15" t="n">
        <v>81.33618805962001</v>
      </c>
      <c r="E53" s="69" t="n">
        <v>91.23</v>
      </c>
      <c r="F53" s="70" t="n">
        <v>14.18376865671642</v>
      </c>
      <c r="G53" s="70" t="n">
        <v>11.64241960183767</v>
      </c>
      <c r="H53" s="70" t="n">
        <v>10.19899385131358</v>
      </c>
      <c r="I53" s="71" t="n">
        <v>8.099103675898002</v>
      </c>
      <c r="J53" s="15" t="n">
        <v>11.10285714285714</v>
      </c>
      <c r="K53" s="72" t="n">
        <v>0.5335863784525647</v>
      </c>
      <c r="L53" s="72" t="n">
        <v>0.03624069560038526</v>
      </c>
      <c r="M53" s="15" t="n">
        <v>0.2204081205238995</v>
      </c>
      <c r="N53" s="15" t="n">
        <v>0.1689694543772766</v>
      </c>
      <c r="O53" s="72" t="n">
        <v>0.218277279558678</v>
      </c>
      <c r="Q53" s="73" t="n">
        <v>-0.2843583</v>
      </c>
      <c r="T53" s="68" t="n">
        <v>0.649805086694948</v>
      </c>
      <c r="AB53" s="15" t="n">
        <v>7099.16</v>
      </c>
      <c r="AC53" s="15" t="n">
        <v>100876.41</v>
      </c>
      <c r="AD53" s="15" t="n">
        <v>81631.91099999999</v>
      </c>
      <c r="AE53" s="15" t="n">
        <v>16892.147</v>
      </c>
      <c r="AF53" s="16" t="n">
        <v>319958.053</v>
      </c>
      <c r="AG53" s="15" t="n">
        <v>182508.321</v>
      </c>
      <c r="AH53" s="67" t="n">
        <v>0.03624069560038526</v>
      </c>
      <c r="AJ53" s="15" t="n">
        <v>4.691</v>
      </c>
      <c r="AK53" s="15" t="n">
        <v>4.947</v>
      </c>
      <c r="AL53" s="15" t="n">
        <v>6.432</v>
      </c>
      <c r="AM53" s="15" t="n">
        <v>7.836</v>
      </c>
      <c r="AN53" s="15" t="n">
        <v>8.945</v>
      </c>
      <c r="AP53" s="15" t="n">
        <v>7092.833333333333</v>
      </c>
      <c r="AQ53" s="15" t="n">
        <v>7829.8</v>
      </c>
      <c r="AR53" s="15" t="n">
        <v>11102.85714285714</v>
      </c>
      <c r="AS53" s="15" t="n">
        <v>13616.33333333333</v>
      </c>
      <c r="AT53" s="15" t="n">
        <v>14232</v>
      </c>
      <c r="AV53" s="15" t="n">
        <v>4424.375</v>
      </c>
      <c r="AW53" s="15" t="n">
        <v>5047</v>
      </c>
      <c r="AX53" s="15" t="n">
        <v>5924.333333333333</v>
      </c>
      <c r="AY53" s="15" t="n">
        <v>7086.533333333333</v>
      </c>
      <c r="AZ53" s="15" t="n">
        <v>8062</v>
      </c>
      <c r="BB53" s="68" t="n">
        <v>84065.59918805963</v>
      </c>
      <c r="BC53" s="68" t="n">
        <v>83984.26300000001</v>
      </c>
      <c r="BD53" s="15" t="n">
        <v>81.33618805962001</v>
      </c>
      <c r="BE53" s="16" t="n">
        <v>10374.675</v>
      </c>
    </row>
    <row r="54">
      <c r="A54" t="inlineStr">
        <is>
          <t>IBKR</t>
        </is>
      </c>
      <c r="B54">
        <f>A54&amp;" US Equity"</f>
        <v/>
      </c>
      <c r="C54" s="15">
        <f t="array" ref="C54">_xll.BDP($B54,"short_name")</f>
        <v/>
      </c>
      <c r="D54" s="15" t="n">
        <v>115.17089044782</v>
      </c>
      <c r="E54" s="69" t="n">
        <v>67.73999999999999</v>
      </c>
      <c r="F54" s="70" t="n">
        <v>27.41400242816673</v>
      </c>
      <c r="G54" s="70" t="n">
        <v>24.60588448964765</v>
      </c>
      <c r="H54" s="70" t="n">
        <v>21.2818096135721</v>
      </c>
      <c r="I54" s="71" t="n">
        <v>0.3916153169014084</v>
      </c>
      <c r="J54" s="15" t="n">
        <v>6.884714285714287</v>
      </c>
      <c r="K54" s="72" t="n">
        <v>0.7614383831676799</v>
      </c>
      <c r="L54" s="72" t="n">
        <v>0.1076294109655028</v>
      </c>
      <c r="M54" s="72" t="n">
        <v>0.125535622404968</v>
      </c>
      <c r="N54" s="72" t="n">
        <v>0.120020541243941</v>
      </c>
      <c r="O54" s="72" t="n">
        <v>0.1413179748405216</v>
      </c>
      <c r="Q54" s="73" t="n">
        <v>0.05333545</v>
      </c>
      <c r="T54" s="15" t="n">
        <v>1.939880787217879</v>
      </c>
      <c r="AB54" s="15" t="n">
        <v>4771</v>
      </c>
      <c r="AC54" s="15" t="n">
        <v>27228</v>
      </c>
      <c r="AD54" s="15" t="n">
        <v>20472</v>
      </c>
      <c r="AE54" s="15" t="n">
        <v>4963</v>
      </c>
      <c r="AF54" s="16" t="n">
        <v>95636</v>
      </c>
      <c r="AG54" s="15" t="n">
        <v>47700</v>
      </c>
      <c r="AH54" s="67" t="n">
        <v>0.1076294109655028</v>
      </c>
      <c r="AJ54" s="15" t="n">
        <v>1.73</v>
      </c>
      <c r="AK54" s="15" t="n">
        <v>2.141</v>
      </c>
      <c r="AL54" s="15" t="n">
        <v>2.471</v>
      </c>
      <c r="AM54" s="15" t="n">
        <v>2.753</v>
      </c>
      <c r="AN54" s="15" t="n">
        <v>3.183</v>
      </c>
      <c r="AP54" s="15" t="n">
        <v>5164.666666666667</v>
      </c>
      <c r="AQ54" s="15" t="n">
        <v>6122.375</v>
      </c>
      <c r="AR54" s="15" t="n">
        <v>6884.714285714286</v>
      </c>
      <c r="AS54" s="15" t="n">
        <v>7588.875</v>
      </c>
      <c r="AT54" s="15" t="n">
        <v>8729.666666666666</v>
      </c>
      <c r="AV54" s="15" t="n">
        <v>3668</v>
      </c>
      <c r="AW54" s="15" t="n">
        <v>4715</v>
      </c>
      <c r="AX54" s="15" t="n">
        <v>5242.285714285714</v>
      </c>
      <c r="AY54" s="15" t="n">
        <v>5954.857142857142</v>
      </c>
      <c r="AZ54" s="15" t="n">
        <v>6624.6</v>
      </c>
      <c r="BB54" s="68" t="n">
        <v>22380.17089044782</v>
      </c>
      <c r="BC54" s="68" t="n">
        <v>22265</v>
      </c>
      <c r="BD54" s="15" t="n">
        <v>115.17089044782</v>
      </c>
      <c r="BE54" s="16" t="n">
        <v>9088</v>
      </c>
    </row>
    <row r="55">
      <c r="A55" t="inlineStr">
        <is>
          <t>AXP</t>
        </is>
      </c>
      <c r="B55">
        <f>A55&amp;" US Equity"</f>
        <v/>
      </c>
      <c r="C55" s="15">
        <f t="array" ref="C55">_xll.BDP($B55,"short_name")</f>
        <v/>
      </c>
      <c r="D55" s="15" t="n">
        <v>205.85848082388</v>
      </c>
      <c r="E55" s="69" t="n">
        <v>300.18</v>
      </c>
      <c r="F55" s="70" t="n">
        <v>17.05180640763463</v>
      </c>
      <c r="G55" s="70" t="n">
        <v>14.92170800815231</v>
      </c>
      <c r="H55" s="70" t="n">
        <v>13.10600768424729</v>
      </c>
      <c r="I55" s="71" t="n">
        <v>0.4186339578257582</v>
      </c>
      <c r="J55" s="15" t="n">
        <v>79.07944444444443</v>
      </c>
      <c r="K55" s="72" t="n">
        <v>0.1933972868353203</v>
      </c>
      <c r="L55" s="72" t="n">
        <v>0.1636516211061666</v>
      </c>
      <c r="M55" s="72" t="n">
        <v>0.08894259246192515</v>
      </c>
      <c r="N55" s="15" t="n">
        <v>0.1050261138343518</v>
      </c>
      <c r="O55" s="72" t="n">
        <v>0.14045627035421</v>
      </c>
      <c r="Q55" s="73" t="n">
        <v>-0.1885931</v>
      </c>
      <c r="T55" s="68" t="n">
        <v>1.214029559850371</v>
      </c>
      <c r="AB55" s="15" t="n">
        <v>13795</v>
      </c>
      <c r="AC55" s="15" t="n">
        <v>57758</v>
      </c>
      <c r="AD55" s="15" t="n">
        <v>33474</v>
      </c>
      <c r="AE55" s="15" t="n">
        <v>47792</v>
      </c>
      <c r="AF55" s="16" t="n">
        <v>158985</v>
      </c>
      <c r="AG55" s="15" t="n">
        <v>91232</v>
      </c>
      <c r="AH55" s="67" t="n">
        <v>0.1636516211061666</v>
      </c>
      <c r="AJ55" s="15" t="n">
        <v>13.345</v>
      </c>
      <c r="AK55" s="15" t="n">
        <v>15.441</v>
      </c>
      <c r="AL55" s="15" t="n">
        <v>17.604</v>
      </c>
      <c r="AM55" s="15" t="n">
        <v>20.117</v>
      </c>
      <c r="AN55" s="15" t="n">
        <v>22.904</v>
      </c>
      <c r="AP55" s="15" t="n">
        <v>65928.73076923077</v>
      </c>
      <c r="AQ55" s="15" t="n">
        <v>72144.28571428572</v>
      </c>
      <c r="AR55" s="15" t="n">
        <v>79079.44444444444</v>
      </c>
      <c r="AS55" s="15" t="n">
        <v>86088.23076923078</v>
      </c>
      <c r="AT55" s="15" t="n">
        <v>93157.3</v>
      </c>
      <c r="AV55" s="15" t="n">
        <v>12492.09090909091</v>
      </c>
      <c r="AW55" s="15" t="n">
        <v>13863.75</v>
      </c>
      <c r="AX55" s="15" t="n">
        <v>15293.75</v>
      </c>
      <c r="AY55" s="15" t="n">
        <v>17029</v>
      </c>
      <c r="AZ55" s="15" t="n">
        <v>18706.75</v>
      </c>
      <c r="BB55" s="68" t="n">
        <v>10171.85848082388</v>
      </c>
      <c r="BC55" s="68" t="n">
        <v>9966</v>
      </c>
      <c r="BD55" s="15" t="n">
        <v>205.85848082388</v>
      </c>
      <c r="BE55" s="16" t="n">
        <v>23806</v>
      </c>
    </row>
    <row r="56">
      <c r="A56" t="inlineStr">
        <is>
          <t>AON</t>
        </is>
      </c>
      <c r="B56">
        <f>A56&amp;" US Equity"</f>
        <v/>
      </c>
      <c r="C56" s="15">
        <f t="array" ref="C56">_xll.BDP($B56,"short_name")</f>
        <v/>
      </c>
      <c r="D56" s="15" t="n">
        <v>69.23419783743999</v>
      </c>
      <c r="E56" s="69" t="n">
        <v>323.14</v>
      </c>
      <c r="F56" s="70" t="n">
        <v>16.94938368738526</v>
      </c>
      <c r="G56" s="70" t="n">
        <v>15.054975773388</v>
      </c>
      <c r="H56" s="70" t="n">
        <v>13.59616274666555</v>
      </c>
      <c r="I56" s="71" t="n">
        <v>2.499623352165725</v>
      </c>
      <c r="J56" s="15" t="n">
        <v>18.04040909090909</v>
      </c>
      <c r="K56" s="72" t="n">
        <v>0.3309237595398209</v>
      </c>
      <c r="L56" s="72" t="n">
        <v>0.1428472796390459</v>
      </c>
      <c r="M56" s="72" t="n">
        <v>0.05420435624346154</v>
      </c>
      <c r="N56" s="72" t="n">
        <v>0.08042363629788429</v>
      </c>
      <c r="O56" s="72" t="n">
        <v>0.1189620756056438</v>
      </c>
      <c r="Q56" s="73" t="n">
        <v>-0.08427794999999999</v>
      </c>
      <c r="T56" s="68" t="n">
        <v>1.424772020923041</v>
      </c>
      <c r="AB56" s="15" t="n">
        <v>4344</v>
      </c>
      <c r="AC56" s="15" t="n">
        <v>16071</v>
      </c>
      <c r="AD56" s="15" t="n">
        <v>9655</v>
      </c>
      <c r="AE56" s="15" t="n">
        <v>1195</v>
      </c>
      <c r="AF56" s="16" t="n">
        <v>192</v>
      </c>
      <c r="AG56" s="15" t="n">
        <v>25726</v>
      </c>
      <c r="AH56" s="67" t="n">
        <v>0.1428472796390459</v>
      </c>
      <c r="AJ56" s="15" t="n">
        <v>15.635</v>
      </c>
      <c r="AK56" s="15" t="n">
        <v>16.964</v>
      </c>
      <c r="AL56" s="15" t="n">
        <v>19.065</v>
      </c>
      <c r="AM56" s="15" t="n">
        <v>21.464</v>
      </c>
      <c r="AN56" s="15" t="n">
        <v>23.767</v>
      </c>
      <c r="AP56" s="15" t="n">
        <v>15746.8</v>
      </c>
      <c r="AQ56" s="15" t="n">
        <v>17261.86363636364</v>
      </c>
      <c r="AR56" s="15" t="n">
        <v>18040.40909090909</v>
      </c>
      <c r="AS56" s="15" t="n">
        <v>19170.22727272727</v>
      </c>
      <c r="AT56" s="15" t="n">
        <v>20223.76923076923</v>
      </c>
      <c r="AV56" s="15" t="n">
        <v>4923.210526315789</v>
      </c>
      <c r="AW56" s="15" t="n">
        <v>5558.3</v>
      </c>
      <c r="AX56" s="15" t="n">
        <v>5970</v>
      </c>
      <c r="AY56" s="15" t="n">
        <v>6506</v>
      </c>
      <c r="AZ56" s="15" t="n">
        <v>7010.1</v>
      </c>
      <c r="BB56" s="68" t="n">
        <v>14945.23419783744</v>
      </c>
      <c r="BC56" s="68" t="n">
        <v>14876</v>
      </c>
      <c r="BD56" s="15" t="n">
        <v>69.23419783743999</v>
      </c>
      <c r="BE56" s="16" t="n">
        <v>5528</v>
      </c>
    </row>
    <row r="57">
      <c r="A57" t="inlineStr">
        <is>
          <t>MMC</t>
        </is>
      </c>
      <c r="B57">
        <f>A57&amp;" US Equity"</f>
        <v/>
      </c>
      <c r="C57" s="15">
        <f t="array" ref="C57">_xll.BDP($B57,"short_name")</f>
        <v/>
      </c>
      <c r="D57" s="15">
        <f>BD57</f>
        <v/>
      </c>
      <c r="E57" s="69">
        <f t="array" ref="E57">_xll.BDP($B57,"px_last")</f>
        <v/>
      </c>
      <c r="F57" s="70">
        <f>$E57/AK57</f>
        <v/>
      </c>
      <c r="G57" s="70">
        <f>$E57/AL57</f>
        <v/>
      </c>
      <c r="H57" s="70">
        <f>$E57/AM57</f>
        <v/>
      </c>
      <c r="I57" s="71" t="n">
        <v>2.382778765557531</v>
      </c>
      <c r="J57" s="15" t="n">
        <v>28.2795652173913</v>
      </c>
      <c r="K57" s="72" t="n">
        <v>0.2630248101605511</v>
      </c>
      <c r="L57" s="72" t="n">
        <v>0.1189159846009212</v>
      </c>
      <c r="M57" s="72" t="n">
        <v>0.05057629086082094</v>
      </c>
      <c r="N57" s="72" t="n">
        <v>0.07108699967104815</v>
      </c>
      <c r="O57" s="72" t="n">
        <v>0.08722096750799158</v>
      </c>
      <c r="Q57" s="73">
        <f>_xll.BDP($B57,"chg_pct_ytd")/100</f>
        <v/>
      </c>
      <c r="T57" s="68">
        <f>F57/O57/100</f>
        <v/>
      </c>
      <c r="AB57" s="15" t="n">
        <v>6223</v>
      </c>
      <c r="AC57" s="15" t="n">
        <v>21449</v>
      </c>
      <c r="AD57" s="15" t="n">
        <v>15315</v>
      </c>
      <c r="AE57" s="15" t="n">
        <v>2687</v>
      </c>
      <c r="AF57" s="16">
        <f>IF(ISNUMBER(_xlfn.SINGLE(_xll.BDP($B57,"BS_LONG_TERM_INVESTMENTS"))),_xlfn.SINGLE(_xll.BDP($B57,"BS_LONG_TERM_INVESTMENTS")),0)</f>
        <v/>
      </c>
      <c r="AG57" s="15" t="n">
        <v>36764</v>
      </c>
      <c r="AH57" s="67" t="n">
        <v>0.1189159846009212</v>
      </c>
      <c r="AJ57" s="15" t="n">
        <v>8.712</v>
      </c>
      <c r="AK57" s="15" t="n">
        <v>9.602</v>
      </c>
      <c r="AL57" s="15" t="n">
        <v>10.348</v>
      </c>
      <c r="AM57" s="15" t="n">
        <v>11.299</v>
      </c>
      <c r="AN57" s="15" t="n">
        <v>12.34</v>
      </c>
      <c r="AP57" s="15" t="n">
        <v>24312.95</v>
      </c>
      <c r="AQ57" s="15" t="n">
        <v>26933.60869565217</v>
      </c>
      <c r="AR57" s="15" t="n">
        <v>28279.5652173913</v>
      </c>
      <c r="AS57" s="15" t="n">
        <v>29702.69565217391</v>
      </c>
      <c r="AT57" s="15" t="n">
        <v>31230.38461538462</v>
      </c>
      <c r="AV57" s="15" t="n">
        <v>6175.684210526316</v>
      </c>
      <c r="AW57" s="15" t="n">
        <v>7039</v>
      </c>
      <c r="AX57" s="15" t="n">
        <v>7438.227272727273</v>
      </c>
      <c r="AY57" s="15" t="n">
        <v>7981.863636363636</v>
      </c>
      <c r="AZ57" s="15" t="n">
        <v>8649.384615384615</v>
      </c>
      <c r="BB57" s="68">
        <f>_xll.BDP($B57,"CURR_ENTP_VAL","eqy_fund_crncy=USD")/1000</f>
        <v/>
      </c>
      <c r="BC57" s="68">
        <f>BB57-BD57</f>
        <v/>
      </c>
      <c r="BD57" s="15">
        <f t="array" ref="BD57">_xll.BDP($B57,"cur_mkt_cap")/1000000000</f>
        <v/>
      </c>
      <c r="BE57" s="16" t="n">
        <v>7462</v>
      </c>
    </row>
    <row r="58">
      <c r="A58" t="inlineStr">
        <is>
          <t>MSCI</t>
        </is>
      </c>
      <c r="B58">
        <f>A58&amp;" US Equity"</f>
        <v/>
      </c>
      <c r="C58" s="15">
        <f t="array" ref="C58">_xll.BDP($B58,"short_name")</f>
        <v/>
      </c>
      <c r="D58" s="15" t="n">
        <v>39.83442582467999</v>
      </c>
      <c r="E58" s="69" t="n">
        <v>544.78</v>
      </c>
      <c r="F58" s="70" t="n">
        <v>28.07854860323678</v>
      </c>
      <c r="G58" s="70" t="n">
        <v>24.80896215674666</v>
      </c>
      <c r="H58" s="70" t="n">
        <v>21.82699627388918</v>
      </c>
      <c r="I58" s="71" t="n">
        <v>3.130566879530415</v>
      </c>
      <c r="J58" s="15" t="n">
        <v>3.457111111111111</v>
      </c>
      <c r="K58" s="72" t="n">
        <v>0.5685382785884168</v>
      </c>
      <c r="L58" s="72" t="n">
        <v>0.3446624395759558</v>
      </c>
      <c r="M58" s="72" t="n">
        <v>0.08911315284555354</v>
      </c>
      <c r="N58" s="72" t="n">
        <v>0.1111640490848633</v>
      </c>
      <c r="O58" s="72" t="n">
        <v>0.1320946705238699</v>
      </c>
      <c r="Q58" s="73" t="n">
        <v>-0.05045924</v>
      </c>
      <c r="T58" s="68" t="n">
        <v>2.125638263215388</v>
      </c>
      <c r="AB58" s="15" t="n">
        <v>1713.567</v>
      </c>
      <c r="AC58" s="15" t="n">
        <v>6575.067</v>
      </c>
      <c r="AD58" s="15" t="n">
        <v>-2654.54</v>
      </c>
      <c r="AE58" s="15" t="n">
        <v>515.332</v>
      </c>
      <c r="AF58" s="16">
        <f>IF(ISNUMBER(_xlfn.SINGLE(_xll.BDP($B58,"BS_LONG_TERM_INVESTMENTS"))),_xlfn.SINGLE(_xll.BDP($B58,"BS_LONG_TERM_INVESTMENTS")),0)</f>
        <v/>
      </c>
      <c r="AG58" s="15" t="n">
        <v>3920.527</v>
      </c>
      <c r="AH58" s="67" t="n">
        <v>0.3446624395759558</v>
      </c>
      <c r="AJ58" s="15" t="n">
        <v>15.008</v>
      </c>
      <c r="AK58" s="15" t="n">
        <v>17.202</v>
      </c>
      <c r="AL58" s="15" t="n">
        <v>19.402</v>
      </c>
      <c r="AM58" s="15" t="n">
        <v>21.959</v>
      </c>
      <c r="AN58" s="15" t="n">
        <v>24.959</v>
      </c>
      <c r="AP58" s="15" t="n">
        <v>2860.833333333333</v>
      </c>
      <c r="AQ58" s="15" t="n">
        <v>3137.117647058823</v>
      </c>
      <c r="AR58" s="15" t="n">
        <v>3457.111111111111</v>
      </c>
      <c r="AS58" s="15" t="n">
        <v>3752</v>
      </c>
      <c r="AT58" s="15" t="n">
        <v>4052.75</v>
      </c>
      <c r="AV58" s="15" t="n">
        <v>1548.235294117647</v>
      </c>
      <c r="AW58" s="15" t="n">
        <v>1738</v>
      </c>
      <c r="AX58" s="15" t="n">
        <v>1965.5</v>
      </c>
      <c r="AY58" s="15" t="n">
        <v>2164.9375</v>
      </c>
      <c r="AZ58" s="15" t="n">
        <v>2384.428571428571</v>
      </c>
      <c r="BB58" s="68" t="n">
        <v>6099.569425824679</v>
      </c>
      <c r="BC58" s="68" t="n">
        <v>6059.735</v>
      </c>
      <c r="BD58" s="15" t="n">
        <v>39.83442582467999</v>
      </c>
      <c r="BE58" s="16" t="n">
        <v>1935.667</v>
      </c>
    </row>
    <row r="59">
      <c r="A59" t="inlineStr">
        <is>
          <t>FICO</t>
        </is>
      </c>
      <c r="B59">
        <f>A59&amp;" US Equity"</f>
        <v/>
      </c>
      <c r="C59" s="15">
        <f t="array" ref="C59">_xll.BDP($B59,"short_name")</f>
        <v/>
      </c>
      <c r="D59" s="15" t="n">
        <v>25.85143274784</v>
      </c>
      <c r="E59" s="69" t="n">
        <v>1089.76</v>
      </c>
      <c r="F59" s="70" t="n">
        <v>25.96459460103404</v>
      </c>
      <c r="G59" s="70" t="n">
        <v>20.52510641503748</v>
      </c>
      <c r="H59" s="70" t="n">
        <v>17.25095376042804</v>
      </c>
      <c r="I59" s="71" t="n">
        <v>3.012473801398264</v>
      </c>
      <c r="J59" s="15" t="n">
        <v>2.496857142857143</v>
      </c>
      <c r="K59" s="72" t="n">
        <v>0.5846816950833429</v>
      </c>
      <c r="L59" s="72" t="n">
        <v>0.5604756638983051</v>
      </c>
      <c r="M59" s="72" t="n">
        <v>0.1813799940152347</v>
      </c>
      <c r="N59" s="72" t="n">
        <v>0.2273563558877805</v>
      </c>
      <c r="O59" s="72" t="n">
        <v>0.2886465030562864</v>
      </c>
      <c r="Q59" s="73" t="n">
        <v>-0.3554081</v>
      </c>
      <c r="T59" s="68" t="n">
        <v>0.8995291585420981</v>
      </c>
      <c r="AB59" s="15" t="n">
        <v>979.371</v>
      </c>
      <c r="AC59" s="15" t="n">
        <v>3084.493</v>
      </c>
      <c r="AD59" s="15" t="n">
        <v>-1745.784</v>
      </c>
      <c r="AE59" s="15" t="n">
        <v>134.136</v>
      </c>
      <c r="AF59" s="16" t="n">
        <v>54.625</v>
      </c>
      <c r="AG59" s="15" t="n">
        <v>1338.709</v>
      </c>
      <c r="AH59" s="67" t="n">
        <v>0.5604756638983051</v>
      </c>
      <c r="AJ59" s="15" t="n">
        <v>23.676</v>
      </c>
      <c r="AK59" s="15" t="n">
        <v>29.52</v>
      </c>
      <c r="AL59" s="15" t="n">
        <v>41.971</v>
      </c>
      <c r="AM59" s="15" t="n">
        <v>53.094</v>
      </c>
      <c r="AN59" s="15" t="n">
        <v>63.171</v>
      </c>
      <c r="AP59" s="15" t="n">
        <v>1711.4375</v>
      </c>
      <c r="AQ59" s="15" t="n">
        <v>1989.523809523809</v>
      </c>
      <c r="AR59" s="15" t="n">
        <v>2496.857142857143</v>
      </c>
      <c r="AS59" s="15" t="n">
        <v>2912</v>
      </c>
      <c r="AT59" s="15" t="n">
        <v>3280.333333333333</v>
      </c>
      <c r="AV59" s="15" t="n">
        <v>828.6875</v>
      </c>
      <c r="AW59" s="15" t="n">
        <v>1073.75</v>
      </c>
      <c r="AX59" s="15" t="n">
        <v>1459.866666666667</v>
      </c>
      <c r="AY59" s="15" t="n">
        <v>1745.8125</v>
      </c>
      <c r="AZ59" s="15" t="n">
        <v>1985.25</v>
      </c>
      <c r="BB59" s="68" t="n">
        <v>2976.20843274784</v>
      </c>
      <c r="BC59" s="68" t="n">
        <v>2950.357</v>
      </c>
      <c r="BD59" s="15" t="n">
        <v>25.85143274784</v>
      </c>
      <c r="BE59" s="16" t="n">
        <v>994.8049999999999</v>
      </c>
    </row>
    <row r="60">
      <c r="A60" t="inlineStr">
        <is>
          <t>PGR</t>
        </is>
      </c>
      <c r="B60">
        <f>A60&amp;" US Equity"</f>
        <v/>
      </c>
      <c r="C60" s="15">
        <f t="array" ref="C60">_xll.BDP($B60,"short_name")</f>
        <v/>
      </c>
      <c r="D60" s="15" t="n">
        <v>114.21399080025</v>
      </c>
      <c r="E60" s="69" t="n">
        <v>195.25</v>
      </c>
      <c r="F60" s="70" t="n">
        <v>12.030191004313</v>
      </c>
      <c r="G60" s="70" t="n">
        <v>12.03835008323571</v>
      </c>
      <c r="H60" s="70" t="n">
        <v>12.12431693989071</v>
      </c>
      <c r="I60" s="15" t="n">
        <v>0</v>
      </c>
      <c r="J60" s="15" t="n">
        <v>91.72538888888889</v>
      </c>
      <c r="K60" s="72" t="n">
        <v>0.1010718761202239</v>
      </c>
      <c r="L60" s="15" t="n">
        <v>0.1715605609740768</v>
      </c>
      <c r="M60" s="72" t="n">
        <v>0.05503662631599959</v>
      </c>
      <c r="N60" s="15" t="n">
        <v>-0.07115267368357259</v>
      </c>
      <c r="O60" s="72" t="n">
        <v>-0.03466644389259321</v>
      </c>
      <c r="Q60" s="73" t="n">
        <v>-0.08855415000000001</v>
      </c>
      <c r="T60" s="68" t="n">
        <v>-3.470269705651394</v>
      </c>
      <c r="AB60" s="15" t="n">
        <v>14501</v>
      </c>
      <c r="AC60" s="15" t="n">
        <v>7102</v>
      </c>
      <c r="AD60" s="15" t="n">
        <v>30323</v>
      </c>
      <c r="AE60" s="15" t="n">
        <v>125</v>
      </c>
      <c r="AF60" s="16" t="n">
        <v>97373</v>
      </c>
      <c r="AG60" s="15" t="n">
        <v>37425</v>
      </c>
      <c r="AH60" s="67" t="n">
        <v>0.1715605609740768</v>
      </c>
      <c r="AJ60" s="15" t="n">
        <v>13.543</v>
      </c>
      <c r="AK60" s="15" t="n">
        <v>17.902</v>
      </c>
      <c r="AL60" s="15" t="n">
        <v>16.23</v>
      </c>
      <c r="AM60" s="15" t="n">
        <v>16.219</v>
      </c>
      <c r="AN60" s="15" t="n">
        <v>16.104</v>
      </c>
      <c r="AP60" s="15" t="n">
        <v>74754.78571428572</v>
      </c>
      <c r="AQ60" s="15" t="n">
        <v>86689.5</v>
      </c>
      <c r="AR60" s="15" t="n">
        <v>91725.38888888889</v>
      </c>
      <c r="AS60" s="15" t="n">
        <v>97609.16666666667</v>
      </c>
      <c r="AT60" s="15" t="n">
        <v>101805</v>
      </c>
      <c r="AV60" s="15" t="n">
        <v>8314.142857142857</v>
      </c>
      <c r="AW60" s="15" t="n">
        <v>10986.5</v>
      </c>
      <c r="AX60" s="15" t="n">
        <v>9270.857142857143</v>
      </c>
      <c r="AY60" s="15" t="n">
        <v>9100</v>
      </c>
      <c r="AZ60" s="15" t="n">
        <v>8804.25</v>
      </c>
      <c r="BB60" s="68" t="n">
        <v>7091.21399080025</v>
      </c>
      <c r="BC60" s="68" t="n">
        <v>6977</v>
      </c>
      <c r="BD60" s="15" t="n">
        <v>114.21399080025</v>
      </c>
      <c r="BE60" s="16">
        <f>_xll.BDP($B60,"EBITDA")</f>
        <v/>
      </c>
    </row>
    <row r="61">
      <c r="C61" s="15" t="n"/>
      <c r="D61" s="15" t="n"/>
      <c r="E61" s="69" t="n"/>
      <c r="F61" s="70" t="n"/>
      <c r="G61" s="70" t="n"/>
      <c r="H61" s="70" t="n"/>
      <c r="I61" s="15" t="n"/>
      <c r="J61" s="15" t="n"/>
      <c r="K61" s="72" t="n"/>
      <c r="L61" s="15" t="n"/>
      <c r="M61" s="72" t="n"/>
      <c r="N61" s="72" t="n"/>
      <c r="O61" s="72" t="n"/>
      <c r="T61" s="68" t="n"/>
      <c r="AB61" s="15" t="n"/>
      <c r="AC61" s="15" t="n"/>
      <c r="AD61" s="15" t="n"/>
      <c r="AE61" s="15" t="n"/>
      <c r="AF61" s="16" t="n"/>
      <c r="AG61" s="15" t="n"/>
      <c r="AH61" s="67" t="n"/>
      <c r="AJ61" s="15" t="n"/>
      <c r="AK61" s="15" t="n"/>
      <c r="AL61" s="15" t="n"/>
      <c r="AM61" s="15" t="n"/>
      <c r="AN61" s="15" t="n"/>
      <c r="AP61" s="15" t="n"/>
      <c r="AQ61" s="15" t="n"/>
      <c r="AR61" s="15" t="n"/>
      <c r="AS61" s="15" t="n"/>
      <c r="AT61" s="15" t="n"/>
      <c r="AV61" s="15" t="n"/>
      <c r="AW61" s="15" t="n"/>
      <c r="AX61" s="15" t="n"/>
      <c r="AY61" s="15" t="n"/>
      <c r="AZ61" s="15" t="n"/>
      <c r="BB61" s="68" t="n"/>
      <c r="BC61" s="68" t="n"/>
      <c r="BD61" s="15" t="n"/>
      <c r="BE61" s="16" t="n"/>
    </row>
    <row r="62">
      <c r="A62" s="36" t="inlineStr">
        <is>
          <t>Retail and consumer</t>
        </is>
      </c>
      <c r="C62" s="15" t="n"/>
      <c r="D62" s="15" t="n"/>
      <c r="E62" s="69" t="n"/>
      <c r="F62" s="70" t="n"/>
      <c r="G62" s="70" t="n"/>
      <c r="H62" s="70" t="n"/>
      <c r="I62" s="15" t="n"/>
      <c r="J62" s="15" t="n"/>
      <c r="K62" s="72" t="n"/>
      <c r="L62" s="15" t="n"/>
      <c r="M62" s="72" t="n"/>
      <c r="N62" s="72" t="n"/>
      <c r="O62" s="72" t="n"/>
      <c r="T62" s="68" t="n"/>
      <c r="AB62" s="15" t="n"/>
      <c r="AC62" s="15" t="n"/>
      <c r="AD62" s="15" t="n"/>
      <c r="AE62" s="15" t="n"/>
      <c r="AF62" s="16" t="n"/>
      <c r="AG62" s="15" t="n"/>
      <c r="AH62" s="67" t="n"/>
      <c r="AJ62" s="15" t="n"/>
      <c r="AK62" s="15" t="n"/>
      <c r="AL62" s="15" t="n"/>
      <c r="AM62" s="15" t="n"/>
      <c r="AN62" s="15" t="n"/>
      <c r="AP62" s="15" t="n"/>
      <c r="AQ62" s="15" t="n"/>
      <c r="AR62" s="15" t="n"/>
      <c r="AS62" s="15" t="n"/>
      <c r="AT62" s="15" t="n"/>
      <c r="AV62" s="15" t="n"/>
      <c r="AW62" s="15" t="n"/>
      <c r="AX62" s="15" t="n"/>
      <c r="AY62" s="15" t="n"/>
      <c r="AZ62" s="15" t="n"/>
      <c r="BB62" s="68" t="n"/>
      <c r="BC62" s="68" t="n"/>
      <c r="BD62" s="15" t="n"/>
      <c r="BE62" s="16" t="n"/>
    </row>
    <row r="63">
      <c r="A63" t="inlineStr">
        <is>
          <t>COST</t>
        </is>
      </c>
      <c r="B63">
        <f>A63&amp;" US Equity"</f>
        <v/>
      </c>
      <c r="C63" s="15">
        <f t="array" ref="C63">_xll.BDP($B63,"short_name")</f>
        <v/>
      </c>
      <c r="D63" s="15" t="n">
        <v>450.2895819984</v>
      </c>
      <c r="E63" s="69" t="n">
        <v>1014.96</v>
      </c>
      <c r="F63" s="70" t="n">
        <v>49.64343360234776</v>
      </c>
      <c r="G63" s="70" t="n">
        <v>44.48457223001403</v>
      </c>
      <c r="H63" s="70" t="n">
        <v>40.00630666141112</v>
      </c>
      <c r="I63" s="71" t="n">
        <v>-0.7485141158989599</v>
      </c>
      <c r="J63" s="15" t="n">
        <v>298.6201071428571</v>
      </c>
      <c r="K63" s="72" t="n">
        <v>0.03888694297255677</v>
      </c>
      <c r="L63" s="72" t="n">
        <v>0.2222203073907859</v>
      </c>
      <c r="M63" s="72" t="n">
        <v>0.08043773391070941</v>
      </c>
      <c r="N63" s="72" t="n">
        <v>0.1178151465247352</v>
      </c>
      <c r="O63" s="72" t="n">
        <v>0.119150850432697</v>
      </c>
      <c r="Q63" s="73" t="n">
        <v>0.1769835</v>
      </c>
      <c r="T63" s="68" t="n">
        <v>4.166435524552896</v>
      </c>
      <c r="AB63" s="15" t="n">
        <v>10940</v>
      </c>
      <c r="AC63" s="15" t="n">
        <v>8534</v>
      </c>
      <c r="AD63" s="15" t="n">
        <v>29164</v>
      </c>
      <c r="AE63" s="15" t="n">
        <v>14161</v>
      </c>
      <c r="AF63" s="16">
        <f>IF(ISNUMBER(_xlfn.SINGLE(_xll.BDP($B63,"BS_LONG_TERM_INVESTMENTS"))),_xlfn.SINGLE(_xll.BDP($B63,"BS_LONG_TERM_INVESTMENTS")),0)</f>
        <v/>
      </c>
      <c r="AG63" s="15" t="n">
        <v>37698</v>
      </c>
      <c r="AH63" s="67" t="n">
        <v>0.2222203073907859</v>
      </c>
      <c r="AJ63" s="15" t="n">
        <v>16.223</v>
      </c>
      <c r="AK63" s="15" t="n">
        <v>18.099</v>
      </c>
      <c r="AL63" s="15" t="n">
        <v>20.445</v>
      </c>
      <c r="AM63" s="15" t="n">
        <v>22.816</v>
      </c>
      <c r="AN63" s="15" t="n">
        <v>25.37</v>
      </c>
      <c r="AP63" s="15" t="n">
        <v>254883.5</v>
      </c>
      <c r="AQ63" s="15" t="n">
        <v>275078.6875</v>
      </c>
      <c r="AR63" s="15" t="n">
        <v>298620.1071428571</v>
      </c>
      <c r="AS63" s="15" t="n">
        <v>321381.8214285714</v>
      </c>
      <c r="AT63" s="15" t="n">
        <v>346941.4375</v>
      </c>
      <c r="AV63" s="15" t="n">
        <v>9198.645161290324</v>
      </c>
      <c r="AW63" s="15" t="n">
        <v>10408.24242424242</v>
      </c>
      <c r="AX63" s="15" t="n">
        <v>11612.42307692308</v>
      </c>
      <c r="AY63" s="15" t="n">
        <v>13088.58620689655</v>
      </c>
      <c r="AZ63" s="15" t="n">
        <v>14537.42105263158</v>
      </c>
      <c r="BB63" s="68" t="n">
        <v>-5176.7104180016</v>
      </c>
      <c r="BC63" s="68" t="n">
        <v>-5627</v>
      </c>
      <c r="BD63" s="15" t="n">
        <v>450.2895819984</v>
      </c>
      <c r="BE63" s="16" t="n">
        <v>13460</v>
      </c>
    </row>
    <row r="64">
      <c r="A64" t="inlineStr">
        <is>
          <t>ORLY</t>
        </is>
      </c>
      <c r="B64">
        <f>A64&amp;" US Equity"</f>
        <v/>
      </c>
      <c r="C64" s="15">
        <f t="array" ref="C64">_xll.BDP($B64,"short_name")</f>
        <v/>
      </c>
      <c r="D64" s="15" t="n">
        <v>76.49106573024001</v>
      </c>
      <c r="E64" s="69" t="n">
        <v>91.42</v>
      </c>
      <c r="F64" s="70" t="n">
        <v>28.27714197339932</v>
      </c>
      <c r="G64" s="70" t="n">
        <v>25.55772994129159</v>
      </c>
      <c r="H64" s="70" t="n">
        <v>23.5073283620468</v>
      </c>
      <c r="I64" s="71" t="n">
        <v>1.87518864415306</v>
      </c>
      <c r="J64" s="15" t="n">
        <v>18.91492592592593</v>
      </c>
      <c r="K64" s="72" t="n">
        <v>0.1956188144275937</v>
      </c>
      <c r="L64" s="72" t="n">
        <v>0.3662097792729755</v>
      </c>
      <c r="M64" s="72" t="n">
        <v>0.06395300429807382</v>
      </c>
      <c r="N64" s="72" t="n">
        <v>0.07018341308741638</v>
      </c>
      <c r="O64" s="72" t="n">
        <v>0.09328906772079071</v>
      </c>
      <c r="Q64" s="73" t="n">
        <v>0.002302389</v>
      </c>
      <c r="T64" s="68" t="n">
        <v>3.03113137093741</v>
      </c>
      <c r="AB64" s="15" t="n">
        <v>3460.612</v>
      </c>
      <c r="AC64" s="15" t="n">
        <v>8491.499</v>
      </c>
      <c r="AD64" s="15" t="n">
        <v>-763.3520000000001</v>
      </c>
      <c r="AE64" s="15" t="n">
        <v>193.793</v>
      </c>
      <c r="AF64" s="16">
        <f>IF(ISNUMBER(_xlfn.SINGLE(_xll.BDP($B64,"BS_LONG_TERM_INVESTMENTS"))),_xlfn.SINGLE(_xll.BDP($B64,"BS_LONG_TERM_INVESTMENTS")),0)</f>
        <v/>
      </c>
      <c r="AG64" s="15" t="n">
        <v>7728.147</v>
      </c>
      <c r="AH64" s="67" t="n">
        <v>0.3662097792729755</v>
      </c>
      <c r="AJ64" s="15" t="n">
        <v>2.727</v>
      </c>
      <c r="AK64" s="15" t="n">
        <v>2.976</v>
      </c>
      <c r="AL64" s="15" t="n">
        <v>3.233</v>
      </c>
      <c r="AM64" s="15" t="n">
        <v>3.577</v>
      </c>
      <c r="AN64" s="15" t="n">
        <v>3.889</v>
      </c>
      <c r="AP64" s="15" t="n">
        <v>16655.89655172414</v>
      </c>
      <c r="AQ64" s="15" t="n">
        <v>17762.21428571429</v>
      </c>
      <c r="AR64" s="15" t="n">
        <v>18914.92592592593</v>
      </c>
      <c r="AS64" s="15" t="n">
        <v>20121.76923076923</v>
      </c>
      <c r="AT64" s="15" t="n">
        <v>21392.64285714286</v>
      </c>
      <c r="AV64" s="15" t="n">
        <v>3272.862068965517</v>
      </c>
      <c r="AW64" s="15" t="n">
        <v>3466.666666666667</v>
      </c>
      <c r="AX64" s="15" t="n">
        <v>3700.115384615385</v>
      </c>
      <c r="AY64" s="15" t="n">
        <v>3966.12</v>
      </c>
      <c r="AZ64" s="15" t="n">
        <v>4249</v>
      </c>
      <c r="BB64" s="68" t="n">
        <v>8374.197065730241</v>
      </c>
      <c r="BC64" s="68" t="n">
        <v>8297.706</v>
      </c>
      <c r="BD64" s="15" t="n">
        <v>76.49106573024001</v>
      </c>
      <c r="BE64" s="16" t="n">
        <v>4424.998</v>
      </c>
    </row>
    <row r="65">
      <c r="A65" t="inlineStr">
        <is>
          <t>TJX</t>
        </is>
      </c>
      <c r="B65">
        <f>A65&amp;" US Equity"</f>
        <v/>
      </c>
      <c r="C65" s="15">
        <f t="array" ref="C65">_xll.BDP($B65,"short_name")</f>
        <v/>
      </c>
      <c r="D65" s="15" t="n">
        <v>178.51749038366</v>
      </c>
      <c r="E65" s="69" t="n">
        <v>161.29</v>
      </c>
      <c r="F65" s="70" t="n">
        <v>34.47840957674219</v>
      </c>
      <c r="G65" s="70" t="n">
        <v>31.5204221223373</v>
      </c>
      <c r="H65" s="70" t="n">
        <v>28.46126698429504</v>
      </c>
      <c r="I65" s="71" t="n">
        <v>0.8612956810631229</v>
      </c>
      <c r="J65" s="15" t="n">
        <v>60.01713043478261</v>
      </c>
      <c r="K65" s="72" t="n">
        <v>0.114535415251008</v>
      </c>
      <c r="L65" s="72" t="n">
        <v>0.2385349799595503</v>
      </c>
      <c r="M65" s="72" t="n">
        <v>0.06292994429359466</v>
      </c>
      <c r="N65" s="72" t="n">
        <v>0.09892191393676275</v>
      </c>
      <c r="O65" s="72" t="n">
        <v>0.1055411919780795</v>
      </c>
      <c r="Q65" s="73" t="n">
        <v>0.04999674</v>
      </c>
      <c r="T65" s="68" t="n">
        <v>3.266820179925883</v>
      </c>
      <c r="AB65" s="15" t="n">
        <v>7178</v>
      </c>
      <c r="AC65" s="15" t="n">
        <v>13489</v>
      </c>
      <c r="AD65" s="15" t="n">
        <v>10190</v>
      </c>
      <c r="AE65" s="15" t="n">
        <v>6230</v>
      </c>
      <c r="AF65" s="16">
        <f>IF(ISNUMBER(_xlfn.SINGLE(_xll.BDP($B65,"BS_LONG_TERM_INVESTMENTS"))),_xlfn.SINGLE(_xll.BDP($B65,"BS_LONG_TERM_INVESTMENTS")),0)</f>
        <v/>
      </c>
      <c r="AG65" s="15" t="n">
        <v>23679</v>
      </c>
      <c r="AH65" s="67" t="n">
        <v>0.2385349799595503</v>
      </c>
      <c r="AJ65" s="15" t="n">
        <v>3.759</v>
      </c>
      <c r="AK65" s="15" t="n">
        <v>4.194</v>
      </c>
      <c r="AL65" s="15" t="n">
        <v>4.678</v>
      </c>
      <c r="AM65" s="15" t="n">
        <v>5.117</v>
      </c>
      <c r="AN65" s="15" t="n">
        <v>5.667</v>
      </c>
      <c r="AP65" s="15" t="n">
        <v>53984.6</v>
      </c>
      <c r="AQ65" s="15" t="n">
        <v>56260.17391304348</v>
      </c>
      <c r="AR65" s="15" t="n">
        <v>60017.13043478261</v>
      </c>
      <c r="AS65" s="15" t="n">
        <v>63938.05263157895</v>
      </c>
      <c r="AT65" s="15" t="n">
        <v>67563.94444444444</v>
      </c>
      <c r="AV65" s="15" t="n">
        <v>5699.25</v>
      </c>
      <c r="AW65" s="15" t="n">
        <v>6207</v>
      </c>
      <c r="AX65" s="15" t="n">
        <v>6874.086956521739</v>
      </c>
      <c r="AY65" s="15" t="n">
        <v>7515.473684210527</v>
      </c>
      <c r="AZ65" s="15" t="n">
        <v>8237.25</v>
      </c>
      <c r="BB65" s="68" t="n">
        <v>7437.51749038366</v>
      </c>
      <c r="BC65" s="68" t="n">
        <v>7259</v>
      </c>
      <c r="BD65" s="15" t="n">
        <v>178.51749038366</v>
      </c>
      <c r="BE65" s="16" t="n">
        <v>10621</v>
      </c>
    </row>
    <row r="66">
      <c r="A66" t="inlineStr">
        <is>
          <t>HLT</t>
        </is>
      </c>
      <c r="B66">
        <f>A66&amp;" US Equity"</f>
        <v/>
      </c>
      <c r="C66" s="15">
        <f t="array" ref="C66">_xll.BDP($B66,"short_name")</f>
        <v/>
      </c>
      <c r="D66" s="15" t="n">
        <v>69.77132037824998</v>
      </c>
      <c r="E66" s="69" t="n">
        <v>304.95</v>
      </c>
      <c r="F66" s="70" t="n">
        <v>33.71475953565506</v>
      </c>
      <c r="G66" s="70" t="n">
        <v>29.33621933621934</v>
      </c>
      <c r="H66" s="70" t="n">
        <v>25.25884204423093</v>
      </c>
      <c r="I66" s="71" t="n">
        <v>4.284320557491289</v>
      </c>
      <c r="J66" s="15" t="n">
        <v>13.0714375</v>
      </c>
      <c r="K66" s="72" t="n">
        <v>0.2663100791749611</v>
      </c>
      <c r="L66" s="72" t="n">
        <v>0.2292507553625343</v>
      </c>
      <c r="M66" s="72" t="n">
        <v>0.0858669274366588</v>
      </c>
      <c r="N66" s="72" t="n">
        <v>0.1317374729222403</v>
      </c>
      <c r="O66" s="72" t="n">
        <v>0.1443194481275851</v>
      </c>
      <c r="Q66" s="73" t="n">
        <v>0.0616188</v>
      </c>
      <c r="T66" s="68" t="n">
        <v>2.336120320100561</v>
      </c>
      <c r="AB66" s="15" t="n">
        <v>2693</v>
      </c>
      <c r="AC66" s="15" t="n">
        <v>13214</v>
      </c>
      <c r="AD66" s="15" t="n">
        <v>-5346</v>
      </c>
      <c r="AE66" s="15" t="n">
        <v>918</v>
      </c>
      <c r="AF66" s="16">
        <f>IF(ISNUMBER(_xlfn.SINGLE(_xll.BDP($B66,"BS_LONG_TERM_INVESTMENTS"))),_xlfn.SINGLE(_xll.BDP($B66,"BS_LONG_TERM_INVESTMENTS")),0)</f>
        <v/>
      </c>
      <c r="AG66" s="15" t="n">
        <v>7868</v>
      </c>
      <c r="AH66" s="67" t="n">
        <v>0.2292507553625343</v>
      </c>
      <c r="AJ66" s="15" t="n">
        <v>7.06</v>
      </c>
      <c r="AK66" s="15" t="n">
        <v>8.057</v>
      </c>
      <c r="AL66" s="15" t="n">
        <v>9.045</v>
      </c>
      <c r="AM66" s="15" t="n">
        <v>10.395</v>
      </c>
      <c r="AN66" s="15" t="n">
        <v>12.073</v>
      </c>
      <c r="AP66" s="15" t="n">
        <v>11142.1</v>
      </c>
      <c r="AQ66" s="15" t="n">
        <v>11935.83333333333</v>
      </c>
      <c r="AR66" s="15" t="n">
        <v>13071.4375</v>
      </c>
      <c r="AS66" s="15" t="n">
        <v>13650.3125</v>
      </c>
      <c r="AT66" s="15" t="n">
        <v>15282.08333333333</v>
      </c>
      <c r="AV66" s="15" t="n">
        <v>2598.785714285714</v>
      </c>
      <c r="AW66" s="15" t="n">
        <v>2895.461538461538</v>
      </c>
      <c r="AX66" s="15" t="n">
        <v>3481.055555555555</v>
      </c>
      <c r="AY66" s="15" t="n">
        <v>3842.722222222222</v>
      </c>
      <c r="AZ66" s="15" t="n">
        <v>4197.153846153847</v>
      </c>
      <c r="BB66" s="68" t="n">
        <v>12365.77132037825</v>
      </c>
      <c r="BC66" s="68" t="n">
        <v>12296</v>
      </c>
      <c r="BD66" s="15" t="n">
        <v>69.77132037824998</v>
      </c>
      <c r="BE66" s="16" t="n">
        <v>2976</v>
      </c>
    </row>
    <row r="67">
      <c r="A67" t="inlineStr">
        <is>
          <t>BKNG</t>
        </is>
      </c>
      <c r="B67">
        <f>A67&amp;" US Equity"</f>
        <v/>
      </c>
      <c r="C67" s="15">
        <f t="array" ref="C67">_xll.BDP($B67,"short_name")</f>
        <v/>
      </c>
      <c r="D67" s="15" t="n">
        <v>132.84783186126</v>
      </c>
      <c r="E67" s="69" t="n">
        <v>4194.31</v>
      </c>
      <c r="F67" s="70" t="n">
        <v>15.64498140570623</v>
      </c>
      <c r="G67" s="70" t="n">
        <v>13.38060115739707</v>
      </c>
      <c r="H67" s="70" t="n">
        <v>11.58399571363076</v>
      </c>
      <c r="I67" s="71" t="n">
        <v>0.1717823878069433</v>
      </c>
      <c r="J67" s="15" t="n">
        <v>29.94669444444444</v>
      </c>
      <c r="K67" s="72" t="n">
        <v>0.3520347089267715</v>
      </c>
      <c r="L67" s="72" t="n">
        <v>0.5217339493670735</v>
      </c>
      <c r="M67" s="72" t="n">
        <v>0.09495410575127639</v>
      </c>
      <c r="N67" s="72" t="n">
        <v>0.1388654437837171</v>
      </c>
      <c r="O67" s="72" t="n">
        <v>0.1672217260060196</v>
      </c>
      <c r="Q67" s="73" t="n">
        <v>-0.2167971</v>
      </c>
      <c r="T67" s="68" t="n">
        <v>0.9355830596523712</v>
      </c>
      <c r="AB67" s="15" t="n">
        <v>8825</v>
      </c>
      <c r="AC67" s="15" t="n">
        <v>19408</v>
      </c>
      <c r="AD67" s="15" t="n">
        <v>-5578</v>
      </c>
      <c r="AE67" s="15" t="n">
        <v>17203</v>
      </c>
      <c r="AF67" s="16" t="n">
        <v>582</v>
      </c>
      <c r="AG67" s="15" t="n">
        <v>13830</v>
      </c>
      <c r="AH67" s="67" t="n">
        <v>0.5217339493670735</v>
      </c>
      <c r="AJ67" s="15" t="n">
        <v>182.871</v>
      </c>
      <c r="AK67" s="15" t="n">
        <v>227.689</v>
      </c>
      <c r="AL67" s="15" t="n">
        <v>268.093</v>
      </c>
      <c r="AM67" s="15" t="n">
        <v>313.462</v>
      </c>
      <c r="AN67" s="15" t="n">
        <v>362.078</v>
      </c>
      <c r="AP67" s="15" t="n">
        <v>23436.45714285714</v>
      </c>
      <c r="AQ67" s="15" t="n">
        <v>26703.58333333333</v>
      </c>
      <c r="AR67" s="15" t="n">
        <v>29946.69444444444</v>
      </c>
      <c r="AS67" s="15" t="n">
        <v>32508.27777777778</v>
      </c>
      <c r="AT67" s="15" t="n">
        <v>35055.59090909091</v>
      </c>
      <c r="AV67" s="15" t="n">
        <v>7399.366666666667</v>
      </c>
      <c r="AW67" s="15" t="n">
        <v>8741.041666666666</v>
      </c>
      <c r="AX67" s="15" t="n">
        <v>10542.27586206897</v>
      </c>
      <c r="AY67" s="15" t="n">
        <v>11765.39285714286</v>
      </c>
      <c r="AZ67" s="15" t="n">
        <v>12911.61111111111</v>
      </c>
      <c r="BB67" s="68" t="n">
        <v>2337.84783186126</v>
      </c>
      <c r="BC67" s="68" t="n">
        <v>2205</v>
      </c>
      <c r="BD67" s="15" t="n">
        <v>132.84783186126</v>
      </c>
      <c r="BE67" s="16" t="n">
        <v>9620</v>
      </c>
    </row>
    <row r="68">
      <c r="A68" t="inlineStr">
        <is>
          <t>UBER</t>
        </is>
      </c>
      <c r="B68">
        <f>A68&amp;" US Equity"</f>
        <v/>
      </c>
      <c r="C68" s="15">
        <f t="array" ref="C68">_xll.BDP($B68,"short_name")</f>
        <v/>
      </c>
      <c r="D68" s="15" t="n">
        <v>146.76526528112</v>
      </c>
      <c r="E68" s="69" t="n">
        <v>71.84</v>
      </c>
      <c r="F68" s="70" t="n">
        <v>21.13562812591939</v>
      </c>
      <c r="G68" s="70" t="n">
        <v>16.34584755403868</v>
      </c>
      <c r="H68" s="70" t="n">
        <v>12.91853983096565</v>
      </c>
      <c r="I68" s="71" t="n">
        <v>0.739702154626109</v>
      </c>
      <c r="J68" s="15" t="n">
        <v>58.2098</v>
      </c>
      <c r="K68" s="72" t="n">
        <v>0.1459306721221382</v>
      </c>
      <c r="L68" s="72" t="n">
        <v>0.3520331515619392</v>
      </c>
      <c r="M68" s="72" t="n">
        <v>0.1333672987411902</v>
      </c>
      <c r="N68" s="72" t="n">
        <v>0.2780489479541419</v>
      </c>
      <c r="O68" s="72" t="n">
        <v>0.3071271920151546</v>
      </c>
      <c r="Q68" s="73" t="n">
        <v>-0.120793</v>
      </c>
      <c r="T68" s="68" t="n">
        <v>0.688171828330866</v>
      </c>
      <c r="AB68" s="15" t="n">
        <v>5565</v>
      </c>
      <c r="AC68" s="15" t="n">
        <v>12302</v>
      </c>
      <c r="AD68" s="15" t="n">
        <v>28083</v>
      </c>
      <c r="AE68" s="15" t="n">
        <v>7105</v>
      </c>
      <c r="AF68" s="16" t="n">
        <v>9178</v>
      </c>
      <c r="AG68" s="15" t="n">
        <v>40385</v>
      </c>
      <c r="AH68" s="67" t="n">
        <v>0.3520331515619392</v>
      </c>
      <c r="AJ68" s="15" t="n">
        <v>2.105</v>
      </c>
      <c r="AK68" s="15" t="n">
        <v>2.49</v>
      </c>
      <c r="AL68" s="15" t="n">
        <v>3.399</v>
      </c>
      <c r="AM68" s="15" t="n">
        <v>4.395</v>
      </c>
      <c r="AN68" s="15" t="n">
        <v>5.561</v>
      </c>
      <c r="AP68" s="15" t="n">
        <v>43758.4423076923</v>
      </c>
      <c r="AQ68" s="15" t="n">
        <v>51956.05660377358</v>
      </c>
      <c r="AR68" s="15" t="n">
        <v>58209.8</v>
      </c>
      <c r="AS68" s="15" t="n">
        <v>66748.11538461539</v>
      </c>
      <c r="AT68" s="15" t="n">
        <v>75639.42424242424</v>
      </c>
      <c r="AV68" s="15" t="n">
        <v>3216.15</v>
      </c>
      <c r="AW68" s="15" t="n">
        <v>6402</v>
      </c>
      <c r="AX68" s="15" t="n">
        <v>8494.595238095239</v>
      </c>
      <c r="AY68" s="15" t="n">
        <v>10803.63414634146</v>
      </c>
      <c r="AZ68" s="15" t="n">
        <v>13364.66666666667</v>
      </c>
      <c r="BB68" s="68" t="n">
        <v>5343.76526528112</v>
      </c>
      <c r="BC68" s="68" t="n">
        <v>5197</v>
      </c>
      <c r="BD68" s="15" t="n">
        <v>146.76526528112</v>
      </c>
      <c r="BE68" s="16" t="n">
        <v>6581</v>
      </c>
    </row>
    <row r="69" ht="13.9" customHeight="1">
      <c r="A69" t="inlineStr">
        <is>
          <t>SGI</t>
        </is>
      </c>
      <c r="B69">
        <f>A69&amp;" US Equity"</f>
        <v/>
      </c>
      <c r="C69" s="15">
        <f t="array" ref="C69">_xll.BDP($B69,"short_name")</f>
        <v/>
      </c>
      <c r="D69" s="15" t="n">
        <v>15.3338314896</v>
      </c>
      <c r="E69" s="69" t="n">
        <v>72.90000000000001</v>
      </c>
      <c r="F69" s="70" t="n">
        <v>22.18502738892271</v>
      </c>
      <c r="G69" s="70" t="n">
        <v>17.81524926686217</v>
      </c>
      <c r="H69" s="70" t="n">
        <v>14.56834532374101</v>
      </c>
      <c r="I69" s="71" t="n">
        <v>6.511549183592195</v>
      </c>
      <c r="J69" s="15" t="n">
        <v>7.952</v>
      </c>
      <c r="K69" s="72" t="n">
        <v>0.1470489604292421</v>
      </c>
      <c r="L69" s="72" t="n">
        <v>0.0776623898337178</v>
      </c>
      <c r="M69" s="72" t="n">
        <v>0.05613934641274776</v>
      </c>
      <c r="N69" s="72" t="n">
        <v>0.1492251477329622</v>
      </c>
      <c r="O69" s="72" t="n">
        <v>0.2294012467363553</v>
      </c>
      <c r="Q69" s="73" t="n">
        <v>-0.1834677</v>
      </c>
      <c r="T69" s="68" t="n">
        <v>0.9670839938555069</v>
      </c>
      <c r="AB69" s="15" t="n">
        <v>754.9</v>
      </c>
      <c r="AC69" s="15" t="n">
        <v>6675.1</v>
      </c>
      <c r="AD69" s="15" t="n">
        <v>3116.9</v>
      </c>
      <c r="AE69" s="15" t="n">
        <v>134.9</v>
      </c>
      <c r="AF69" s="16">
        <f>IF(ISNUMBER(_xlfn.SINGLE(_xll.BDP($B69,"BS_LONG_TERM_INVESTMENTS"))),_xlfn.SINGLE(_xll.BDP($B69,"BS_LONG_TERM_INVESTMENTS")),0)</f>
        <v/>
      </c>
      <c r="AG69" s="15" t="n">
        <v>9792</v>
      </c>
      <c r="AH69" s="67" t="n">
        <v>0.0776623898337178</v>
      </c>
      <c r="AJ69" s="15" t="n">
        <v>2.518</v>
      </c>
      <c r="AK69" s="15" t="n">
        <v>2.693</v>
      </c>
      <c r="AL69" s="15" t="n">
        <v>3.286</v>
      </c>
      <c r="AM69" s="15" t="n">
        <v>4.092000000000001</v>
      </c>
      <c r="AN69" s="15" t="n">
        <v>5.004</v>
      </c>
      <c r="AP69" s="15" t="n">
        <v>4904.9</v>
      </c>
      <c r="AQ69" s="15" t="n">
        <v>7538.9</v>
      </c>
      <c r="AR69" s="15" t="n">
        <v>7952</v>
      </c>
      <c r="AS69" s="15" t="n">
        <v>8369.666666666668</v>
      </c>
      <c r="AT69" s="15" t="n">
        <v>8881.200000000001</v>
      </c>
      <c r="AV69" s="15" t="n">
        <v>719</v>
      </c>
      <c r="AW69" s="15" t="n">
        <v>1019.5</v>
      </c>
      <c r="AX69" s="15" t="n">
        <v>1169.333333333333</v>
      </c>
      <c r="AY69" s="15" t="n">
        <v>1349.444444444444</v>
      </c>
      <c r="AZ69" s="15" t="n">
        <v>1547.4</v>
      </c>
      <c r="BB69" s="68" t="n">
        <v>6555.533831489601</v>
      </c>
      <c r="BC69" s="68" t="n">
        <v>6540.200000000001</v>
      </c>
      <c r="BD69" s="15" t="n">
        <v>15.3338314896</v>
      </c>
      <c r="BE69" s="16" t="n">
        <v>1493.9</v>
      </c>
    </row>
    <row r="70">
      <c r="A70" t="inlineStr">
        <is>
          <t>FWONK</t>
        </is>
      </c>
      <c r="B70">
        <f>A70&amp;" US Equity"</f>
        <v/>
      </c>
      <c r="C70" s="15">
        <f t="array" ref="C70">_xll.BDP($B70,"short_name")</f>
        <v/>
      </c>
      <c r="D70" s="15" t="n">
        <v>21.77094199128</v>
      </c>
      <c r="E70" s="69" t="n">
        <v>87.86</v>
      </c>
      <c r="F70" s="70" t="n">
        <v>54.91249999999999</v>
      </c>
      <c r="G70" s="70" t="n">
        <v>40.63829787234042</v>
      </c>
      <c r="H70" s="70" t="n">
        <v>32.51665433012583</v>
      </c>
      <c r="I70" s="71" t="n">
        <v>4.217935349322211</v>
      </c>
      <c r="J70" s="15" t="n">
        <v>4.707199999999999</v>
      </c>
      <c r="K70" s="72" t="n">
        <v>0.1717009621921247</v>
      </c>
      <c r="L70" s="72" t="n">
        <v>0.03682395196538389</v>
      </c>
      <c r="M70" s="72" t="n">
        <v>0.07459845112029151</v>
      </c>
      <c r="N70" s="72" t="n">
        <v>0.2340746694978668</v>
      </c>
      <c r="O70" s="72" t="n">
        <v>0.0665675736164999</v>
      </c>
      <c r="Q70" s="73" t="n">
        <v>-0.1081109</v>
      </c>
      <c r="T70" s="68" t="n">
        <v>8.249136481427799</v>
      </c>
      <c r="AB70" s="15" t="n">
        <v>577</v>
      </c>
      <c r="AC70" s="15" t="n">
        <v>5100</v>
      </c>
      <c r="AD70" s="15" t="n">
        <v>8450</v>
      </c>
      <c r="AE70" s="15" t="n">
        <v>1055</v>
      </c>
      <c r="AF70" s="16">
        <f>IF(ISNUMBER(_xlfn.SINGLE(_xll.BDP($B70,"BS_LONG_TERM_INVESTMENTS"))),_xlfn.SINGLE(_xll.BDP($B70,"BS_LONG_TERM_INVESTMENTS")),0)</f>
        <v/>
      </c>
      <c r="AG70" s="15" t="n">
        <v>13550</v>
      </c>
      <c r="AH70" s="67" t="n">
        <v>0.03682395196538389</v>
      </c>
      <c r="AJ70" s="15" t="n">
        <v>1.249</v>
      </c>
      <c r="AK70" s="15" t="n">
        <v>2.227</v>
      </c>
      <c r="AL70" s="15" t="n">
        <v>1.6</v>
      </c>
      <c r="AM70" s="15" t="n">
        <v>2.162</v>
      </c>
      <c r="AN70" s="15" t="n">
        <v>2.702</v>
      </c>
      <c r="AP70" s="15" t="n">
        <v>3771.266666666666</v>
      </c>
      <c r="AQ70" s="15" t="n">
        <v>4392.6875</v>
      </c>
      <c r="AR70" s="15" t="n">
        <v>4707.2</v>
      </c>
      <c r="AS70" s="15" t="n">
        <v>5206.333333333333</v>
      </c>
      <c r="AT70" s="15" t="n">
        <v>5450.909090909091</v>
      </c>
      <c r="AV70" s="15" t="n">
        <v>438.9230769230769</v>
      </c>
      <c r="AW70" s="15" t="n">
        <v>593.2142857142858</v>
      </c>
      <c r="AX70" s="15" t="n">
        <v>808.2307692307693</v>
      </c>
      <c r="AY70" s="15" t="n">
        <v>971.1538461538462</v>
      </c>
      <c r="AZ70" s="15" t="n">
        <v>1114.9</v>
      </c>
      <c r="BB70" s="68" t="n">
        <v>4066.77094199128</v>
      </c>
      <c r="BC70" s="68" t="n">
        <v>4045</v>
      </c>
      <c r="BD70" s="15" t="n">
        <v>21.77094199128</v>
      </c>
      <c r="BE70" s="16" t="n">
        <v>970</v>
      </c>
    </row>
    <row r="71" ht="13.9" customHeight="1">
      <c r="A71" t="inlineStr">
        <is>
          <t>MC</t>
        </is>
      </c>
      <c r="B71">
        <f>A71&amp;" FP Equity"</f>
        <v/>
      </c>
      <c r="C71" s="15">
        <f t="array" ref="C71">_xll.BDP($B71,"short_name")</f>
        <v/>
      </c>
      <c r="D71" s="15" t="n">
        <v>234.435433087</v>
      </c>
      <c r="E71" s="69" t="n">
        <v>471.05</v>
      </c>
      <c r="F71" s="70" t="n">
        <v>20.49469195962408</v>
      </c>
      <c r="G71" s="70" t="n">
        <v>17.86987860394537</v>
      </c>
      <c r="H71" s="70" t="n">
        <v>16.00414500730473</v>
      </c>
      <c r="I71" s="71" t="n">
        <v>0.9134865134865134</v>
      </c>
      <c r="J71" s="15" t="n">
        <v>81.99603703703704</v>
      </c>
      <c r="K71" s="72" t="n">
        <v>0.2204267505249802</v>
      </c>
      <c r="L71" s="72" t="n">
        <v>0.09870261771313467</v>
      </c>
      <c r="M71" s="72" t="n">
        <v>0.04423954891008353</v>
      </c>
      <c r="N71" s="72" t="n">
        <v>0.08257568698788109</v>
      </c>
      <c r="O71" s="72" t="n">
        <v>0.1104844901498485</v>
      </c>
      <c r="Q71" s="73" t="n">
        <v>-0.2696899</v>
      </c>
      <c r="T71" s="68" t="n">
        <v>1.854983620943305</v>
      </c>
      <c r="AB71" s="15" t="n">
        <v>17024</v>
      </c>
      <c r="AC71" s="15" t="n">
        <v>36362</v>
      </c>
      <c r="AD71" s="15" t="n">
        <v>68949</v>
      </c>
      <c r="AE71" s="15" t="n">
        <v>8794</v>
      </c>
      <c r="AF71" s="16" t="n">
        <v>1891</v>
      </c>
      <c r="AG71" s="15" t="n">
        <v>105311</v>
      </c>
      <c r="AH71" s="67" t="n">
        <v>0.09870261771313467</v>
      </c>
      <c r="AJ71" s="15" t="n">
        <v>27.188</v>
      </c>
      <c r="AK71" s="15" t="n">
        <v>21.493</v>
      </c>
      <c r="AL71" s="15" t="n">
        <v>22.984</v>
      </c>
      <c r="AM71" s="15" t="n">
        <v>26.36</v>
      </c>
      <c r="AN71" s="15" t="n">
        <v>29.433</v>
      </c>
      <c r="AP71" s="15" t="n">
        <v>84382.13333333333</v>
      </c>
      <c r="AQ71" s="15" t="n">
        <v>80813.86206896552</v>
      </c>
      <c r="AR71" s="15" t="n">
        <v>81996.03703703704</v>
      </c>
      <c r="AS71" s="15" t="n">
        <v>86673.26923076922</v>
      </c>
      <c r="AT71" s="15" t="n">
        <v>92020.85714285714</v>
      </c>
      <c r="AV71" s="15" t="n">
        <v>20450.25925925926</v>
      </c>
      <c r="AW71" s="15" t="n">
        <v>17150</v>
      </c>
      <c r="AX71" s="15" t="n">
        <v>18074.12</v>
      </c>
      <c r="AY71" s="15" t="n">
        <v>19843.32</v>
      </c>
      <c r="AZ71" s="15" t="n">
        <v>21759</v>
      </c>
      <c r="BB71" s="68" t="n">
        <v>27802.435433087</v>
      </c>
      <c r="BC71" s="68" t="n">
        <v>27568</v>
      </c>
      <c r="BD71" s="15" t="n">
        <v>234.435433087</v>
      </c>
      <c r="BE71" s="16" t="n">
        <v>25025</v>
      </c>
    </row>
    <row r="72" ht="13.9" customHeight="1">
      <c r="A72" t="inlineStr">
        <is>
          <t>RMS</t>
        </is>
      </c>
      <c r="B72">
        <f>A72&amp;" FP Equity"</f>
        <v/>
      </c>
      <c r="C72" s="15">
        <f t="array" ref="C72">_xll.BDP($B72,"short_name")</f>
        <v/>
      </c>
      <c r="D72" s="15" t="n">
        <v>176.03699451</v>
      </c>
      <c r="E72" s="69" t="n">
        <v>1667.5</v>
      </c>
      <c r="F72" s="70" t="n">
        <v>35.81400343642611</v>
      </c>
      <c r="G72" s="70" t="n">
        <v>31.11587982832618</v>
      </c>
      <c r="H72" s="70" t="n">
        <v>28.18532165917312</v>
      </c>
      <c r="I72" s="71" t="n">
        <v>-1.319946631087392</v>
      </c>
      <c r="J72" s="15" t="n">
        <v>17.20166666666667</v>
      </c>
      <c r="K72" s="72" t="n">
        <v>0.4053344775561615</v>
      </c>
      <c r="L72" s="72" t="n">
        <v>0.2173294125697606</v>
      </c>
      <c r="M72" s="72" t="n">
        <v>0.08807438089308395</v>
      </c>
      <c r="N72" s="72" t="n">
        <v>0.09494319457413192</v>
      </c>
      <c r="O72" s="72" t="n">
        <v>0.1167330564255629</v>
      </c>
      <c r="Q72" s="73" t="n">
        <v>-0.2141847</v>
      </c>
      <c r="T72" s="68" t="n">
        <v>3.068025847439677</v>
      </c>
      <c r="AB72" s="15" t="n">
        <v>6569</v>
      </c>
      <c r="AC72" s="15" t="n">
        <v>2346</v>
      </c>
      <c r="AD72" s="15" t="n">
        <v>18845</v>
      </c>
      <c r="AE72" s="15" t="n">
        <v>1896</v>
      </c>
      <c r="AF72" s="16" t="n">
        <v>1196</v>
      </c>
      <c r="AG72" s="15" t="n">
        <v>21191</v>
      </c>
      <c r="AH72" s="67" t="n">
        <v>0.2173294125697606</v>
      </c>
      <c r="AJ72" s="15" t="n">
        <v>42.852</v>
      </c>
      <c r="AK72" s="15" t="n">
        <v>42.481</v>
      </c>
      <c r="AL72" s="15" t="n">
        <v>46.56</v>
      </c>
      <c r="AM72" s="15" t="n">
        <v>53.59</v>
      </c>
      <c r="AN72" s="15" t="n">
        <v>59.162</v>
      </c>
      <c r="AP72" s="15" t="n">
        <v>14931.42307692308</v>
      </c>
      <c r="AQ72" s="15" t="n">
        <v>16059.25</v>
      </c>
      <c r="AR72" s="15" t="n">
        <v>17201.66666666667</v>
      </c>
      <c r="AS72" s="15" t="n">
        <v>18906.08333333333</v>
      </c>
      <c r="AT72" s="15" t="n">
        <v>20687.16666666667</v>
      </c>
      <c r="AV72" s="15" t="n">
        <v>6001.791666666667</v>
      </c>
      <c r="AW72" s="15" t="n">
        <v>6391.08</v>
      </c>
      <c r="AX72" s="15" t="n">
        <v>6972.428571428572</v>
      </c>
      <c r="AY72" s="15" t="n">
        <v>7692.619047619047</v>
      </c>
      <c r="AZ72" s="15" t="n">
        <v>8389.75</v>
      </c>
      <c r="BB72" s="68" t="n">
        <v>626.03699451</v>
      </c>
      <c r="BC72" s="68" t="n">
        <v>450</v>
      </c>
      <c r="BD72" s="15" t="n">
        <v>176.03699451</v>
      </c>
      <c r="BE72" s="16" t="n">
        <v>7495</v>
      </c>
    </row>
    <row r="73">
      <c r="A73" t="inlineStr">
        <is>
          <t>PM</t>
        </is>
      </c>
      <c r="B73">
        <f>A73&amp;" US Equity"</f>
        <v/>
      </c>
      <c r="C73" s="15">
        <f t="array" ref="C73">_xll.BDP($B73,"short_name")</f>
        <v/>
      </c>
      <c r="D73" s="15" t="n">
        <v>246.4036353708</v>
      </c>
      <c r="E73" s="69" t="n">
        <v>158.1</v>
      </c>
      <c r="F73" s="70" t="n">
        <v>18.73222748815166</v>
      </c>
      <c r="G73" s="70" t="n">
        <v>17.21284703320631</v>
      </c>
      <c r="H73" s="70" t="n">
        <v>15.78159313236175</v>
      </c>
      <c r="I73" s="71" t="n">
        <v>2.595586527293845</v>
      </c>
      <c r="J73" s="15" t="n">
        <v>43.6046875</v>
      </c>
      <c r="K73" s="72" t="n">
        <v>0.4068369943025048</v>
      </c>
      <c r="L73" s="72" t="n">
        <v>0.3031381061781715</v>
      </c>
      <c r="M73" s="72" t="n">
        <v>0.06730412822816079</v>
      </c>
      <c r="N73" s="72" t="n">
        <v>0.07962136665596731</v>
      </c>
      <c r="O73" s="72" t="n">
        <v>0.09944868645215732</v>
      </c>
      <c r="Q73" s="73" t="n">
        <v>-0.01433911</v>
      </c>
      <c r="T73" s="68" t="n">
        <v>1.883607331220342</v>
      </c>
      <c r="AB73" s="15" t="n">
        <v>14892</v>
      </c>
      <c r="AC73" s="15" t="n">
        <v>49568</v>
      </c>
      <c r="AD73" s="15" t="n">
        <v>-8028</v>
      </c>
      <c r="AE73" s="15" t="n">
        <v>4872</v>
      </c>
      <c r="AF73" s="16">
        <f>IF(ISNUMBER(_xlfn.SINGLE(_xll.BDP($B73,"BS_LONG_TERM_INVESTMENTS"))),_xlfn.SINGLE(_xll.BDP($B73,"BS_LONG_TERM_INVESTMENTS")),0)</f>
        <v/>
      </c>
      <c r="AG73" s="15" t="n">
        <v>41540</v>
      </c>
      <c r="AH73" s="67" t="n">
        <v>0.3031381061781715</v>
      </c>
      <c r="AJ73" s="15" t="n">
        <v>6.487</v>
      </c>
      <c r="AK73" s="15" t="n">
        <v>7.538</v>
      </c>
      <c r="AL73" s="15" t="n">
        <v>8.44</v>
      </c>
      <c r="AM73" s="15" t="n">
        <v>9.185</v>
      </c>
      <c r="AN73" s="15" t="n">
        <v>10.018</v>
      </c>
      <c r="AP73" s="15" t="n">
        <v>37635.3076923077</v>
      </c>
      <c r="AQ73" s="15" t="n">
        <v>40692.55555555555</v>
      </c>
      <c r="AR73" s="15" t="n">
        <v>43604.6875</v>
      </c>
      <c r="AS73" s="15" t="n">
        <v>46484.625</v>
      </c>
      <c r="AT73" s="15" t="n">
        <v>49474.28571428571</v>
      </c>
      <c r="AV73" s="15" t="n">
        <v>14621.41666666667</v>
      </c>
      <c r="AW73" s="15" t="n">
        <v>16529.6</v>
      </c>
      <c r="AX73" s="15" t="n">
        <v>17740</v>
      </c>
      <c r="AY73" s="15" t="n">
        <v>19235.33333333333</v>
      </c>
      <c r="AZ73" s="15" t="n">
        <v>20800.64285714286</v>
      </c>
      <c r="BB73" s="68" t="n">
        <v>44942.4036353708</v>
      </c>
      <c r="BC73" s="68" t="n">
        <v>44696</v>
      </c>
      <c r="BD73" s="15" t="n">
        <v>246.4036353708</v>
      </c>
      <c r="BE73" s="16" t="n">
        <v>17201</v>
      </c>
    </row>
    <row r="74">
      <c r="C74" s="15" t="n"/>
      <c r="D74" s="15" t="n"/>
      <c r="E74" s="69" t="n"/>
      <c r="F74" s="70" t="n"/>
      <c r="G74" s="70" t="n"/>
      <c r="H74" s="70" t="n"/>
      <c r="I74" s="15" t="n"/>
      <c r="J74" s="15" t="n"/>
      <c r="K74" s="72" t="n"/>
      <c r="L74" s="15" t="n"/>
      <c r="M74" s="72" t="n"/>
      <c r="N74" s="72" t="n"/>
      <c r="O74" s="72" t="n"/>
      <c r="T74" s="68" t="n"/>
      <c r="AB74" s="15" t="n"/>
      <c r="AC74" s="15" t="n"/>
      <c r="AD74" s="15" t="n"/>
      <c r="AE74" s="15" t="n"/>
      <c r="AF74" s="16" t="n"/>
      <c r="AG74" s="15" t="n"/>
      <c r="AH74" s="67" t="n"/>
      <c r="AJ74" s="15" t="n"/>
      <c r="AK74" s="15" t="n"/>
      <c r="AL74" s="15" t="n"/>
      <c r="AM74" s="15" t="n"/>
      <c r="AN74" s="15" t="n"/>
      <c r="AP74" s="15" t="n"/>
      <c r="AQ74" s="15" t="n"/>
      <c r="AR74" s="15" t="n"/>
      <c r="AS74" s="15" t="n"/>
      <c r="AT74" s="15" t="n"/>
      <c r="AV74" s="15" t="n"/>
      <c r="AW74" s="15" t="n"/>
      <c r="AX74" s="15" t="n"/>
      <c r="AY74" s="15" t="n"/>
      <c r="AZ74" s="15" t="n"/>
      <c r="BB74" s="68" t="n"/>
      <c r="BC74" s="68" t="n"/>
      <c r="BD74" s="15" t="n"/>
      <c r="BE74" s="16" t="n"/>
    </row>
    <row r="75">
      <c r="A75" s="36" t="inlineStr">
        <is>
          <t>Industrials</t>
        </is>
      </c>
      <c r="C75" s="15" t="n"/>
      <c r="D75" s="15" t="n"/>
      <c r="E75" s="69" t="n"/>
      <c r="F75" s="70" t="n"/>
      <c r="G75" s="70" t="n"/>
      <c r="H75" s="70" t="n"/>
      <c r="I75" s="15" t="n"/>
      <c r="J75" s="15" t="n"/>
      <c r="K75" s="72" t="n"/>
      <c r="L75" s="15" t="n"/>
      <c r="M75" s="72" t="n"/>
      <c r="N75" s="72" t="n"/>
      <c r="O75" s="72" t="n"/>
      <c r="T75" s="68" t="n"/>
      <c r="AB75" s="15" t="n"/>
      <c r="AC75" s="15" t="n"/>
      <c r="AD75" s="15" t="n"/>
      <c r="AE75" s="15" t="n"/>
      <c r="AF75" s="16" t="n"/>
      <c r="AG75" s="15" t="n"/>
      <c r="AH75" s="67" t="n"/>
      <c r="AJ75" s="15" t="n"/>
      <c r="AK75" s="15" t="n"/>
      <c r="AL75" s="15" t="n"/>
      <c r="AM75" s="15" t="n"/>
      <c r="AN75" s="15" t="n"/>
      <c r="AP75" s="15" t="n"/>
      <c r="AQ75" s="15" t="n"/>
      <c r="AR75" s="15" t="n"/>
      <c r="AS75" s="15" t="n"/>
      <c r="AT75" s="15" t="n"/>
      <c r="AV75" s="15" t="n"/>
      <c r="AW75" s="15" t="n"/>
      <c r="AX75" s="15" t="n"/>
      <c r="AY75" s="15" t="n"/>
      <c r="AZ75" s="15" t="n"/>
      <c r="BB75" s="68" t="n"/>
      <c r="BC75" s="68" t="n"/>
      <c r="BD75" s="15" t="n"/>
      <c r="BE75" s="16" t="n"/>
    </row>
    <row r="76">
      <c r="A76" t="inlineStr">
        <is>
          <t>GE</t>
        </is>
      </c>
      <c r="B76">
        <f>A76&amp;" US Equity"</f>
        <v/>
      </c>
      <c r="C76" s="48" t="inlineStr">
        <is>
          <t>GE Aerospace</t>
        </is>
      </c>
      <c r="D76" s="15" t="n">
        <v>293.76429089832</v>
      </c>
      <c r="E76" s="69" t="n">
        <v>281.16</v>
      </c>
      <c r="F76" s="70" t="n">
        <v>37.7244062793506</v>
      </c>
      <c r="G76" s="70" t="n">
        <v>32.72346368715084</v>
      </c>
      <c r="H76" s="70" t="n">
        <v>28.69565217391305</v>
      </c>
      <c r="I76" s="71" t="n">
        <v>0.7963436209946924</v>
      </c>
      <c r="J76" s="15" t="n">
        <v>48.15166666666666</v>
      </c>
      <c r="K76" s="72" t="n">
        <v>0.2137052332815355</v>
      </c>
      <c r="L76" s="72" t="n">
        <v>0.1367356647922809</v>
      </c>
      <c r="M76" s="72" t="n">
        <v>0.1133403423012287</v>
      </c>
      <c r="N76" s="72" t="n">
        <v>0.1348126237311127</v>
      </c>
      <c r="O76" s="72" t="n">
        <v>0.1631066080696502</v>
      </c>
      <c r="Q76" s="73" t="n">
        <v>-0.08723176000000001</v>
      </c>
      <c r="T76" s="68" t="n">
        <v>2.312868051504169</v>
      </c>
      <c r="AB76" s="15" t="n">
        <v>8568</v>
      </c>
      <c r="AC76" s="15" t="n">
        <v>21557</v>
      </c>
      <c r="AD76" s="15" t="n">
        <v>18898</v>
      </c>
      <c r="AE76" s="15" t="n">
        <v>12392</v>
      </c>
      <c r="AF76" s="16" t="n">
        <v>38788</v>
      </c>
      <c r="AG76" s="15" t="n">
        <v>40455</v>
      </c>
      <c r="AH76" s="67" t="n">
        <v>0.1367356647922809</v>
      </c>
      <c r="AJ76" s="15" t="n">
        <v>4.305</v>
      </c>
      <c r="AK76" s="15" t="n">
        <v>6.227</v>
      </c>
      <c r="AL76" s="15" t="n">
        <v>7.453</v>
      </c>
      <c r="AM76" s="15" t="n">
        <v>8.592000000000001</v>
      </c>
      <c r="AN76" s="15" t="n">
        <v>9.798</v>
      </c>
      <c r="AP76" s="15" t="n">
        <v>34718.3125</v>
      </c>
      <c r="AQ76" s="15" t="n">
        <v>41973.35714285714</v>
      </c>
      <c r="AR76" s="15" t="n">
        <v>48151.66666666666</v>
      </c>
      <c r="AS76" s="15" t="n">
        <v>53221.5625</v>
      </c>
      <c r="AT76" s="15" t="n">
        <v>57923.86666666666</v>
      </c>
      <c r="AV76" s="15" t="n">
        <v>6963.0625</v>
      </c>
      <c r="AW76" s="15" t="n">
        <v>8914.428571428572</v>
      </c>
      <c r="AX76" s="15" t="n">
        <v>10290.26315789474</v>
      </c>
      <c r="AY76" s="15" t="n">
        <v>11698.23529411765</v>
      </c>
      <c r="AZ76" s="15" t="n">
        <v>13027.64705882353</v>
      </c>
      <c r="BB76" s="68" t="n">
        <v>9458.76429089832</v>
      </c>
      <c r="BC76" s="68" t="n">
        <v>9165</v>
      </c>
      <c r="BD76" s="15" t="n">
        <v>293.76429089832</v>
      </c>
      <c r="BE76" s="16" t="n">
        <v>10097</v>
      </c>
    </row>
    <row r="77">
      <c r="A77" t="inlineStr">
        <is>
          <t>TMO</t>
        </is>
      </c>
      <c r="B77">
        <f>A77&amp;" US Equity"</f>
        <v/>
      </c>
      <c r="C77" s="15">
        <f t="array" ref="C77">_xll.BDP($B77,"short_name")</f>
        <v/>
      </c>
      <c r="D77" s="15" t="n">
        <v>182.56964655624</v>
      </c>
      <c r="E77" s="69" t="n">
        <v>491.46</v>
      </c>
      <c r="F77" s="70" t="n">
        <v>20.01140111568061</v>
      </c>
      <c r="G77" s="70" t="n">
        <v>18.2569932018277</v>
      </c>
      <c r="H77" s="70" t="n">
        <v>16.54357558824519</v>
      </c>
      <c r="I77" s="71" t="n">
        <v>2.921060131091479</v>
      </c>
      <c r="J77" s="15" t="n">
        <v>46.86569230769231</v>
      </c>
      <c r="K77" s="72" t="n">
        <v>0.2314525036132116</v>
      </c>
      <c r="L77" s="72" t="n">
        <v>0.08039549233396573</v>
      </c>
      <c r="M77" s="72" t="n">
        <v>0.05743380097571293</v>
      </c>
      <c r="N77" s="72" t="n">
        <v>0.08033315741963865</v>
      </c>
      <c r="O77" s="72" t="n">
        <v>0.09303020084653135</v>
      </c>
      <c r="Q77" s="73" t="n">
        <v>-0.1518509</v>
      </c>
      <c r="T77" s="68" t="n">
        <v>2.151065023356524</v>
      </c>
      <c r="AB77" s="15" t="n">
        <v>7746</v>
      </c>
      <c r="AC77" s="15" t="n">
        <v>40855</v>
      </c>
      <c r="AD77" s="15" t="n">
        <v>53536</v>
      </c>
      <c r="AE77" s="15" t="n">
        <v>9852</v>
      </c>
      <c r="AF77" s="16">
        <f>IF(ISNUMBER(_xlfn.SINGLE(_xll.BDP($B77,"BS_LONG_TERM_INVESTMENTS"))),_xlfn.SINGLE(_xll.BDP($B77,"BS_LONG_TERM_INVESTMENTS")),0)</f>
        <v/>
      </c>
      <c r="AG77" s="15" t="n">
        <v>94391</v>
      </c>
      <c r="AH77" s="67" t="n">
        <v>0.08039549233396573</v>
      </c>
      <c r="AJ77" s="15" t="n">
        <v>21.693</v>
      </c>
      <c r="AK77" s="15" t="n">
        <v>22.749</v>
      </c>
      <c r="AL77" s="15" t="n">
        <v>24.559</v>
      </c>
      <c r="AM77" s="15" t="n">
        <v>26.919</v>
      </c>
      <c r="AN77" s="15" t="n">
        <v>29.707</v>
      </c>
      <c r="AP77" s="15" t="n">
        <v>42769.31034482758</v>
      </c>
      <c r="AQ77" s="15" t="n">
        <v>44299.91304347826</v>
      </c>
      <c r="AR77" s="15" t="n">
        <v>46865.6923076923</v>
      </c>
      <c r="AS77" s="15" t="n">
        <v>49300.61538461539</v>
      </c>
      <c r="AT77" s="15" t="n">
        <v>52379.63157894737</v>
      </c>
      <c r="AV77" s="15" t="n">
        <v>9666.52</v>
      </c>
      <c r="AW77" s="15" t="n">
        <v>10081.90909090909</v>
      </c>
      <c r="AX77" s="15" t="n">
        <v>10847.18181818182</v>
      </c>
      <c r="AY77" s="15" t="n">
        <v>11670.40909090909</v>
      </c>
      <c r="AZ77" s="15" t="n">
        <v>12712.05882352941</v>
      </c>
      <c r="BB77" s="68" t="n">
        <v>31185.56964655624</v>
      </c>
      <c r="BC77" s="68" t="n">
        <v>31003</v>
      </c>
      <c r="BD77" s="15" t="n">
        <v>182.56964655624</v>
      </c>
      <c r="BE77" s="16" t="n">
        <v>10907</v>
      </c>
    </row>
    <row r="78">
      <c r="A78" t="inlineStr">
        <is>
          <t>DHR</t>
        </is>
      </c>
      <c r="B78">
        <f>A78&amp;" US Equity"</f>
        <v/>
      </c>
      <c r="C78" s="15">
        <f t="array" ref="C78">_xll.BDP($B78,"short_name")</f>
        <v/>
      </c>
      <c r="D78" s="15" t="n">
        <v>135.25551295928</v>
      </c>
      <c r="E78" s="69" t="n">
        <v>191.12</v>
      </c>
      <c r="F78" s="70" t="n">
        <v>22.73073263558516</v>
      </c>
      <c r="G78" s="70" t="n">
        <v>21.00912388699571</v>
      </c>
      <c r="H78" s="70" t="n">
        <v>19.112</v>
      </c>
      <c r="I78" s="71" t="n">
        <v>2.113072719630097</v>
      </c>
      <c r="J78" s="15" t="n">
        <v>25.63434782608696</v>
      </c>
      <c r="K78" s="72" t="n">
        <v>0.2895767491910574</v>
      </c>
      <c r="L78" s="72" t="n">
        <v>0.05732198856824242</v>
      </c>
      <c r="M78" s="72" t="n">
        <v>0.05760520819786308</v>
      </c>
      <c r="N78" s="72" t="n">
        <v>0.08032773360430334</v>
      </c>
      <c r="O78" s="72" t="n">
        <v>0.08942819472920771</v>
      </c>
      <c r="Q78" s="73" t="n">
        <v>-0.1651232</v>
      </c>
      <c r="T78" s="68" t="n">
        <v>2.541785921589356</v>
      </c>
      <c r="AB78" s="15" t="n">
        <v>4690</v>
      </c>
      <c r="AC78" s="15" t="n">
        <v>19696</v>
      </c>
      <c r="AD78" s="15" t="n">
        <v>52541</v>
      </c>
      <c r="AE78" s="15" t="n">
        <v>4615</v>
      </c>
      <c r="AF78" s="16">
        <f>IF(ISNUMBER(_xlfn.SINGLE(_xll.BDP($B78,"BS_LONG_TERM_INVESTMENTS"))),_xlfn.SINGLE(_xll.BDP($B78,"BS_LONG_TERM_INVESTMENTS")),0)</f>
        <v/>
      </c>
      <c r="AG78" s="15" t="n">
        <v>72237</v>
      </c>
      <c r="AH78" s="67" t="n">
        <v>0.05732198856824242</v>
      </c>
      <c r="AJ78" s="15" t="n">
        <v>7.512</v>
      </c>
      <c r="AK78" s="15" t="n">
        <v>7.734</v>
      </c>
      <c r="AL78" s="15" t="n">
        <v>8.407999999999999</v>
      </c>
      <c r="AM78" s="15" t="n">
        <v>9.097</v>
      </c>
      <c r="AN78" s="15" t="n">
        <v>10</v>
      </c>
      <c r="AP78" s="15" t="n">
        <v>23781.96</v>
      </c>
      <c r="AQ78" s="15" t="n">
        <v>24528.79166666667</v>
      </c>
      <c r="AR78" s="15" t="n">
        <v>25634.34782608696</v>
      </c>
      <c r="AS78" s="15" t="n">
        <v>27135.69565217391</v>
      </c>
      <c r="AT78" s="15" t="n">
        <v>29016.625</v>
      </c>
      <c r="AV78" s="15" t="n">
        <v>6865.5</v>
      </c>
      <c r="AW78" s="15" t="n">
        <v>6896.823529411765</v>
      </c>
      <c r="AX78" s="15" t="n">
        <v>7423.11111111111</v>
      </c>
      <c r="AY78" s="15" t="n">
        <v>8009.666666666667</v>
      </c>
      <c r="AZ78" s="15" t="n">
        <v>8695.923076923076</v>
      </c>
      <c r="BB78" s="68" t="n">
        <v>15216.25551295928</v>
      </c>
      <c r="BC78" s="68" t="n">
        <v>15081</v>
      </c>
      <c r="BD78" s="15" t="n">
        <v>135.25551295928</v>
      </c>
      <c r="BE78" s="16" t="n">
        <v>7387</v>
      </c>
    </row>
    <row r="79">
      <c r="A79" t="inlineStr">
        <is>
          <t>APH</t>
        </is>
      </c>
      <c r="B79">
        <f>A79&amp;" US Equity"</f>
        <v/>
      </c>
      <c r="C79" s="15">
        <f t="array" ref="C79">_xll.BDP($B79,"short_name")</f>
        <v/>
      </c>
      <c r="D79" s="15" t="n">
        <v>157.33951104</v>
      </c>
      <c r="E79" s="69" t="n">
        <v>128</v>
      </c>
      <c r="F79" s="70" t="n">
        <v>29.14389799635701</v>
      </c>
      <c r="G79" s="70" t="n">
        <v>24.82063215047508</v>
      </c>
      <c r="H79" s="70" t="n">
        <v>22.3074241896131</v>
      </c>
      <c r="I79" s="71" t="n">
        <v>0.6823001030776025</v>
      </c>
      <c r="J79" s="15" t="n">
        <v>31.518</v>
      </c>
      <c r="K79" s="72" t="n">
        <v>0.2637056185103918</v>
      </c>
      <c r="L79" s="72" t="n">
        <v>0.1878147015884535</v>
      </c>
      <c r="M79" s="72" t="n">
        <v>0.1873621994647836</v>
      </c>
      <c r="N79" s="72" t="n">
        <v>0.2104805692330827</v>
      </c>
      <c r="O79" s="72" t="n">
        <v>0.199711257865856</v>
      </c>
      <c r="Q79" s="73" t="n">
        <v>-0.05283409</v>
      </c>
      <c r="T79" s="68" t="n">
        <v>1.45930170926732</v>
      </c>
      <c r="AB79" s="15" t="n">
        <v>5868.6</v>
      </c>
      <c r="AC79" s="15" t="n">
        <v>16067.7</v>
      </c>
      <c r="AD79" s="15" t="n">
        <v>13509.7</v>
      </c>
      <c r="AE79" s="15" t="n">
        <v>11130.6</v>
      </c>
      <c r="AF79" s="16">
        <f>IF(ISNUMBER(_xlfn.SINGLE(_xll.BDP($B79,"BS_LONG_TERM_INVESTMENTS"))),_xlfn.SINGLE(_xll.BDP($B79,"BS_LONG_TERM_INVESTMENTS")),0)</f>
        <v/>
      </c>
      <c r="AG79" s="15" t="n">
        <v>29577.4</v>
      </c>
      <c r="AH79" s="67" t="n">
        <v>0.1878147015884535</v>
      </c>
      <c r="AJ79" s="15" t="n">
        <v>1.846</v>
      </c>
      <c r="AK79" s="15" t="n">
        <v>3.323</v>
      </c>
      <c r="AL79" s="15" t="n">
        <v>4.392</v>
      </c>
      <c r="AM79" s="15" t="n">
        <v>5.157</v>
      </c>
      <c r="AN79" s="15" t="n">
        <v>5.738</v>
      </c>
      <c r="AP79" s="15" t="n">
        <v>14983.38888888889</v>
      </c>
      <c r="AQ79" s="15" t="n">
        <v>22889.52631578947</v>
      </c>
      <c r="AR79" s="15" t="n">
        <v>31518</v>
      </c>
      <c r="AS79" s="15" t="n">
        <v>35419.33333333334</v>
      </c>
      <c r="AT79" s="15" t="n">
        <v>38316.55555555555</v>
      </c>
      <c r="AV79" s="15" t="n">
        <v>3209.941176470588</v>
      </c>
      <c r="AW79" s="15" t="n">
        <v>5968.294117647059</v>
      </c>
      <c r="AX79" s="15" t="n">
        <v>8311.473684210527</v>
      </c>
      <c r="AY79" s="15" t="n">
        <v>9525.777777777779</v>
      </c>
      <c r="AZ79" s="15" t="n">
        <v>10585.8</v>
      </c>
      <c r="BB79" s="68" t="n">
        <v>5094.439511039998</v>
      </c>
      <c r="BC79" s="68" t="n">
        <v>4937.099999999999</v>
      </c>
      <c r="BD79" s="15" t="n">
        <v>157.33951104</v>
      </c>
      <c r="BE79" s="16" t="n">
        <v>7440.3</v>
      </c>
    </row>
    <row r="80">
      <c r="A80" t="inlineStr">
        <is>
          <t>MSI</t>
        </is>
      </c>
      <c r="B80">
        <f>A80&amp;" US Equity"</f>
        <v/>
      </c>
      <c r="C80" s="15">
        <f t="array" ref="C80">_xll.BDP($B80,"short_name")</f>
        <v/>
      </c>
      <c r="D80" s="15" t="n">
        <v>72.95673708456</v>
      </c>
      <c r="E80" s="69" t="n">
        <v>438.96</v>
      </c>
      <c r="F80" s="70" t="n">
        <v>26.14257638020368</v>
      </c>
      <c r="G80" s="70" t="n">
        <v>24.10146598583429</v>
      </c>
      <c r="H80" s="70" t="n">
        <v>21.83663317082877</v>
      </c>
      <c r="I80" s="71" t="n">
        <v>2.422134609969023</v>
      </c>
      <c r="J80" s="15" t="n">
        <v>12.69838461538462</v>
      </c>
      <c r="K80" s="72" t="n">
        <v>0.3119097523004137</v>
      </c>
      <c r="L80" s="72" t="n">
        <v>0.2061977610718687</v>
      </c>
      <c r="M80" s="72" t="n">
        <v>0.07193640333571771</v>
      </c>
      <c r="N80" s="91" t="n">
        <v>0.0990568080126899</v>
      </c>
      <c r="O80" s="72" t="n">
        <v>0.09873875326758896</v>
      </c>
      <c r="Q80" s="73" t="n">
        <v>0.1451529</v>
      </c>
      <c r="T80" s="68" t="n">
        <v>2.647651050378919</v>
      </c>
      <c r="AB80" s="15" t="n">
        <v>2988</v>
      </c>
      <c r="AC80" s="15" t="n">
        <v>9766</v>
      </c>
      <c r="AD80" s="15" t="n">
        <v>2427</v>
      </c>
      <c r="AE80" s="15" t="n">
        <v>1165</v>
      </c>
      <c r="AF80" s="16" t="n">
        <v>187</v>
      </c>
      <c r="AG80" s="15" t="n">
        <v>12193</v>
      </c>
      <c r="AH80" s="67" t="n">
        <v>0.2061977610718687</v>
      </c>
      <c r="AJ80" s="15" t="n">
        <v>13.689</v>
      </c>
      <c r="AK80" s="15" t="n">
        <v>15.155</v>
      </c>
      <c r="AL80" s="15" t="n">
        <v>16.791</v>
      </c>
      <c r="AM80" s="15" t="n">
        <v>18.213</v>
      </c>
      <c r="AN80" s="15" t="n">
        <v>20.102</v>
      </c>
      <c r="AP80" s="15" t="n">
        <v>10805.55555555555</v>
      </c>
      <c r="AQ80" s="15" t="n">
        <v>11646.58333333333</v>
      </c>
      <c r="AR80" s="15" t="n">
        <v>12698.38461538462</v>
      </c>
      <c r="AS80" s="15" t="n">
        <v>13473.92307692308</v>
      </c>
      <c r="AT80" s="15" t="n">
        <v>14345.16666666667</v>
      </c>
      <c r="AV80" s="15" t="n">
        <v>3139</v>
      </c>
      <c r="AW80" s="15" t="n">
        <v>3489.272727272727</v>
      </c>
      <c r="AX80" s="15" t="n">
        <v>3960.75</v>
      </c>
      <c r="AY80" s="15" t="n">
        <v>4266.615384615385</v>
      </c>
      <c r="AZ80" s="15" t="n">
        <v>4632.285714285714</v>
      </c>
      <c r="BB80" s="68" t="n">
        <v>8673.95673708456</v>
      </c>
      <c r="BC80" s="68" t="n">
        <v>8601</v>
      </c>
      <c r="BD80" s="15" t="n">
        <v>72.95673708456</v>
      </c>
      <c r="BE80" s="16" t="n">
        <v>3553</v>
      </c>
    </row>
    <row r="81">
      <c r="A81" t="inlineStr">
        <is>
          <t>AXON</t>
        </is>
      </c>
      <c r="B81">
        <f>A81&amp;" US Equity"</f>
        <v/>
      </c>
      <c r="C81" s="15">
        <f t="array" ref="C81">_xll.BDP($B81,"short_name")</f>
        <v/>
      </c>
      <c r="D81" s="15" t="n">
        <v>33.18896421675001</v>
      </c>
      <c r="E81" s="69" t="n">
        <v>412.81</v>
      </c>
      <c r="F81" s="70" t="n">
        <v>52.87690534136031</v>
      </c>
      <c r="G81" s="70" t="n">
        <v>39.22557962751805</v>
      </c>
      <c r="H81" s="70" t="n">
        <v>29.53495027545253</v>
      </c>
      <c r="I81" s="71" t="n">
        <v>8.673322267014465</v>
      </c>
      <c r="J81" s="15" t="n">
        <v>3.590611111111111</v>
      </c>
      <c r="K81" s="72" t="n">
        <v>0.03938790982655381</v>
      </c>
      <c r="L81" s="72" t="n">
        <v>0.01803064938393492</v>
      </c>
      <c r="M81" s="72" t="n">
        <v>0.2991464765131988</v>
      </c>
      <c r="N81" s="15" t="n">
        <v>0</v>
      </c>
      <c r="O81" s="72" t="n">
        <v>0.304033913333577</v>
      </c>
      <c r="Q81" s="73" t="n">
        <v>-0.2731322</v>
      </c>
      <c r="T81" s="68" t="n">
        <v>1.73917786873155</v>
      </c>
      <c r="AB81" s="15" t="n">
        <v>-62.076</v>
      </c>
      <c r="AC81" s="15" t="n">
        <v>1916.654</v>
      </c>
      <c r="AD81" s="15" t="n">
        <v>3242.658</v>
      </c>
      <c r="AE81" s="15" t="n">
        <v>1201.147</v>
      </c>
      <c r="AF81" s="16" t="n">
        <v>422.899</v>
      </c>
      <c r="AG81" s="15" t="n">
        <v>5159.312</v>
      </c>
      <c r="AH81" s="67" t="n">
        <v>0.01803064938393492</v>
      </c>
      <c r="AJ81" s="15" t="n">
        <v>5.251</v>
      </c>
      <c r="AK81" s="15" t="n">
        <v>6.303</v>
      </c>
      <c r="AL81" s="15" t="n">
        <v>7.807</v>
      </c>
      <c r="AM81" s="15" t="n">
        <v>10.524</v>
      </c>
      <c r="AN81" s="15" t="n">
        <v>13.977</v>
      </c>
      <c r="AP81" s="15" t="n">
        <v>2074.785714285714</v>
      </c>
      <c r="AQ81" s="15" t="n">
        <v>2738</v>
      </c>
      <c r="AR81" s="15" t="n">
        <v>3590.611111111111</v>
      </c>
      <c r="AS81" s="15" t="n">
        <v>4618.055555555556</v>
      </c>
      <c r="AT81" s="15" t="n">
        <v>6003.545454545455</v>
      </c>
      <c r="AV81" s="15" t="n">
        <v>87.71538461538461</v>
      </c>
      <c r="AW81" s="15" t="n">
        <v>-26.10692307692308</v>
      </c>
      <c r="AX81" s="15" t="n">
        <v>141.4266666666666</v>
      </c>
      <c r="AY81" s="15" t="n">
        <v>391.7785714285714</v>
      </c>
      <c r="AZ81" s="15" t="n">
        <v>752.3</v>
      </c>
      <c r="BB81" s="68" t="n">
        <v>748.6959642167501</v>
      </c>
      <c r="BC81" s="68" t="n">
        <v>715.5070000000001</v>
      </c>
      <c r="BD81" s="15" t="n">
        <v>33.18896421675001</v>
      </c>
      <c r="BE81" s="16" t="n">
        <v>41.669</v>
      </c>
    </row>
    <row r="82">
      <c r="A82" t="inlineStr">
        <is>
          <t>VMC</t>
        </is>
      </c>
      <c r="B82">
        <f>A82&amp;" US Equity"</f>
        <v/>
      </c>
      <c r="C82" s="15">
        <f t="array" ref="C82">_xll.BDP($B82,"short_name")</f>
        <v/>
      </c>
      <c r="D82" s="15" t="n">
        <v>36.51377480987999</v>
      </c>
      <c r="E82" s="69" t="n">
        <v>279.88</v>
      </c>
      <c r="F82" s="70" t="n">
        <v>30.07522028798624</v>
      </c>
      <c r="G82" s="70" t="n">
        <v>25.85257712913356</v>
      </c>
      <c r="H82" s="70" t="n">
        <v>22.00141498309881</v>
      </c>
      <c r="I82" s="71" t="n">
        <v>1.943334558973731</v>
      </c>
      <c r="J82" s="15" t="n">
        <v>7.975571428571429</v>
      </c>
      <c r="K82" s="72" t="n">
        <v>0.2249856207745477</v>
      </c>
      <c r="L82" s="72" t="n">
        <v>0.09196634608047222</v>
      </c>
      <c r="M82" s="72" t="n">
        <v>0.05118366647714345</v>
      </c>
      <c r="N82" s="72" t="n">
        <v>0.1169552989811939</v>
      </c>
      <c r="O82" s="72" t="n">
        <v>0.1482757462565898</v>
      </c>
      <c r="Q82" s="73" t="n">
        <v>-0.01872239</v>
      </c>
      <c r="T82" s="68" t="n">
        <v>2.028330394368163</v>
      </c>
      <c r="AB82" s="15" t="n">
        <v>1619.6</v>
      </c>
      <c r="AC82" s="15" t="n">
        <v>4940</v>
      </c>
      <c r="AD82" s="15" t="n">
        <v>8548.9</v>
      </c>
      <c r="AE82" s="15" t="n">
        <v>183.3</v>
      </c>
      <c r="AF82" s="16" t="n">
        <v>33.7</v>
      </c>
      <c r="AG82" s="15" t="n">
        <v>13488.9</v>
      </c>
      <c r="AH82" s="67" t="n">
        <v>0.09196634608047222</v>
      </c>
      <c r="AJ82" s="15" t="n">
        <v>7.084000000000001</v>
      </c>
      <c r="AK82" s="15" t="n">
        <v>8.402000000000001</v>
      </c>
      <c r="AL82" s="15" t="n">
        <v>9.306000000000001</v>
      </c>
      <c r="AM82" s="15" t="n">
        <v>10.826</v>
      </c>
      <c r="AN82" s="15" t="n">
        <v>12.721</v>
      </c>
      <c r="AP82" s="15" t="n">
        <v>7380.363636363636</v>
      </c>
      <c r="AQ82" s="15" t="n">
        <v>7998.833333333333</v>
      </c>
      <c r="AR82" s="15" t="n">
        <v>7975.571428571428</v>
      </c>
      <c r="AS82" s="15" t="n">
        <v>8528.75</v>
      </c>
      <c r="AT82" s="15" t="n">
        <v>9291</v>
      </c>
      <c r="AV82" s="15" t="n">
        <v>1364.904761904762</v>
      </c>
      <c r="AW82" s="15" t="n">
        <v>1660.086956521739</v>
      </c>
      <c r="AX82" s="15" t="n">
        <v>1794.388888888889</v>
      </c>
      <c r="AY82" s="15" t="n">
        <v>2032.294117647059</v>
      </c>
      <c r="AZ82" s="15" t="n">
        <v>2313.333333333333</v>
      </c>
      <c r="BB82" s="68" t="n">
        <v>4793.213774809879</v>
      </c>
      <c r="BC82" s="68" t="n">
        <v>4756.7</v>
      </c>
      <c r="BD82" s="15" t="n">
        <v>36.51377480987999</v>
      </c>
      <c r="BE82" s="16" t="n">
        <v>2447</v>
      </c>
    </row>
    <row r="83">
      <c r="A83" t="inlineStr">
        <is>
          <t>CRH</t>
        </is>
      </c>
      <c r="B83">
        <f>A83&amp;" US Equity"</f>
        <v/>
      </c>
      <c r="C83" s="15">
        <f t="array" ref="C83">_xll.BDP($B83,"short_name")</f>
        <v/>
      </c>
      <c r="D83" s="15" t="n">
        <v>70.03930620087</v>
      </c>
      <c r="E83" s="69" t="n">
        <v>104.63</v>
      </c>
      <c r="F83" s="70" t="n">
        <v>17.46453012852612</v>
      </c>
      <c r="G83" s="70" t="n">
        <v>15.67960437584295</v>
      </c>
      <c r="H83" s="70" t="n">
        <v>14.12964213369345</v>
      </c>
      <c r="I83" s="71" t="n">
        <v>1.984597156398104</v>
      </c>
      <c r="J83" s="15" t="n">
        <v>39.76308333333333</v>
      </c>
      <c r="K83" s="72" t="n">
        <v>0.1509680844268649</v>
      </c>
      <c r="L83" s="72" t="n">
        <v>0.09503239634673716</v>
      </c>
      <c r="M83" s="72" t="n">
        <v>0.05591885451265677</v>
      </c>
      <c r="N83" s="72" t="n">
        <v>0.08416068567031076</v>
      </c>
      <c r="O83" s="72" t="n">
        <v>0.09806171029236577</v>
      </c>
      <c r="Q83" s="73" t="n">
        <v>-0.1616186</v>
      </c>
      <c r="T83" s="68" t="n">
        <v>1.780973437691078</v>
      </c>
      <c r="AB83" s="15" t="n">
        <v>5440</v>
      </c>
      <c r="AC83" s="15" t="n">
        <v>19171</v>
      </c>
      <c r="AD83" s="15" t="n">
        <v>25478</v>
      </c>
      <c r="AE83" s="15" t="n">
        <v>4096</v>
      </c>
      <c r="AF83" s="16">
        <f>IF(ISNUMBER(_xlfn.SINGLE(_xll.BDP($B83,"BS_LONG_TERM_INVESTMENTS"))),_xlfn.SINGLE(_xll.BDP($B83,"BS_LONG_TERM_INVESTMENTS")),0)</f>
        <v/>
      </c>
      <c r="AG83" s="15" t="n">
        <v>44649</v>
      </c>
      <c r="AH83" s="67" t="n">
        <v>0.09503239634673716</v>
      </c>
      <c r="AJ83" s="15" t="n">
        <v>5.476</v>
      </c>
      <c r="AK83" s="15" t="n">
        <v>5.593</v>
      </c>
      <c r="AL83" s="15" t="n">
        <v>5.991000000000001</v>
      </c>
      <c r="AM83" s="15" t="n">
        <v>6.673</v>
      </c>
      <c r="AN83" s="15" t="n">
        <v>7.405</v>
      </c>
      <c r="AP83" s="15" t="n">
        <v>35998.92857142857</v>
      </c>
      <c r="AQ83" s="15" t="n">
        <v>37612.74074074074</v>
      </c>
      <c r="AR83" s="15" t="n">
        <v>39763.08333333334</v>
      </c>
      <c r="AS83" s="15" t="n">
        <v>41837.08695652174</v>
      </c>
      <c r="AT83" s="15" t="n">
        <v>44281.9375</v>
      </c>
      <c r="AV83" s="15" t="n">
        <v>5120.636363636364</v>
      </c>
      <c r="AW83" s="15" t="n">
        <v>5499.666666666667</v>
      </c>
      <c r="AX83" s="15" t="n">
        <v>6002.95652173913</v>
      </c>
      <c r="AY83" s="15" t="n">
        <v>6486.714285714286</v>
      </c>
      <c r="AZ83" s="15" t="n">
        <v>7008.375</v>
      </c>
      <c r="BB83" s="68" t="n">
        <v>15145.03930620087</v>
      </c>
      <c r="BC83" s="68" t="n">
        <v>15075</v>
      </c>
      <c r="BD83" s="15" t="n">
        <v>70.03930620087</v>
      </c>
      <c r="BE83" s="16" t="n">
        <v>7618</v>
      </c>
    </row>
    <row r="84">
      <c r="A84" t="inlineStr">
        <is>
          <t>LIN</t>
        </is>
      </c>
      <c r="B84">
        <f>A84&amp;" US Equity"</f>
        <v/>
      </c>
      <c r="C84" s="15">
        <f t="array" ref="C84">_xll.BDP($B84,"short_name")</f>
        <v/>
      </c>
      <c r="D84" s="15" t="n">
        <v>232.9019028056</v>
      </c>
      <c r="E84" s="69" t="n">
        <v>502.6</v>
      </c>
      <c r="F84" s="70" t="n">
        <v>28.1900274833137</v>
      </c>
      <c r="G84" s="70" t="n">
        <v>25.78229198727814</v>
      </c>
      <c r="H84" s="70" t="n">
        <v>23.59845994929101</v>
      </c>
      <c r="I84" s="71" t="n">
        <v>1.827575150300601</v>
      </c>
      <c r="J84" s="15" t="n">
        <v>35.55140740740741</v>
      </c>
      <c r="K84" s="72" t="n">
        <v>0.3014767588269913</v>
      </c>
      <c r="L84" s="72" t="n">
        <v>0.1033492778381417</v>
      </c>
      <c r="M84" s="72" t="n">
        <v>0.0513686224743688</v>
      </c>
      <c r="N84" s="72" t="n">
        <v>0.07042822842444485</v>
      </c>
      <c r="O84" s="72" t="n">
        <v>0.09048566797907465</v>
      </c>
      <c r="Q84" s="73" t="n">
        <v>0.178733</v>
      </c>
      <c r="T84" s="68" t="n">
        <v>3.115413535968239</v>
      </c>
      <c r="AB84" s="15" t="n">
        <v>8695</v>
      </c>
      <c r="AC84" s="15" t="n">
        <v>27855</v>
      </c>
      <c r="AD84" s="15" t="n">
        <v>39741</v>
      </c>
      <c r="AE84" s="15" t="n">
        <v>5056</v>
      </c>
      <c r="AF84" s="16" t="n">
        <v>29</v>
      </c>
      <c r="AG84" s="15" t="n">
        <v>67596</v>
      </c>
      <c r="AH84" s="67" t="n">
        <v>0.1033492778381417</v>
      </c>
      <c r="AJ84" s="15" t="n">
        <v>15.482</v>
      </c>
      <c r="AK84" s="15" t="n">
        <v>16.424</v>
      </c>
      <c r="AL84" s="15" t="n">
        <v>17.829</v>
      </c>
      <c r="AM84" s="15" t="n">
        <v>19.494</v>
      </c>
      <c r="AN84" s="15" t="n">
        <v>21.298</v>
      </c>
      <c r="AP84" s="15" t="n">
        <v>33253.88235294117</v>
      </c>
      <c r="AQ84" s="15" t="n">
        <v>33872.83333333333</v>
      </c>
      <c r="AR84" s="15" t="n">
        <v>35551.40740740741</v>
      </c>
      <c r="AS84" s="15" t="n">
        <v>37341.51851851852</v>
      </c>
      <c r="AT84" s="15" t="n">
        <v>39365.57142857143</v>
      </c>
      <c r="AV84" s="15" t="n">
        <v>9610.799999999999</v>
      </c>
      <c r="AW84" s="15" t="n">
        <v>10116.24</v>
      </c>
      <c r="AX84" s="15" t="n">
        <v>10717.92307692308</v>
      </c>
      <c r="AY84" s="15" t="n">
        <v>11525.38461538462</v>
      </c>
      <c r="AZ84" s="15" t="n">
        <v>12407.71428571428</v>
      </c>
      <c r="BB84" s="68" t="n">
        <v>23031.9019028056</v>
      </c>
      <c r="BC84" s="68" t="n">
        <v>22799</v>
      </c>
      <c r="BD84" s="15" t="n">
        <v>232.9019028056</v>
      </c>
      <c r="BE84" s="16" t="n">
        <v>12769</v>
      </c>
    </row>
    <row r="85">
      <c r="A85" t="inlineStr">
        <is>
          <t>ISRG</t>
        </is>
      </c>
      <c r="B85">
        <f>A85&amp;" US Equity"</f>
        <v/>
      </c>
      <c r="C85" s="15">
        <f t="array" ref="C85">_xll.BDP($B85,"short_name")</f>
        <v/>
      </c>
      <c r="D85" s="15" t="n">
        <v>160.47730585584</v>
      </c>
      <c r="E85" s="69" t="n">
        <v>452.07</v>
      </c>
      <c r="F85" s="70" t="n">
        <v>45.47530429534252</v>
      </c>
      <c r="G85" s="70" t="n">
        <v>39.89674344718031</v>
      </c>
      <c r="H85" s="70" t="n">
        <v>34.74521558681116</v>
      </c>
      <c r="I85" s="71" t="n">
        <v>-1.59112239827748</v>
      </c>
      <c r="J85" s="15" t="n">
        <v>11.3920625</v>
      </c>
      <c r="K85" s="72" t="n">
        <v>0.3743729460753924</v>
      </c>
      <c r="L85" s="72" t="n">
        <v>0.1392379642040497</v>
      </c>
      <c r="M85" s="72" t="n">
        <v>0.1440815902993724</v>
      </c>
      <c r="N85" s="72" t="n">
        <v>0.1599557753798313</v>
      </c>
      <c r="O85" s="72" t="n">
        <v>0.14594862688765</v>
      </c>
      <c r="Q85" s="73" t="n">
        <v>-0.2017974</v>
      </c>
      <c r="T85" s="68" t="n">
        <v>3.115843243276898</v>
      </c>
      <c r="AB85" s="15" t="n">
        <v>2945.5</v>
      </c>
      <c r="AC85" s="15" t="n">
        <v>170.9</v>
      </c>
      <c r="AD85" s="15" t="n">
        <v>17941.7</v>
      </c>
      <c r="AE85" s="15" t="n">
        <v>3368</v>
      </c>
      <c r="AF85" s="16" t="n">
        <v>3099.2</v>
      </c>
      <c r="AG85" s="15" t="n">
        <v>18112.6</v>
      </c>
      <c r="AH85" s="67" t="n">
        <v>0.1392379642040497</v>
      </c>
      <c r="AJ85" s="15" t="n">
        <v>6.924</v>
      </c>
      <c r="AK85" s="15" t="n">
        <v>8.646000000000001</v>
      </c>
      <c r="AL85" s="15" t="n">
        <v>9.941000000000001</v>
      </c>
      <c r="AM85" s="15" t="n">
        <v>11.331</v>
      </c>
      <c r="AN85" s="15" t="n">
        <v>13.011</v>
      </c>
      <c r="AP85" s="15" t="n">
        <v>8193.206896551725</v>
      </c>
      <c r="AQ85" s="15" t="n">
        <v>9948</v>
      </c>
      <c r="AR85" s="15" t="n">
        <v>11392.0625</v>
      </c>
      <c r="AS85" s="15" t="n">
        <v>12959.90625</v>
      </c>
      <c r="AT85" s="15" t="n">
        <v>14897.27272727273</v>
      </c>
      <c r="AV85" s="15" t="n">
        <v>2902.869565217391</v>
      </c>
      <c r="AW85" s="15" t="n">
        <v>3673.346153846154</v>
      </c>
      <c r="AX85" s="15" t="n">
        <v>4264.88</v>
      </c>
      <c r="AY85" s="15" t="n">
        <v>4940.28</v>
      </c>
      <c r="AZ85" s="15" t="n">
        <v>5733.055555555556</v>
      </c>
      <c r="BB85" s="68" t="n">
        <v>-3036.62269414416</v>
      </c>
      <c r="BC85" s="68" t="n">
        <v>-3197.1</v>
      </c>
      <c r="BD85" s="15" t="n">
        <v>160.47730585584</v>
      </c>
      <c r="BE85" s="16" t="n">
        <v>3661.6</v>
      </c>
    </row>
    <row r="86">
      <c r="A86" t="inlineStr">
        <is>
          <t>CP</t>
        </is>
      </c>
      <c r="B86">
        <f>A86&amp;" US Equity"</f>
        <v/>
      </c>
      <c r="C86" s="15">
        <f t="array" ref="C86">_xll.BDP($B86,"short_name")</f>
        <v/>
      </c>
      <c r="D86" s="15" t="n">
        <v>70.85776979203999</v>
      </c>
      <c r="E86" s="69" t="n">
        <v>78.97</v>
      </c>
      <c r="F86" s="92" t="n">
        <v>15.30426356589147</v>
      </c>
      <c r="G86" s="92" t="n">
        <v>13.42114208021754</v>
      </c>
      <c r="H86" s="92" t="n">
        <v>11.80948108269777</v>
      </c>
      <c r="I86" s="71" t="n">
        <v>3.069480859989512</v>
      </c>
      <c r="J86" s="15" t="n">
        <v>15.92455172413793</v>
      </c>
      <c r="K86" s="72" t="n">
        <v>0.4057301920014452</v>
      </c>
      <c r="L86" s="72" t="n">
        <v>0.04574831718267919</v>
      </c>
      <c r="M86" s="72" t="n">
        <v>0.06229582634056774</v>
      </c>
      <c r="N86" s="72" t="n">
        <v>0.09864345815175724</v>
      </c>
      <c r="O86" s="72" t="n">
        <v>0.131338234923968</v>
      </c>
      <c r="Q86" s="73" t="n">
        <v>0.07252483</v>
      </c>
      <c r="T86" s="68" t="n">
        <v>1.165255766894625</v>
      </c>
      <c r="AB86" s="15" t="n">
        <v>5609</v>
      </c>
      <c r="AC86" s="15" t="n">
        <v>23598</v>
      </c>
      <c r="AD86" s="15" t="n">
        <v>46825</v>
      </c>
      <c r="AE86" s="15" t="n">
        <v>184</v>
      </c>
      <c r="AF86" s="16" t="n">
        <v>473</v>
      </c>
      <c r="AG86" s="15" t="n">
        <v>70423</v>
      </c>
      <c r="AH86" s="67" t="n">
        <v>0.04574831718267919</v>
      </c>
      <c r="AJ86" s="15" t="n">
        <v>4.205</v>
      </c>
      <c r="AK86" s="15" t="n">
        <v>4.618</v>
      </c>
      <c r="AL86" s="15" t="n">
        <v>5.16</v>
      </c>
      <c r="AM86" s="15" t="n">
        <v>5.884</v>
      </c>
      <c r="AN86" s="15" t="n">
        <v>6.687</v>
      </c>
      <c r="AP86" s="15" t="n">
        <v>14533.56666666667</v>
      </c>
      <c r="AQ86" s="15" t="n">
        <v>15082.82142857143</v>
      </c>
      <c r="AR86" s="15" t="n">
        <v>15924.55172413793</v>
      </c>
      <c r="AS86" s="15" t="n">
        <v>16904.72413793103</v>
      </c>
      <c r="AT86" s="15" t="n">
        <v>18080.85714285714</v>
      </c>
      <c r="AV86" s="15" t="n">
        <v>5562.904761904762</v>
      </c>
      <c r="AW86" s="15" t="n">
        <v>5908.785714285714</v>
      </c>
      <c r="AX86" s="15" t="n">
        <v>6461.071428571428</v>
      </c>
      <c r="AY86" s="15" t="n">
        <v>7097.75</v>
      </c>
      <c r="AZ86" s="15" t="n">
        <v>7835.533333333333</v>
      </c>
      <c r="BB86" s="68" t="n">
        <v>23484.85776979204</v>
      </c>
      <c r="BC86" s="68" t="n">
        <v>23414</v>
      </c>
      <c r="BD86" s="15" t="n">
        <v>70.85776979203999</v>
      </c>
      <c r="BE86" s="16" t="n">
        <v>7742</v>
      </c>
    </row>
    <row r="87">
      <c r="C87" s="15" t="n"/>
      <c r="D87" s="15" t="n"/>
      <c r="E87" s="69" t="n"/>
      <c r="F87" s="70" t="n"/>
      <c r="G87" s="70" t="n"/>
      <c r="H87" s="70" t="n"/>
      <c r="I87" s="71" t="n"/>
      <c r="J87" s="15" t="n"/>
      <c r="K87" s="72" t="n"/>
      <c r="L87" s="72" t="n"/>
      <c r="M87" s="72" t="n"/>
      <c r="N87" s="72" t="n"/>
      <c r="O87" s="72" t="n"/>
      <c r="T87" s="68" t="n"/>
      <c r="AB87" s="15" t="n"/>
      <c r="AC87" s="15" t="n"/>
      <c r="AD87" s="15" t="n"/>
      <c r="AE87" s="15" t="n"/>
      <c r="AF87" s="16" t="n"/>
      <c r="AG87" s="15" t="n"/>
      <c r="AH87" s="67" t="n"/>
      <c r="AJ87" s="15" t="n"/>
      <c r="AK87" s="15" t="n"/>
      <c r="AL87" s="15" t="n"/>
      <c r="AM87" s="15" t="n"/>
      <c r="AN87" s="15" t="n"/>
      <c r="AP87" s="15" t="n"/>
      <c r="AQ87" s="15" t="n"/>
      <c r="AR87" s="15" t="n"/>
      <c r="AS87" s="15" t="n"/>
      <c r="AT87" s="15" t="n"/>
      <c r="AV87" s="15" t="n"/>
      <c r="AW87" s="15" t="n"/>
      <c r="AX87" s="15" t="n"/>
      <c r="AY87" s="15" t="n"/>
      <c r="AZ87" s="15" t="n"/>
      <c r="BB87" s="68" t="n"/>
      <c r="BC87" s="68" t="n"/>
      <c r="BD87" s="15" t="n"/>
      <c r="BE87" s="16" t="n"/>
    </row>
    <row r="88">
      <c r="A88" s="36" t="inlineStr">
        <is>
          <t>Technology</t>
        </is>
      </c>
      <c r="C88" s="15" t="n"/>
      <c r="D88" s="15" t="n"/>
      <c r="E88" s="69" t="n"/>
      <c r="F88" s="70" t="n"/>
      <c r="G88" s="70" t="n"/>
      <c r="H88" s="70" t="n"/>
      <c r="I88" s="71" t="n"/>
      <c r="J88" s="15" t="n"/>
      <c r="K88" s="72" t="n"/>
      <c r="L88" s="72" t="n"/>
      <c r="M88" s="72" t="n"/>
      <c r="N88" s="72" t="n"/>
      <c r="O88" s="72" t="n"/>
      <c r="T88" s="68" t="n"/>
      <c r="AB88" s="15" t="n"/>
      <c r="AC88" s="15" t="n"/>
      <c r="AD88" s="15" t="n"/>
      <c r="AE88" s="15" t="n"/>
      <c r="AF88" s="16" t="n"/>
      <c r="AG88" s="15" t="n"/>
      <c r="AH88" s="67" t="n"/>
      <c r="AJ88" s="15" t="n"/>
      <c r="AK88" s="15" t="n"/>
      <c r="AL88" s="15" t="n"/>
      <c r="AM88" s="15" t="n"/>
      <c r="AN88" s="15" t="n"/>
      <c r="AP88" s="15" t="n"/>
      <c r="AQ88" s="15" t="n"/>
      <c r="AR88" s="15" t="n"/>
      <c r="AS88" s="15" t="n"/>
      <c r="AT88" s="15" t="n"/>
      <c r="AV88" s="15" t="n"/>
      <c r="AW88" s="15" t="n"/>
      <c r="AX88" s="15" t="n"/>
      <c r="AY88" s="15" t="n"/>
      <c r="AZ88" s="15" t="n"/>
      <c r="BB88" s="68" t="n"/>
      <c r="BC88" s="68" t="n"/>
      <c r="BD88" s="15" t="n"/>
      <c r="BE88" s="16" t="n"/>
    </row>
    <row r="89">
      <c r="A89" t="inlineStr">
        <is>
          <t>AAPL</t>
        </is>
      </c>
      <c r="B89">
        <f>A89&amp;" US Equity"</f>
        <v/>
      </c>
      <c r="C89" s="15">
        <f t="array" ref="C89">_xll.BDP($B89,"short_name")</f>
        <v/>
      </c>
      <c r="D89" s="15" t="n">
        <v>3757.1973488</v>
      </c>
      <c r="E89" s="69" t="n">
        <v>255.92</v>
      </c>
      <c r="F89" s="70" t="n">
        <v>30.07285546415981</v>
      </c>
      <c r="G89" s="70" t="n">
        <v>27.29813333333333</v>
      </c>
      <c r="H89" s="70" t="n">
        <v>24.90705596107056</v>
      </c>
      <c r="I89" s="71" t="n">
        <v>-0.3550378673921858</v>
      </c>
      <c r="J89" s="15" t="n">
        <v>464.4405555555555</v>
      </c>
      <c r="K89" s="72" t="n">
        <v>0.3236299654593827</v>
      </c>
      <c r="L89" s="72" t="n">
        <v>0.6878849332302649</v>
      </c>
      <c r="M89" s="72" t="n">
        <v>0.08241437998376999</v>
      </c>
      <c r="N89" s="72" t="n">
        <v>0.09456204323940698</v>
      </c>
      <c r="O89" s="72" t="n">
        <v>0.116275116729869</v>
      </c>
      <c r="Q89" s="73" t="n">
        <v>-0.05863307</v>
      </c>
      <c r="T89" s="68" t="n">
        <v>2.586353495909639</v>
      </c>
      <c r="AB89" s="15" t="n">
        <v>141070</v>
      </c>
      <c r="AC89" s="15" t="n">
        <v>112377</v>
      </c>
      <c r="AD89" s="15" t="n">
        <v>73733</v>
      </c>
      <c r="AE89" s="15" t="n">
        <v>35934</v>
      </c>
      <c r="AF89" s="16" t="n">
        <v>77723</v>
      </c>
      <c r="AG89" s="15" t="n">
        <v>186110</v>
      </c>
      <c r="AH89" s="67" t="n">
        <v>0.6878849332302649</v>
      </c>
      <c r="AJ89" s="15" t="n">
        <v>6.648000000000001</v>
      </c>
      <c r="AK89" s="15" t="n">
        <v>7.387</v>
      </c>
      <c r="AL89" s="15" t="n">
        <v>8.51</v>
      </c>
      <c r="AM89" s="15" t="n">
        <v>9.375</v>
      </c>
      <c r="AN89" s="15" t="n">
        <v>10.275</v>
      </c>
      <c r="AP89" s="15" t="n">
        <v>390254.9574468085</v>
      </c>
      <c r="AQ89" s="15" t="n">
        <v>415118.22</v>
      </c>
      <c r="AR89" s="15" t="n">
        <v>464440.5555555556</v>
      </c>
      <c r="AS89" s="15" t="n">
        <v>496783.5111111111</v>
      </c>
      <c r="AT89" s="15" t="n">
        <v>526444.3333333333</v>
      </c>
      <c r="AV89" s="15" t="n">
        <v>122664.5714285714</v>
      </c>
      <c r="AW89" s="15" t="n">
        <v>131985.7333333333</v>
      </c>
      <c r="AX89" s="15" t="n">
        <v>150306.8809523809</v>
      </c>
      <c r="AY89" s="15" t="n">
        <v>161407.0238095238</v>
      </c>
      <c r="AZ89" s="15" t="n">
        <v>173080.5</v>
      </c>
      <c r="BB89" s="68" t="n">
        <v>80200.19734879999</v>
      </c>
      <c r="BC89" s="68" t="n">
        <v>76443</v>
      </c>
      <c r="BD89" s="15" t="n">
        <v>3757.1973488</v>
      </c>
      <c r="BE89" s="16" t="n">
        <v>152902</v>
      </c>
    </row>
    <row r="90">
      <c r="A90" t="inlineStr">
        <is>
          <t>NFLX</t>
        </is>
      </c>
      <c r="B90">
        <f>A90&amp;" US Equity"</f>
        <v/>
      </c>
      <c r="C90" s="15">
        <f t="array" ref="C90">_xll.BDP($B90,"short_name")</f>
        <v/>
      </c>
      <c r="D90" s="15" t="n">
        <v>416.558517719</v>
      </c>
      <c r="E90" s="69" t="n">
        <v>98.66</v>
      </c>
      <c r="F90" s="70" t="n">
        <v>31.06423173803526</v>
      </c>
      <c r="G90" s="70" t="n">
        <v>25.64595788926436</v>
      </c>
      <c r="H90" s="70" t="n">
        <v>21.98306595365419</v>
      </c>
      <c r="I90" s="71" t="n">
        <v>0.5793179088245439</v>
      </c>
      <c r="J90" s="15" t="n">
        <v>51.23733333333334</v>
      </c>
      <c r="K90" s="72" t="n">
        <v>0.3177707431468476</v>
      </c>
      <c r="L90" s="72" t="n">
        <v>0.2765215522467273</v>
      </c>
      <c r="M90" s="72" t="n">
        <v>0.1177580261662126</v>
      </c>
      <c r="N90" s="72" t="n">
        <v>0.1989509948468162</v>
      </c>
      <c r="O90" s="72" t="n">
        <v>0.2065740517391585</v>
      </c>
      <c r="Q90" s="73" t="n">
        <v>0.05226107</v>
      </c>
      <c r="T90" s="68" t="n">
        <v>1.503781887245941</v>
      </c>
      <c r="AB90" s="15" t="n">
        <v>13326.603</v>
      </c>
      <c r="AC90" s="15" t="n">
        <v>16975.837</v>
      </c>
      <c r="AD90" s="15" t="n">
        <v>26615.488</v>
      </c>
      <c r="AE90" s="15" t="n">
        <v>9033.681</v>
      </c>
      <c r="AF90" s="16">
        <f>IF(ISNUMBER(_xlfn.SINGLE(_xll.BDP($B90,"BS_LONG_TERM_INVESTMENTS"))),_xlfn.SINGLE(_xll.BDP($B90,"BS_LONG_TERM_INVESTMENTS")),0)</f>
        <v/>
      </c>
      <c r="AG90" s="15" t="n">
        <v>43591.325</v>
      </c>
      <c r="AH90" s="67" t="n">
        <v>0.2765215522467273</v>
      </c>
      <c r="AJ90" s="15" t="n">
        <v>1.982</v>
      </c>
      <c r="AK90" s="15" t="n">
        <v>2.555</v>
      </c>
      <c r="AL90" s="15" t="n">
        <v>3.176</v>
      </c>
      <c r="AM90" s="15" t="n">
        <v>3.847</v>
      </c>
      <c r="AN90" s="15" t="n">
        <v>4.488</v>
      </c>
      <c r="AP90" s="15" t="n">
        <v>38862.5576923077</v>
      </c>
      <c r="AQ90" s="15" t="n">
        <v>45092.90697674418</v>
      </c>
      <c r="AR90" s="15" t="n">
        <v>51237.33333333334</v>
      </c>
      <c r="AS90" s="15" t="n">
        <v>57161.77551020408</v>
      </c>
      <c r="AT90" s="15" t="n">
        <v>62972.6</v>
      </c>
      <c r="AV90" s="15" t="n">
        <v>10340.98039215686</v>
      </c>
      <c r="AW90" s="15" t="n">
        <v>13252.36363636364</v>
      </c>
      <c r="AX90" s="15" t="n">
        <v>16281.72549019608</v>
      </c>
      <c r="AY90" s="15" t="n">
        <v>19463.20833333333</v>
      </c>
      <c r="AZ90" s="15" t="n">
        <v>22840.08108108108</v>
      </c>
      <c r="BB90" s="68" t="n">
        <v>8358.714517719</v>
      </c>
      <c r="BC90" s="68" t="n">
        <v>7942.155999999999</v>
      </c>
      <c r="BD90" s="15" t="n">
        <v>416.558517719</v>
      </c>
      <c r="BE90" s="16" t="n">
        <v>14163.629</v>
      </c>
    </row>
    <row r="91">
      <c r="A91" t="inlineStr">
        <is>
          <t>INTU</t>
        </is>
      </c>
      <c r="B91">
        <f>A91&amp;" US Equity"</f>
        <v/>
      </c>
      <c r="C91" s="15">
        <f t="array" ref="C91">_xll.BDP($B91,"short_name")</f>
        <v/>
      </c>
      <c r="D91" s="15" t="n">
        <v>116.836844</v>
      </c>
      <c r="E91" s="69" t="n">
        <v>422.48</v>
      </c>
      <c r="F91" s="70" t="n">
        <v>18.20877510559434</v>
      </c>
      <c r="G91" s="70" t="n">
        <v>16.02366684366229</v>
      </c>
      <c r="H91" s="70" t="n">
        <v>14.14774629964503</v>
      </c>
      <c r="I91" s="71" t="n">
        <v>0.6124589137580216</v>
      </c>
      <c r="J91" s="15" t="n">
        <v>21.24362068965517</v>
      </c>
      <c r="K91" s="72" t="n">
        <v>0.4073037863583504</v>
      </c>
      <c r="L91" s="72" t="n">
        <v>0.172629358515485</v>
      </c>
      <c r="M91" s="72" t="n">
        <v>0.1248140058937053</v>
      </c>
      <c r="N91" s="72" t="n">
        <v>0.1320694083818665</v>
      </c>
      <c r="O91" s="72" t="n">
        <v>0.1411334158695068</v>
      </c>
      <c r="Q91" s="73" t="n">
        <v>-0.3622173</v>
      </c>
      <c r="T91" s="68" t="n">
        <v>1.290181704553253</v>
      </c>
      <c r="AB91" s="15" t="n">
        <v>5448</v>
      </c>
      <c r="AC91" s="15" t="n">
        <v>6639</v>
      </c>
      <c r="AD91" s="15" t="n">
        <v>19710</v>
      </c>
      <c r="AE91" s="15" t="n">
        <v>2884</v>
      </c>
      <c r="AF91" s="16" t="n">
        <v>94</v>
      </c>
      <c r="AG91" s="15" t="n">
        <v>26349</v>
      </c>
      <c r="AH91" s="67" t="n">
        <v>0.172629358515485</v>
      </c>
      <c r="AJ91" s="15" t="n">
        <v>16.817</v>
      </c>
      <c r="AK91" s="15" t="n">
        <v>20.096</v>
      </c>
      <c r="AL91" s="15" t="n">
        <v>23.202</v>
      </c>
      <c r="AM91" s="15" t="n">
        <v>26.366</v>
      </c>
      <c r="AN91" s="15" t="n">
        <v>29.862</v>
      </c>
      <c r="AP91" s="15" t="n">
        <v>16190.42307692308</v>
      </c>
      <c r="AQ91" s="15" t="n">
        <v>18749.65517241379</v>
      </c>
      <c r="AR91" s="15" t="n">
        <v>21243.62068965517</v>
      </c>
      <c r="AS91" s="15" t="n">
        <v>23866.93103448276</v>
      </c>
      <c r="AT91" s="15" t="n">
        <v>26683.04761904762</v>
      </c>
      <c r="AV91" s="15" t="n">
        <v>6376.666666666667</v>
      </c>
      <c r="AW91" s="15" t="n">
        <v>7554</v>
      </c>
      <c r="AX91" s="15" t="n">
        <v>8652.607142857143</v>
      </c>
      <c r="AY91" s="15" t="n">
        <v>9740.833333333334</v>
      </c>
      <c r="AZ91" s="15" t="n">
        <v>10959.63636363636</v>
      </c>
      <c r="BB91" s="68" t="n">
        <v>3871.836844</v>
      </c>
      <c r="BC91" s="68" t="n">
        <v>3755</v>
      </c>
      <c r="BD91" s="15" t="n">
        <v>116.836844</v>
      </c>
      <c r="BE91" s="16" t="n">
        <v>6389</v>
      </c>
    </row>
    <row r="92">
      <c r="A92" t="inlineStr">
        <is>
          <t>ASML</t>
        </is>
      </c>
      <c r="B92">
        <f>A92&amp;" US Equity"</f>
        <v/>
      </c>
      <c r="C92" s="15">
        <f t="array" ref="C92">_xll.BDP($B92,"short_name")</f>
        <v/>
      </c>
      <c r="D92" s="15" t="n">
        <v>511.27976062302</v>
      </c>
      <c r="E92" s="69" t="n">
        <v>1317.23</v>
      </c>
      <c r="F92" s="70" t="n">
        <v>44.77784954278138</v>
      </c>
      <c r="G92" s="70" t="n">
        <v>34.57841129836719</v>
      </c>
      <c r="H92" s="70" t="n">
        <v>29.43991238853005</v>
      </c>
      <c r="I92" s="71" t="n">
        <v>-0.6576949313402735</v>
      </c>
      <c r="J92" s="15" t="n">
        <v>37.65132558139535</v>
      </c>
      <c r="K92" s="72" t="n">
        <v>0.3584874521508829</v>
      </c>
      <c r="L92" s="72" t="n">
        <v>0.3781530207345341</v>
      </c>
      <c r="M92" s="72" t="n">
        <v>0.1483016107161348</v>
      </c>
      <c r="N92" s="72" t="n">
        <v>0.2055161755381809</v>
      </c>
      <c r="O92" s="72" t="n">
        <v>0.2159224696946984</v>
      </c>
      <c r="Q92" s="73" t="n">
        <v>0.2312172</v>
      </c>
      <c r="T92" s="68" t="n">
        <v>2.073792950131342</v>
      </c>
      <c r="AB92" s="15" t="n">
        <v>12054</v>
      </c>
      <c r="AC92" s="15" t="n">
        <v>4451.7</v>
      </c>
      <c r="AD92" s="15" t="n">
        <v>24185</v>
      </c>
      <c r="AE92" s="15" t="n">
        <v>12916</v>
      </c>
      <c r="AF92" s="16" t="n">
        <v>1667.1</v>
      </c>
      <c r="AG92" s="15" t="n">
        <v>28636.7</v>
      </c>
      <c r="AH92" s="67" t="n">
        <v>0.3781530207345341</v>
      </c>
      <c r="AJ92" s="15" t="n">
        <v>19.071</v>
      </c>
      <c r="AK92" s="15" t="n">
        <v>24.889</v>
      </c>
      <c r="AL92" s="15" t="n">
        <v>29.417</v>
      </c>
      <c r="AM92" s="15" t="n">
        <v>38.094</v>
      </c>
      <c r="AN92" s="15" t="n">
        <v>44.743</v>
      </c>
      <c r="AP92" s="15" t="n">
        <v>28057.3</v>
      </c>
      <c r="AQ92" s="15" t="n">
        <v>32503.38461538462</v>
      </c>
      <c r="AR92" s="15" t="n">
        <v>37651.32558139535</v>
      </c>
      <c r="AS92" s="15" t="n">
        <v>44355.11904761905</v>
      </c>
      <c r="AT92" s="15" t="n">
        <v>49214.88888888888</v>
      </c>
      <c r="AV92" s="15" t="n">
        <v>8761.083333333334</v>
      </c>
      <c r="AW92" s="15" t="n">
        <v>11291.71875</v>
      </c>
      <c r="AX92" s="15" t="n">
        <v>13497.52777777778</v>
      </c>
      <c r="AY92" s="15" t="n">
        <v>17352.38888888889</v>
      </c>
      <c r="AZ92" s="15" t="n">
        <v>19782.40909090909</v>
      </c>
      <c r="BB92" s="68" t="n">
        <v>-7953.02023937698</v>
      </c>
      <c r="BC92" s="68" t="n">
        <v>-8464.299999999999</v>
      </c>
      <c r="BD92" s="15" t="n">
        <v>511.27976062302</v>
      </c>
      <c r="BE92" s="16" t="n">
        <v>13486.8</v>
      </c>
    </row>
    <row r="93">
      <c r="A93" t="inlineStr">
        <is>
          <t>AMAT</t>
        </is>
      </c>
      <c r="B93">
        <f>A93&amp;" US Equity"</f>
        <v/>
      </c>
      <c r="C93" s="15">
        <f t="array" ref="C93">_xll.BDP($B93,"short_name")</f>
        <v/>
      </c>
      <c r="D93" s="15" t="n">
        <v>276.54923035349</v>
      </c>
      <c r="E93" s="69" t="n">
        <v>348.47</v>
      </c>
      <c r="F93" s="70" t="n">
        <v>31.50723327305606</v>
      </c>
      <c r="G93" s="70" t="n">
        <v>25.08061033539657</v>
      </c>
      <c r="H93" s="70" t="n">
        <v>23.04543350307519</v>
      </c>
      <c r="I93" s="71" t="n">
        <v>-0.157224470364199</v>
      </c>
      <c r="J93" s="15" t="n">
        <v>31.46390909090909</v>
      </c>
      <c r="K93" s="72" t="n">
        <v>0.3125316259417957</v>
      </c>
      <c r="L93" s="72" t="n">
        <v>0.2340690135871654</v>
      </c>
      <c r="M93" s="72" t="n">
        <v>0.1314616914327358</v>
      </c>
      <c r="N93" s="72" t="n">
        <v>0.1675122667418523</v>
      </c>
      <c r="O93" s="72" t="n">
        <v>0.1738297652045877</v>
      </c>
      <c r="Q93" s="73" t="n">
        <v>0.3559672</v>
      </c>
      <c r="T93" s="68" t="n">
        <v>1.812533845165921</v>
      </c>
      <c r="AB93" s="15" t="n">
        <v>7945</v>
      </c>
      <c r="AC93" s="15" t="n">
        <v>7050</v>
      </c>
      <c r="AD93" s="15" t="n">
        <v>20415</v>
      </c>
      <c r="AE93" s="15" t="n">
        <v>7241</v>
      </c>
      <c r="AF93" s="16" t="n">
        <v>4327</v>
      </c>
      <c r="AG93" s="15" t="n">
        <v>27465</v>
      </c>
      <c r="AH93" s="67" t="n">
        <v>0.2340690135871654</v>
      </c>
      <c r="AJ93" s="15" t="n">
        <v>8.535</v>
      </c>
      <c r="AK93" s="15" t="n">
        <v>9.349</v>
      </c>
      <c r="AL93" s="15" t="n">
        <v>11.06</v>
      </c>
      <c r="AM93" s="15" t="n">
        <v>13.894</v>
      </c>
      <c r="AN93" s="15" t="n">
        <v>15.121</v>
      </c>
      <c r="AP93" s="15" t="n">
        <v>27100.59375</v>
      </c>
      <c r="AQ93" s="15" t="n">
        <v>28239.90322580645</v>
      </c>
      <c r="AR93" s="15" t="n">
        <v>31463.90909090909</v>
      </c>
      <c r="AS93" s="15" t="n">
        <v>37551.54545454546</v>
      </c>
      <c r="AT93" s="15" t="n">
        <v>40905.6</v>
      </c>
      <c r="AV93" s="15" t="n">
        <v>7887.137931034483</v>
      </c>
      <c r="AW93" s="15" t="n">
        <v>8511.5</v>
      </c>
      <c r="AX93" s="15" t="n">
        <v>9833.466666666665</v>
      </c>
      <c r="AY93" s="15" t="n">
        <v>12408.34482758621</v>
      </c>
      <c r="AZ93" s="15" t="n">
        <v>13545.35714285714</v>
      </c>
      <c r="BB93" s="68" t="n">
        <v>85.54923035349003</v>
      </c>
      <c r="BC93" s="68" t="n">
        <v>-191</v>
      </c>
      <c r="BD93" s="15" t="n">
        <v>276.54923035349</v>
      </c>
      <c r="BE93" s="16" t="n">
        <v>8402</v>
      </c>
    </row>
    <row r="94" ht="13.9" customHeight="1">
      <c r="A94" t="inlineStr">
        <is>
          <t>LRCX</t>
        </is>
      </c>
      <c r="B94">
        <f>A94&amp;" US Equity"</f>
        <v/>
      </c>
      <c r="C94" s="15">
        <f t="array" ref="C94">_xll.BDP($B94,"short_name")</f>
        <v/>
      </c>
      <c r="D94" s="15" t="n">
        <v>272.78153724</v>
      </c>
      <c r="E94" s="69" t="n">
        <v>218.44</v>
      </c>
      <c r="F94" s="70" t="n">
        <v>40.99080502908613</v>
      </c>
      <c r="G94" s="70" t="n">
        <v>31.1345496009122</v>
      </c>
      <c r="H94" s="70" t="n">
        <v>27.55645263025104</v>
      </c>
      <c r="I94" s="71" t="n">
        <v>-0.2310458636440326</v>
      </c>
      <c r="J94" s="15" t="n">
        <v>22.4134</v>
      </c>
      <c r="K94" s="72" t="n">
        <v>0.3444411278161077</v>
      </c>
      <c r="L94" s="72" t="n">
        <v>0.4248195929431116</v>
      </c>
      <c r="M94" s="72" t="n">
        <v>0.1900748481170675</v>
      </c>
      <c r="N94" s="72" t="n">
        <v>0.2411328488432289</v>
      </c>
      <c r="O94" s="72" t="n">
        <v>0.2545108916092862</v>
      </c>
      <c r="Q94" s="73" t="n">
        <v>0.2760837</v>
      </c>
      <c r="T94" s="68" t="n">
        <v>1.610571742918311</v>
      </c>
      <c r="AB94" s="15" t="n">
        <v>6942.178</v>
      </c>
      <c r="AC94" s="15" t="n">
        <v>4756.555</v>
      </c>
      <c r="AD94" s="15" t="n">
        <v>9861.618999999999</v>
      </c>
      <c r="AE94" s="15" t="n">
        <v>6390.659</v>
      </c>
      <c r="AF94" s="16">
        <f>IF(ISNUMBER(_xlfn.SINGLE(_xll.BDP($B94,"BS_LONG_TERM_INVESTMENTS"))),_xlfn.SINGLE(_xll.BDP($B94,"BS_LONG_TERM_INVESTMENTS")),0)</f>
        <v/>
      </c>
      <c r="AG94" s="15" t="n">
        <v>14618.174</v>
      </c>
      <c r="AH94" s="67" t="n">
        <v>0.4248195929431116</v>
      </c>
      <c r="AJ94" s="15" t="n">
        <v>2.977</v>
      </c>
      <c r="AK94" s="15" t="n">
        <v>4.015</v>
      </c>
      <c r="AL94" s="15" t="n">
        <v>5.329</v>
      </c>
      <c r="AM94" s="15" t="n">
        <v>7.016</v>
      </c>
      <c r="AN94" s="15" t="n">
        <v>7.927</v>
      </c>
      <c r="AP94" s="15" t="n">
        <v>14869.96153846154</v>
      </c>
      <c r="AQ94" s="15" t="n">
        <v>18262.03225806452</v>
      </c>
      <c r="AR94" s="15" t="n">
        <v>22413.4</v>
      </c>
      <c r="AS94" s="15" t="n">
        <v>27927.53333333333</v>
      </c>
      <c r="AT94" s="15" t="n">
        <v>30780.23529411765</v>
      </c>
      <c r="AV94" s="15" t="n">
        <v>4436.296296296297</v>
      </c>
      <c r="AW94" s="15" t="n">
        <v>5858.448275862069</v>
      </c>
      <c r="AX94" s="15" t="n">
        <v>7720.096774193548</v>
      </c>
      <c r="AY94" s="15" t="n">
        <v>10072.36666666667</v>
      </c>
      <c r="AZ94" s="15" t="n">
        <v>11200.5</v>
      </c>
      <c r="BB94" s="68" t="n">
        <v>-1361.322462759999</v>
      </c>
      <c r="BC94" s="68" t="n">
        <v>-1634.103999999999</v>
      </c>
      <c r="BD94" s="15" t="n">
        <v>272.78153724</v>
      </c>
      <c r="BE94" s="16" t="n">
        <v>7343.529</v>
      </c>
    </row>
    <row r="95" ht="13.9" customHeight="1">
      <c r="A95" t="inlineStr">
        <is>
          <t>TXN</t>
        </is>
      </c>
      <c r="B95">
        <f>A95&amp;" US Equity"</f>
        <v/>
      </c>
      <c r="C95" s="15">
        <f t="array" ref="C95">_xll.BDP($B95,"short_name")</f>
        <v/>
      </c>
      <c r="D95" s="15" t="n">
        <v>177.42199827599</v>
      </c>
      <c r="E95" s="69" t="n">
        <v>194.87</v>
      </c>
      <c r="F95" s="70" t="n">
        <v>30.05397902529303</v>
      </c>
      <c r="G95" s="70" t="n">
        <v>24.9130657120941</v>
      </c>
      <c r="H95" s="70" t="n">
        <v>19.32850624876017</v>
      </c>
      <c r="I95" s="71" t="n">
        <v>1.233856893542757</v>
      </c>
      <c r="J95" s="15" t="n">
        <v>19.52989189189189</v>
      </c>
      <c r="K95" s="72" t="n">
        <v>0.3631511669169812</v>
      </c>
      <c r="L95" s="72" t="n">
        <v>0.1737826248977697</v>
      </c>
      <c r="M95" s="72" t="n">
        <v>0.1128426344332814</v>
      </c>
      <c r="N95" s="72" t="n">
        <v>0.1845662944470265</v>
      </c>
      <c r="O95" s="72" t="n">
        <v>0.2116363216142532</v>
      </c>
      <c r="Q95" s="73" t="n">
        <v>0.1232347</v>
      </c>
      <c r="T95" s="68" t="n">
        <v>1.420076610482393</v>
      </c>
      <c r="AB95" s="15" t="n">
        <v>6023</v>
      </c>
      <c r="AC95" s="15" t="n">
        <v>14779</v>
      </c>
      <c r="AD95" s="15" t="n">
        <v>16273</v>
      </c>
      <c r="AE95" s="15" t="n">
        <v>3225</v>
      </c>
      <c r="AF95" s="16" t="n">
        <v>16</v>
      </c>
      <c r="AG95" s="15" t="n">
        <v>31052</v>
      </c>
      <c r="AH95" s="67" t="n">
        <v>0.1737826248977697</v>
      </c>
      <c r="AJ95" s="15" t="n">
        <v>5.087</v>
      </c>
      <c r="AK95" s="15" t="n">
        <v>5.668</v>
      </c>
      <c r="AL95" s="15" t="n">
        <v>6.484</v>
      </c>
      <c r="AM95" s="15" t="n">
        <v>7.822</v>
      </c>
      <c r="AN95" s="48" t="n">
        <v>10.082</v>
      </c>
      <c r="AP95" s="15" t="n">
        <v>15491.58620689655</v>
      </c>
      <c r="AQ95" s="15" t="n">
        <v>17687.11428571429</v>
      </c>
      <c r="AR95" s="15" t="n">
        <v>19529.89189189189</v>
      </c>
      <c r="AS95" s="15" t="n">
        <v>21596.69444444444</v>
      </c>
      <c r="AT95" s="15" t="n">
        <v>24375.76470588235</v>
      </c>
      <c r="AV95" s="15" t="n">
        <v>5337.592592592592</v>
      </c>
      <c r="AW95" s="15" t="n">
        <v>6043.548387096774</v>
      </c>
      <c r="AX95" s="15" t="n">
        <v>7092.30303030303</v>
      </c>
      <c r="AY95" s="15" t="n">
        <v>8389</v>
      </c>
      <c r="AZ95" s="15" t="n">
        <v>10045.46666666667</v>
      </c>
      <c r="BB95" s="68" t="n">
        <v>11731.42199827599</v>
      </c>
      <c r="BC95" s="68" t="n">
        <v>11554</v>
      </c>
      <c r="BD95" s="15" t="n">
        <v>177.42199827599</v>
      </c>
      <c r="BE95" s="16" t="n">
        <v>8124</v>
      </c>
    </row>
    <row r="96">
      <c r="A96" t="inlineStr">
        <is>
          <t>GOOG</t>
        </is>
      </c>
      <c r="B96">
        <f>A96&amp;" US Equity"</f>
        <v/>
      </c>
      <c r="C96" s="15">
        <f t="array" ref="C96">_xll.BDP($B96,"short_name")</f>
        <v/>
      </c>
      <c r="D96" s="15" t="n">
        <v>3570.257675</v>
      </c>
      <c r="E96" s="69" t="n">
        <v>294.46</v>
      </c>
      <c r="F96" s="70" t="n">
        <v>24.07882901300188</v>
      </c>
      <c r="G96" s="70" t="n">
        <v>20.94757060539233</v>
      </c>
      <c r="H96" s="70" t="n">
        <v>17.92427562697833</v>
      </c>
      <c r="I96" s="71" t="n">
        <v>-0.416245440333507</v>
      </c>
      <c r="J96" s="15" t="n">
        <v>407.3702121212121</v>
      </c>
      <c r="K96" s="72" t="n">
        <v>0.3902683523782836</v>
      </c>
      <c r="L96" s="72" t="n">
        <v>0.2513086696597137</v>
      </c>
      <c r="M96" s="72" t="n">
        <v>0.1663290321644957</v>
      </c>
      <c r="N96" s="72" t="n">
        <v>0.1856441550732943</v>
      </c>
      <c r="O96" s="72" t="n">
        <v>0.146251336278151</v>
      </c>
      <c r="Q96" s="73" t="n">
        <v>-0.06163158</v>
      </c>
      <c r="T96" s="68" t="n">
        <v>1.646400615937421</v>
      </c>
      <c r="AB96" s="15" t="n">
        <v>129039</v>
      </c>
      <c r="AC96" s="15" t="n">
        <v>62941</v>
      </c>
      <c r="AD96" s="15" t="n">
        <v>415265</v>
      </c>
      <c r="AE96" s="15" t="n">
        <v>30708</v>
      </c>
      <c r="AF96" s="16" t="n">
        <v>68687</v>
      </c>
      <c r="AG96" s="15" t="n">
        <v>478206</v>
      </c>
      <c r="AH96" s="67" t="n">
        <v>0.2513086696597137</v>
      </c>
      <c r="AJ96" s="15" t="n">
        <v>8.249000000000001</v>
      </c>
      <c r="AK96" s="15" t="n">
        <v>10.908</v>
      </c>
      <c r="AL96" s="15" t="n">
        <v>12.229</v>
      </c>
      <c r="AM96" s="15" t="n">
        <v>14.057</v>
      </c>
      <c r="AN96" s="15" t="n">
        <v>16.428</v>
      </c>
      <c r="AP96" s="15" t="n">
        <v>298454.78125</v>
      </c>
      <c r="AQ96" s="15" t="n">
        <v>340854.8484848485</v>
      </c>
      <c r="AR96" s="15" t="n">
        <v>407370.2121212121</v>
      </c>
      <c r="AS96" s="15" t="n">
        <v>473490.4615384616</v>
      </c>
      <c r="AT96" s="15" t="n">
        <v>540795.0833333333</v>
      </c>
      <c r="AV96" s="15" t="n">
        <v>111599.9152542373</v>
      </c>
      <c r="AW96" s="15" t="n">
        <v>130993.803030303</v>
      </c>
      <c r="AX96" s="15" t="n">
        <v>158983.7014925373</v>
      </c>
      <c r="AY96" s="15" t="n">
        <v>187091.6140350877</v>
      </c>
      <c r="AZ96" s="15" t="n">
        <v>218330.2162162162</v>
      </c>
      <c r="BB96" s="68" t="n">
        <v>35803.257675</v>
      </c>
      <c r="BC96" s="68" t="n">
        <v>32233</v>
      </c>
      <c r="BD96" s="15" t="n">
        <v>3570.257675</v>
      </c>
      <c r="BE96" s="16" t="n">
        <v>153520</v>
      </c>
    </row>
    <row r="97">
      <c r="A97" t="inlineStr">
        <is>
          <t>GWRE</t>
        </is>
      </c>
      <c r="B97">
        <f>A97&amp;" US Equity"</f>
        <v/>
      </c>
      <c r="C97" s="15">
        <f t="array" ref="C97">_xll.BDP($B97,"short_name")</f>
        <v/>
      </c>
      <c r="D97" s="15" t="n">
        <v>12.7654999013</v>
      </c>
      <c r="E97" s="69" t="n">
        <v>150.79</v>
      </c>
      <c r="F97" s="70" t="n">
        <v>42.63217415889171</v>
      </c>
      <c r="G97" s="70" t="n">
        <v>35.33864541832668</v>
      </c>
      <c r="H97" s="70" t="n">
        <v>27.94995366079703</v>
      </c>
      <c r="I97" s="15" t="n">
        <v>-1.837257980115123</v>
      </c>
      <c r="J97" s="15" t="n">
        <v>1.445642857142857</v>
      </c>
      <c r="K97" s="72" t="n">
        <v>0.2073719057265675</v>
      </c>
      <c r="L97" s="72" t="n">
        <v>0.04788709576583394</v>
      </c>
      <c r="M97" s="72" t="n">
        <v>0.1774325078581764</v>
      </c>
      <c r="N97" s="72" t="n">
        <v>0.3903253043295936</v>
      </c>
      <c r="O97" s="72" t="n">
        <v>0.3065274146409722</v>
      </c>
      <c r="Q97" s="73" t="n">
        <v>-0.2498383</v>
      </c>
      <c r="T97" s="68" t="n">
        <v>1.390811135402871</v>
      </c>
      <c r="AB97" s="15" t="n">
        <v>90.98399999999999</v>
      </c>
      <c r="AC97" s="15" t="n">
        <v>715.693</v>
      </c>
      <c r="AD97" s="15" t="n">
        <v>1457.23</v>
      </c>
      <c r="AE97" s="15" t="n">
        <v>697.902</v>
      </c>
      <c r="AF97" s="16" t="n">
        <v>333.754</v>
      </c>
      <c r="AG97" s="15" t="n">
        <v>2172.923</v>
      </c>
      <c r="AH97" s="67" t="n">
        <v>0.04788709576583394</v>
      </c>
      <c r="AJ97" s="15" t="n">
        <v>1.272</v>
      </c>
      <c r="AK97" s="15" t="n">
        <v>2.419</v>
      </c>
      <c r="AL97" s="15" t="n">
        <v>3.537</v>
      </c>
      <c r="AM97" s="15" t="n">
        <v>4.267</v>
      </c>
      <c r="AN97" s="15" t="n">
        <v>5.395</v>
      </c>
      <c r="AP97" s="15" t="n">
        <v>972.8666666666667</v>
      </c>
      <c r="AQ97" s="15" t="n">
        <v>1183.866666666667</v>
      </c>
      <c r="AR97" s="15" t="n">
        <v>1445.642857142857</v>
      </c>
      <c r="AS97" s="15" t="n">
        <v>1677</v>
      </c>
      <c r="AT97" s="15" t="n">
        <v>1932.461538461539</v>
      </c>
      <c r="AV97" s="15" t="n">
        <v>99.9875</v>
      </c>
      <c r="AW97" s="15" t="n">
        <v>192.2</v>
      </c>
      <c r="AX97" s="15" t="n">
        <v>299.7857142857143</v>
      </c>
      <c r="AY97" s="15" t="n">
        <v>390.2857142857143</v>
      </c>
      <c r="AZ97" s="15" t="n">
        <v>516.5384615384615</v>
      </c>
      <c r="BB97" s="68" t="n">
        <v>30.55649990129994</v>
      </c>
      <c r="BC97" s="68" t="n">
        <v>17.79099999999994</v>
      </c>
      <c r="BD97" s="15" t="n">
        <v>12.7654999013</v>
      </c>
      <c r="BE97" s="16" t="n">
        <v>116.571</v>
      </c>
    </row>
    <row r="98">
      <c r="A98" t="inlineStr">
        <is>
          <t>VEEV</t>
        </is>
      </c>
      <c r="B98">
        <f>A98&amp;" US Equity"</f>
        <v/>
      </c>
      <c r="C98" s="15">
        <f t="array" ref="C98">_xll.BDP($B98,"short_name")</f>
        <v/>
      </c>
      <c r="D98" s="15" t="n">
        <v>28.41631572334</v>
      </c>
      <c r="E98" s="69" t="n">
        <v>173.98</v>
      </c>
      <c r="F98" s="70" t="n">
        <v>21.90907946102506</v>
      </c>
      <c r="G98" s="70" t="n">
        <v>19.62770758122743</v>
      </c>
      <c r="H98" s="70" t="n">
        <v>17.59506472491909</v>
      </c>
      <c r="I98" s="71" t="n">
        <v>-6.662559862976005</v>
      </c>
      <c r="J98" s="15" t="n">
        <v>3.169607142857143</v>
      </c>
      <c r="K98" s="72" t="n">
        <v>0.447360909230902</v>
      </c>
      <c r="L98" s="72" t="n">
        <v>0.1104497409512005</v>
      </c>
      <c r="M98" s="72" t="n">
        <v>0.1399762160469546</v>
      </c>
      <c r="N98" s="72" t="n">
        <v>0.172832013049856</v>
      </c>
      <c r="O98" s="72" t="n">
        <v>0.1528751129972787</v>
      </c>
      <c r="Q98" s="73" t="n">
        <v>-0.2206245</v>
      </c>
      <c r="T98" s="68" t="n">
        <v>1.433135781977479</v>
      </c>
      <c r="AB98" s="15" t="n">
        <v>916.369</v>
      </c>
      <c r="AC98" s="15" t="n">
        <v>95.85900000000001</v>
      </c>
      <c r="AD98" s="15" t="n">
        <v>7214.751999999999</v>
      </c>
      <c r="AE98" s="15" t="n">
        <v>1421.233</v>
      </c>
      <c r="AF98" s="16">
        <f>IF(ISNUMBER(_xlfn.SINGLE(_xll.BDP($B98,"BS_LONG_TERM_INVESTMENTS"))),_xlfn.SINGLE(_xll.BDP($B98,"BS_LONG_TERM_INVESTMENTS")),0)</f>
        <v/>
      </c>
      <c r="AG98" s="15" t="n">
        <v>7310.611</v>
      </c>
      <c r="AH98" s="67" t="n">
        <v>0.1104497409512005</v>
      </c>
      <c r="AJ98" s="15" t="n">
        <v>4.76</v>
      </c>
      <c r="AK98" s="15" t="n">
        <v>6.453</v>
      </c>
      <c r="AL98" s="15" t="n">
        <v>7.941</v>
      </c>
      <c r="AM98" s="15" t="n">
        <v>8.864000000000001</v>
      </c>
      <c r="AN98" s="15" t="n">
        <v>9.888</v>
      </c>
      <c r="AP98" s="15" t="n">
        <v>2354.2</v>
      </c>
      <c r="AQ98" s="15" t="n">
        <v>2724.555555555555</v>
      </c>
      <c r="AR98" s="15" t="n">
        <v>3169.607142857143</v>
      </c>
      <c r="AS98" s="15" t="n">
        <v>3595.740740740741</v>
      </c>
      <c r="AT98" s="15" t="n">
        <v>4036.296296296296</v>
      </c>
      <c r="AV98" s="15" t="n">
        <v>830.4583333333334</v>
      </c>
      <c r="AW98" s="15" t="n">
        <v>1120.368421052632</v>
      </c>
      <c r="AX98" s="15" t="n">
        <v>1417.958333333333</v>
      </c>
      <c r="AY98" s="15" t="n">
        <v>1593.461538461539</v>
      </c>
      <c r="AZ98" s="15" t="n">
        <v>1807.458333333333</v>
      </c>
      <c r="BB98" s="68" t="n">
        <v>-1296.95768427666</v>
      </c>
      <c r="BC98" s="68" t="n">
        <v>-1325.374</v>
      </c>
      <c r="BD98" s="15" t="n">
        <v>28.41631572334</v>
      </c>
      <c r="BE98" s="16" t="n">
        <v>971.341</v>
      </c>
    </row>
    <row r="99">
      <c r="A99" t="inlineStr">
        <is>
          <t>NOW</t>
        </is>
      </c>
      <c r="B99">
        <f>A99&amp;" US Equity"</f>
        <v/>
      </c>
      <c r="C99" s="15">
        <f t="array" ref="C99">_xll.BDP($B99,"short_name")</f>
        <v/>
      </c>
      <c r="D99" s="15" t="n">
        <v>106.692</v>
      </c>
      <c r="E99" s="69" t="n">
        <v>102</v>
      </c>
      <c r="F99" s="70" t="n">
        <v>24.44870565675935</v>
      </c>
      <c r="G99" s="70" t="n">
        <v>20.33087502491529</v>
      </c>
      <c r="H99" s="70" t="n">
        <v>16.91542288557214</v>
      </c>
      <c r="I99" s="71" t="n">
        <v>-2.824658545588778</v>
      </c>
      <c r="J99" s="15" t="n">
        <v>15.98144186046512</v>
      </c>
      <c r="K99" s="72" t="n">
        <v>0.3202881636937417</v>
      </c>
      <c r="L99" s="72" t="n">
        <v>0.1020279673462508</v>
      </c>
      <c r="M99" s="72" t="n">
        <v>0.1935547688231058</v>
      </c>
      <c r="N99" s="72" t="n">
        <v>0.2196905342648501</v>
      </c>
      <c r="O99" s="72" t="n">
        <v>0.2009854970582741</v>
      </c>
      <c r="Q99" s="73" t="n">
        <v>-0.3341602</v>
      </c>
      <c r="T99" s="68" t="n">
        <v>1.216441286291948</v>
      </c>
      <c r="AB99" s="15" t="n">
        <v>1824</v>
      </c>
      <c r="AC99" s="15" t="n">
        <v>2403</v>
      </c>
      <c r="AD99" s="15" t="n">
        <v>12964</v>
      </c>
      <c r="AE99" s="15" t="n">
        <v>3726</v>
      </c>
      <c r="AF99" s="16" t="n">
        <v>3771</v>
      </c>
      <c r="AG99" s="15" t="n">
        <v>15367</v>
      </c>
      <c r="AH99" s="67" t="n">
        <v>0.1020279673462508</v>
      </c>
      <c r="AJ99" s="15" t="n">
        <v>2.782</v>
      </c>
      <c r="AK99" s="15" t="n">
        <v>3.481</v>
      </c>
      <c r="AL99" s="15" t="n">
        <v>4.172</v>
      </c>
      <c r="AM99" s="15" t="n">
        <v>5.017</v>
      </c>
      <c r="AN99" s="15" t="n">
        <v>6.03</v>
      </c>
      <c r="AP99" s="15" t="n">
        <v>10991.92857142857</v>
      </c>
      <c r="AQ99" s="15" t="n">
        <v>13242.16279069767</v>
      </c>
      <c r="AR99" s="15" t="n">
        <v>15981.44186046512</v>
      </c>
      <c r="AS99" s="15" t="n">
        <v>18934.62790697674</v>
      </c>
      <c r="AT99" s="15" t="n">
        <v>22515.72727272727</v>
      </c>
      <c r="AV99" s="15" t="n">
        <v>3246.108108108108</v>
      </c>
      <c r="AW99" s="15" t="n">
        <v>4113.756097560976</v>
      </c>
      <c r="AX99" s="15" t="n">
        <v>5118.666666666667</v>
      </c>
      <c r="AY99" s="15" t="n">
        <v>6165.488372093023</v>
      </c>
      <c r="AZ99" s="15" t="n">
        <v>7464.272727272727</v>
      </c>
      <c r="BB99" s="68" t="n">
        <v>-1216.308</v>
      </c>
      <c r="BC99" s="68" t="n">
        <v>-1323</v>
      </c>
      <c r="BD99" s="15" t="n">
        <v>106.692</v>
      </c>
      <c r="BE99" s="16" t="n">
        <v>2709</v>
      </c>
    </row>
    <row r="100">
      <c r="A100" t="inlineStr">
        <is>
          <t>SHOP</t>
        </is>
      </c>
      <c r="B100">
        <f>A100&amp;" US Equity"</f>
        <v/>
      </c>
      <c r="C100" s="15">
        <f t="array" ref="C100">_xll.BDP($B100,"short_name")</f>
        <v/>
      </c>
      <c r="D100" s="15" t="n">
        <v>153.9347853763744</v>
      </c>
      <c r="E100" s="69" t="n">
        <v>118.25</v>
      </c>
      <c r="F100" s="70" t="n">
        <v>64.09214092140921</v>
      </c>
      <c r="G100" s="70" t="n">
        <v>49.55993294216261</v>
      </c>
      <c r="H100" s="70" t="n">
        <v>35.80078716318499</v>
      </c>
      <c r="I100" s="71" t="n">
        <v>-3.729152768512341</v>
      </c>
      <c r="J100" s="15" t="n">
        <v>14.66109803921569</v>
      </c>
      <c r="K100" s="72" t="n">
        <v>0.1808319980592492</v>
      </c>
      <c r="L100" s="72" t="n">
        <v>0.09816323427765761</v>
      </c>
      <c r="M100" s="72" t="n">
        <v>0.2537306123922491</v>
      </c>
      <c r="N100" s="72" t="n">
        <v>0.3575050674069207</v>
      </c>
      <c r="O100" s="72" t="n">
        <v>0.315468300345189</v>
      </c>
      <c r="Q100" s="73" t="n">
        <v>-0.2653911</v>
      </c>
      <c r="T100" s="68" t="n">
        <v>2.031650750686483</v>
      </c>
      <c r="AB100" s="15" t="n">
        <v>1468</v>
      </c>
      <c r="AC100" s="15" t="n">
        <v>188</v>
      </c>
      <c r="AD100" s="15" t="n">
        <v>13473</v>
      </c>
      <c r="AE100" s="15" t="n">
        <v>1545</v>
      </c>
      <c r="AF100" s="16" t="n">
        <v>975</v>
      </c>
      <c r="AG100" s="15" t="n">
        <v>13661</v>
      </c>
      <c r="AH100" s="67" t="n">
        <v>0.09816323427765761</v>
      </c>
      <c r="AJ100" s="15" t="n">
        <v>1.298</v>
      </c>
      <c r="AK100" s="15" t="n">
        <v>1.451</v>
      </c>
      <c r="AL100" s="15" t="n">
        <v>1.845</v>
      </c>
      <c r="AM100" s="15" t="n">
        <v>2.386</v>
      </c>
      <c r="AN100" s="15" t="n">
        <v>3.303</v>
      </c>
      <c r="AP100" s="15" t="n">
        <v>8799.58</v>
      </c>
      <c r="AQ100" s="15" t="n">
        <v>11475</v>
      </c>
      <c r="AR100" s="15" t="n">
        <v>14661.09803921569</v>
      </c>
      <c r="AS100" s="15" t="n">
        <v>18131.45833333333</v>
      </c>
      <c r="AT100" s="15" t="n">
        <v>22613.375</v>
      </c>
      <c r="AV100" s="15" t="n">
        <v>1454.325581395349</v>
      </c>
      <c r="AW100" s="15" t="n">
        <v>1925.119047619048</v>
      </c>
      <c r="AX100" s="15" t="n">
        <v>2651.195652173913</v>
      </c>
      <c r="AY100" s="15" t="n">
        <v>3500.5</v>
      </c>
      <c r="AZ100" s="15" t="n">
        <v>4815.95</v>
      </c>
      <c r="BB100" s="68" t="n">
        <v>-1203.065214623626</v>
      </c>
      <c r="BC100" s="68" t="n">
        <v>-1357</v>
      </c>
      <c r="BD100" s="15" t="n">
        <v>153.9347853763744</v>
      </c>
      <c r="BE100" s="16" t="n">
        <v>1522</v>
      </c>
    </row>
    <row r="101">
      <c r="A101" s="36" t="inlineStr">
        <is>
          <t>ASICs/networking</t>
        </is>
      </c>
      <c r="D101" s="15" t="n"/>
      <c r="AA101" s="2" t="inlineStr">
        <is>
          <t>1Y return</t>
        </is>
      </c>
    </row>
    <row r="102">
      <c r="A102" t="inlineStr">
        <is>
          <t>AVGO</t>
        </is>
      </c>
      <c r="B102" t="inlineStr">
        <is>
          <t>AVGO UW Equity</t>
        </is>
      </c>
      <c r="C102" s="15">
        <f t="array" ref="C102">_xll.BDP($B102,"short_name")</f>
        <v/>
      </c>
      <c r="D102" s="15" t="n">
        <v>1489.2898772772</v>
      </c>
      <c r="E102" s="69" t="n">
        <v>314.55</v>
      </c>
      <c r="F102" s="70" t="n">
        <v>28.09736489504243</v>
      </c>
      <c r="G102" s="70" t="n">
        <v>18.07550856223423</v>
      </c>
      <c r="H102" s="70" t="n">
        <v>14.21823441667043</v>
      </c>
      <c r="I102" s="71" t="n">
        <v>1.419857146766646</v>
      </c>
      <c r="J102" s="15" t="n">
        <v>103.7797555555556</v>
      </c>
      <c r="K102" s="72" t="n">
        <v>0.6590145453218063</v>
      </c>
      <c r="L102" s="72" t="n">
        <v>0.1900357389159896</v>
      </c>
      <c r="M102" s="72" t="n">
        <v>0.4457558360536007</v>
      </c>
      <c r="N102" s="72" t="n">
        <v>0.4636467831871205</v>
      </c>
      <c r="O102" s="72" t="n">
        <v>0.4854847478580779</v>
      </c>
      <c r="Q102" s="73" t="n">
        <v>-0.09115864</v>
      </c>
      <c r="T102" s="68" t="n">
        <v>0.5787486634545346</v>
      </c>
      <c r="AA102" s="72">
        <f t="array" ref="AA102">_xll.BDP(B102,"CHG_PCT_1YR")/100</f>
        <v/>
      </c>
      <c r="AB102" s="15" t="n">
        <v>27787</v>
      </c>
      <c r="AC102" s="15" t="n">
        <v>66461</v>
      </c>
      <c r="AD102" s="15" t="n">
        <v>81292</v>
      </c>
      <c r="AE102" s="15" t="n">
        <v>16178</v>
      </c>
      <c r="AF102" s="16">
        <f>IF(ISNUMBER(_xlfn.SINGLE(_xll.BDP($B102,"BS_LONG_TERM_INVESTMENTS"))),_xlfn.SINGLE(_xll.BDP($B102,"BS_LONG_TERM_INVESTMENTS")),0)</f>
        <v/>
      </c>
      <c r="AG102" s="15" t="n">
        <v>147753</v>
      </c>
      <c r="AH102" s="67" t="n">
        <v>0.1900357389159896</v>
      </c>
      <c r="AJ102" s="15" t="n">
        <v>4.73</v>
      </c>
      <c r="AK102" s="15" t="n">
        <v>6.749000000000001</v>
      </c>
      <c r="AL102" s="15" t="n">
        <v>11.195</v>
      </c>
      <c r="AM102" s="15" t="n">
        <v>17.402</v>
      </c>
      <c r="AN102" s="15" t="n">
        <v>22.123</v>
      </c>
      <c r="AO102" s="15">
        <f t="array" ref="AO102">_xll.BDP($B102,"EQY_FISCAL_YR_END")</f>
        <v/>
      </c>
      <c r="AP102" s="15" t="n">
        <v>51577.78048780488</v>
      </c>
      <c r="AQ102" s="15" t="n">
        <v>63377.95918367347</v>
      </c>
      <c r="AR102" s="15" t="n">
        <v>103779.7555555556</v>
      </c>
      <c r="AS102" s="15" t="n">
        <v>157222.3111111111</v>
      </c>
      <c r="AT102" s="15" t="n">
        <v>191523.96</v>
      </c>
      <c r="AV102" s="15" t="n">
        <v>30632.53125</v>
      </c>
      <c r="AW102" s="15" t="n">
        <v>41515</v>
      </c>
      <c r="AX102" s="15" t="n">
        <v>68392.36842105264</v>
      </c>
      <c r="AY102" s="15" t="n">
        <v>104888.4102564103</v>
      </c>
      <c r="AZ102" s="15" t="n">
        <v>130170.8947368421</v>
      </c>
      <c r="BB102" s="68" t="n">
        <v>51772.2898772772</v>
      </c>
      <c r="BC102" s="68" t="n">
        <v>50283</v>
      </c>
      <c r="BD102" s="15" t="n">
        <v>1489.2898772772</v>
      </c>
      <c r="BE102" s="16" t="n">
        <v>36541</v>
      </c>
    </row>
    <row r="103">
      <c r="A103" t="inlineStr">
        <is>
          <t>MRVL</t>
        </is>
      </c>
      <c r="B103" t="inlineStr">
        <is>
          <t>MRVL UW Equity</t>
        </is>
      </c>
      <c r="C103" s="15">
        <f t="array" ref="C103">_xll.BDP($B103,"short_name")</f>
        <v/>
      </c>
      <c r="D103" s="15" t="n">
        <v>93.64627300000002</v>
      </c>
      <c r="E103" s="69" t="n">
        <v>107.11</v>
      </c>
      <c r="F103" s="70" t="n">
        <v>37.75467042650687</v>
      </c>
      <c r="G103" s="70" t="n">
        <v>28.08337703198741</v>
      </c>
      <c r="H103" s="70" t="n">
        <v>19.75834716841911</v>
      </c>
      <c r="I103" s="71" t="n">
        <v>0.8232255595944136</v>
      </c>
      <c r="J103" s="15" t="n">
        <v>8.178444444444445</v>
      </c>
      <c r="K103" s="72" t="n">
        <v>0.3529972930195908</v>
      </c>
      <c r="L103" s="72" t="n">
        <v>0.06470955415841996</v>
      </c>
      <c r="M103" s="72" t="n">
        <v>0.3735266636030947</v>
      </c>
      <c r="N103" s="72" t="n">
        <v>0.4844404002677112</v>
      </c>
      <c r="O103" s="72" t="n">
        <v>0.5140241150906555</v>
      </c>
      <c r="Q103" s="73" t="n">
        <v>0.2604142</v>
      </c>
      <c r="T103" s="68" t="n">
        <v>0.7344922021770962</v>
      </c>
      <c r="AA103" s="72">
        <f t="array" ref="AA103">_xll.BDP(B103,"CHG_PCT_1YR")/100</f>
        <v/>
      </c>
      <c r="AB103" s="15" t="n">
        <v>1322.9</v>
      </c>
      <c r="AC103" s="15" t="n">
        <v>4790.3</v>
      </c>
      <c r="AD103" s="15" t="n">
        <v>14308.4</v>
      </c>
      <c r="AE103" s="15" t="n">
        <v>2638.8</v>
      </c>
      <c r="AF103" s="16">
        <f>IF(ISNUMBER(_xlfn.SINGLE(_xll.BDP($B103,"BS_LONG_TERM_INVESTMENTS"))),_xlfn.SINGLE(_xll.BDP($B103,"BS_LONG_TERM_INVESTMENTS")),0)</f>
        <v/>
      </c>
      <c r="AG103" s="15" t="n">
        <v>19098.7</v>
      </c>
      <c r="AH103" s="67" t="n">
        <v>0.06470955415841996</v>
      </c>
      <c r="AJ103" s="15" t="n">
        <v>1.512</v>
      </c>
      <c r="AK103" s="15" t="n">
        <v>1.562</v>
      </c>
      <c r="AL103" s="15" t="n">
        <v>2.837</v>
      </c>
      <c r="AM103" s="15" t="n">
        <v>3.814</v>
      </c>
      <c r="AN103" s="15" t="n">
        <v>5.421</v>
      </c>
      <c r="AO103" s="15">
        <f t="array" ref="AO103">_xll.BDP($B103,"EQY_FISCAL_YR_END")</f>
        <v/>
      </c>
      <c r="AP103" s="15" t="n">
        <v>5501.733333333333</v>
      </c>
      <c r="AQ103" s="15" t="n">
        <v>5752.676470588235</v>
      </c>
      <c r="AR103" s="15" t="n">
        <v>8178.444444444444</v>
      </c>
      <c r="AS103" s="15" t="n">
        <v>10861.68292682927</v>
      </c>
      <c r="AT103" s="15" t="n">
        <v>14906.69047619048</v>
      </c>
      <c r="AV103" s="15" t="n">
        <v>1593.772727272727</v>
      </c>
      <c r="AW103" s="15" t="n">
        <v>1654.655172413793</v>
      </c>
      <c r="AX103" s="15" t="n">
        <v>2886.96875</v>
      </c>
      <c r="AY103" s="15" t="n">
        <v>3852.459459459459</v>
      </c>
      <c r="AZ103" s="15" t="n">
        <v>5412.473684210527</v>
      </c>
      <c r="BB103" s="68" t="n">
        <v>2245.146273</v>
      </c>
      <c r="BC103" s="68" t="n">
        <v>2151.5</v>
      </c>
      <c r="BD103" s="15" t="n">
        <v>93.64627300000002</v>
      </c>
      <c r="BE103" s="16" t="n">
        <v>2685.7</v>
      </c>
    </row>
    <row r="104">
      <c r="A104" t="inlineStr">
        <is>
          <t>ANET</t>
        </is>
      </c>
      <c r="B104" t="inlineStr">
        <is>
          <t>ANET US Equity</t>
        </is>
      </c>
      <c r="C104" s="15">
        <f t="array" ref="C104">_xll.BDP($B104,"short_name")</f>
        <v/>
      </c>
      <c r="D104" s="15" t="n">
        <v>159.17822193208</v>
      </c>
      <c r="E104" s="69" t="n">
        <v>126.68</v>
      </c>
      <c r="F104" s="70" t="n">
        <v>35.84606677985285</v>
      </c>
      <c r="G104" s="70" t="n">
        <v>29.61889174655132</v>
      </c>
      <c r="H104" s="70" t="n">
        <v>25.56093623890234</v>
      </c>
      <c r="I104" s="71" t="n">
        <v>-2.734492325705704</v>
      </c>
      <c r="J104" s="15" t="n">
        <v>11.43458620689655</v>
      </c>
      <c r="K104" s="72" t="n">
        <v>0.4632504252652443</v>
      </c>
      <c r="L104" s="72" t="n">
        <v>0.2841425435984195</v>
      </c>
      <c r="M104" s="72" t="n">
        <v>0.22650270223825</v>
      </c>
      <c r="N104" s="72" t="n">
        <v>0.2192539865675267</v>
      </c>
      <c r="O104" s="72" t="n">
        <v>0.1993112031146433</v>
      </c>
      <c r="Q104" s="73" t="n">
        <v>-0.0331985</v>
      </c>
      <c r="T104" s="68" t="n">
        <v>1.798497335808779</v>
      </c>
      <c r="AA104" s="72">
        <f t="array" ref="AA104">_xll.BDP(B104,"CHG_PCT_1YR")/100</f>
        <v/>
      </c>
      <c r="AB104" s="15" t="n">
        <v>3856.1</v>
      </c>
      <c r="AC104" s="15">
        <f t="array" ref="AC104">_xll.BDP($B104,"SHORT_AND_LONG_TERM_DEBT")</f>
        <v/>
      </c>
      <c r="AD104" s="15" t="n">
        <v>12370.5</v>
      </c>
      <c r="AE104" s="15" t="n">
        <v>1963.9</v>
      </c>
      <c r="AF104" s="16">
        <f>IF(ISNUMBER(_xlfn.SINGLE(_xll.BDP($B104,"BS_LONG_TERM_INVESTMENTS"))),_xlfn.SINGLE(_xll.BDP($B104,"BS_LONG_TERM_INVESTMENTS")),0)</f>
        <v/>
      </c>
      <c r="AG104" s="15">
        <f>SUM(AC104,AD104,-AE104,-AF104)</f>
        <v/>
      </c>
      <c r="AH104" s="67" t="n">
        <v>0.2841425435984195</v>
      </c>
      <c r="AJ104" s="15" t="n">
        <v>2.191</v>
      </c>
      <c r="AK104" s="15" t="n">
        <v>2.873</v>
      </c>
      <c r="AL104" s="15" t="n">
        <v>3.534</v>
      </c>
      <c r="AM104" s="15" t="n">
        <v>4.277</v>
      </c>
      <c r="AN104" s="15" t="n">
        <v>4.956</v>
      </c>
      <c r="AO104" s="15">
        <f t="array" ref="AO104">_xll.BDP($B104,"EQY_FISCAL_YR_END")</f>
        <v/>
      </c>
      <c r="AP104" s="15" t="n">
        <v>6967</v>
      </c>
      <c r="AQ104" s="15" t="n">
        <v>8896.120000000001</v>
      </c>
      <c r="AR104" s="15" t="n">
        <v>11434.58620689655</v>
      </c>
      <c r="AS104" s="15" t="n">
        <v>14002.39285714286</v>
      </c>
      <c r="AT104" s="15" t="n">
        <v>16413.6875</v>
      </c>
      <c r="AV104" s="15" t="n">
        <v>3273</v>
      </c>
      <c r="AW104" s="15" t="n">
        <v>4286.181818181818</v>
      </c>
      <c r="AX104" s="15" t="n">
        <v>5297.076923076924</v>
      </c>
      <c r="AY104" s="15" t="n">
        <v>6478.4</v>
      </c>
      <c r="AZ104" s="15" t="n">
        <v>7768.785714285714</v>
      </c>
      <c r="BB104" s="68" t="n">
        <v>-1804.72177806792</v>
      </c>
      <c r="BC104" s="68" t="n">
        <v>-1963.9</v>
      </c>
      <c r="BD104" s="15" t="n">
        <v>159.17822193208</v>
      </c>
      <c r="BE104" s="16" t="n">
        <v>3928.7</v>
      </c>
    </row>
    <row r="105">
      <c r="A105" t="inlineStr">
        <is>
          <t>COHR</t>
        </is>
      </c>
      <c r="B105" t="inlineStr">
        <is>
          <t>COHR US Equity</t>
        </is>
      </c>
      <c r="C105" s="15">
        <f t="array" ref="C105">_xll.BDP($B105,"short_name")</f>
        <v/>
      </c>
      <c r="D105" s="15" t="n">
        <v>48.40031491232001</v>
      </c>
      <c r="E105" s="69" t="n">
        <v>258.16</v>
      </c>
      <c r="F105" s="70" t="n">
        <v>47.7631822386679</v>
      </c>
      <c r="G105" s="70" t="n">
        <v>34.40757030521125</v>
      </c>
      <c r="H105" s="70" t="n">
        <v>28.65896980461812</v>
      </c>
      <c r="I105" s="71" t="n">
        <v>1.821405221325515</v>
      </c>
      <c r="J105" s="15" t="n">
        <v>6.9655</v>
      </c>
      <c r="K105" s="72" t="n">
        <v>0.2048139514675714</v>
      </c>
      <c r="L105" s="72" t="n">
        <v>0.02728208233742803</v>
      </c>
      <c r="M105" s="72" t="n">
        <v>0.2116813113145664</v>
      </c>
      <c r="N105" s="72" t="n">
        <v>0.3201940959709235</v>
      </c>
      <c r="O105" s="72" t="n">
        <v>0.3695068343133865</v>
      </c>
      <c r="Q105" s="73" t="n">
        <v>0.3987105</v>
      </c>
      <c r="T105" s="68" t="n">
        <v>1.292619724542333</v>
      </c>
      <c r="AA105" s="72">
        <f t="array" ref="AA105">_xll.BDP(B105,"CHG_PCT_1YR")/100</f>
        <v/>
      </c>
      <c r="AB105" s="15" t="n">
        <v>520.828</v>
      </c>
      <c r="AC105" s="15" t="n">
        <v>3893.658</v>
      </c>
      <c r="AD105" s="15" t="n">
        <v>8481.282999999999</v>
      </c>
      <c r="AE105" s="15" t="n">
        <v>909.2</v>
      </c>
      <c r="AF105" s="16">
        <f>IF(ISNUMBER(_xlfn.SINGLE(_xll.BDP($B105,"BS_LONG_TERM_INVESTMENTS"))),_xlfn.SINGLE(_xll.BDP($B105,"BS_LONG_TERM_INVESTMENTS")),0)</f>
        <v/>
      </c>
      <c r="AG105" s="15" t="n">
        <v>12374.941</v>
      </c>
      <c r="AH105" s="67" t="n">
        <v>0.02728208233742803</v>
      </c>
      <c r="AJ105" s="15" t="n">
        <v>1.65</v>
      </c>
      <c r="AK105" s="15" t="n">
        <v>3.507</v>
      </c>
      <c r="AL105" s="15" t="n">
        <v>5.405</v>
      </c>
      <c r="AM105" s="15" t="n">
        <v>7.503</v>
      </c>
      <c r="AN105" s="15" t="n">
        <v>9.008000000000001</v>
      </c>
      <c r="AO105" s="15">
        <f t="array" ref="AO105">_xll.BDP($B105,"EQY_FISCAL_YR_END")</f>
        <v/>
      </c>
      <c r="AP105" s="15" t="n">
        <v>4669.941176470588</v>
      </c>
      <c r="AQ105" s="15" t="n">
        <v>5792.263157894738</v>
      </c>
      <c r="AR105" s="15" t="n">
        <v>6965.5</v>
      </c>
      <c r="AS105" s="15" t="n">
        <v>8857.863636363636</v>
      </c>
      <c r="AT105" s="15" t="n">
        <v>10304.18181818182</v>
      </c>
      <c r="AV105" s="15" t="n">
        <v>695.8461538461538</v>
      </c>
      <c r="AW105" s="15" t="n">
        <v>1047.0625</v>
      </c>
      <c r="AX105" s="15" t="n">
        <v>1426.631578947368</v>
      </c>
      <c r="AY105" s="15" t="n">
        <v>1949.909090909091</v>
      </c>
      <c r="AZ105" s="15" t="n">
        <v>2409.272727272727</v>
      </c>
      <c r="BB105" s="68" t="n">
        <v>3032.85831491232</v>
      </c>
      <c r="BC105" s="68" t="n">
        <v>2984.458</v>
      </c>
      <c r="BD105" s="15" t="n">
        <v>48.40031491232001</v>
      </c>
      <c r="BE105" s="16" t="n">
        <v>1802.319</v>
      </c>
    </row>
    <row r="106">
      <c r="A106" t="inlineStr">
        <is>
          <t>CRDO</t>
        </is>
      </c>
      <c r="B106" t="inlineStr">
        <is>
          <t>CRDO US Equity</t>
        </is>
      </c>
      <c r="C106" s="15">
        <f t="array" ref="C106">_xll.BDP($B106,"short_name")</f>
        <v/>
      </c>
      <c r="D106" s="15" t="n">
        <v>18.712446413</v>
      </c>
      <c r="E106" s="69" t="n">
        <v>101.45</v>
      </c>
      <c r="F106" s="70" t="n">
        <v>30.65880930794802</v>
      </c>
      <c r="G106" s="70" t="n">
        <v>21.47089947089947</v>
      </c>
      <c r="H106" s="70" t="n">
        <v>18.75231053604436</v>
      </c>
      <c r="I106" s="71" t="n">
        <v>-3.598371029068367</v>
      </c>
      <c r="J106" s="15" t="n">
        <v>1.328769230769231</v>
      </c>
      <c r="K106" s="72" t="n">
        <v>0.4721160896916367</v>
      </c>
      <c r="L106" s="72" t="n">
        <v>0.2544554975877668</v>
      </c>
      <c r="M106" s="72" t="n">
        <v>0.8147417787566986</v>
      </c>
      <c r="N106" s="72" t="n">
        <v>1.276846779838332</v>
      </c>
      <c r="O106" s="72" t="n">
        <v>1.045628326784741</v>
      </c>
      <c r="Q106" s="73" t="n">
        <v>-0.2949475</v>
      </c>
      <c r="T106" s="68" t="n">
        <v>0.2932094370685466</v>
      </c>
      <c r="AA106" s="72">
        <f t="array" ref="AA106">_xll.BDP(B106,"CHG_PCT_1YR")/100</f>
        <v/>
      </c>
      <c r="AB106" s="15" t="n">
        <v>322.948</v>
      </c>
      <c r="AC106" s="15" t="n">
        <v>27.927</v>
      </c>
      <c r="AD106" s="15" t="n">
        <v>681.582</v>
      </c>
      <c r="AE106" s="15" t="n">
        <v>236.328</v>
      </c>
      <c r="AF106" s="16">
        <f>IF(ISNUMBER(_xlfn.SINGLE(_xll.BDP($B106,"BS_LONG_TERM_INVESTMENTS"))),_xlfn.SINGLE(_xll.BDP($B106,"BS_LONG_TERM_INVESTMENTS")),0)</f>
        <v/>
      </c>
      <c r="AG106" s="15" t="n">
        <v>709.509</v>
      </c>
      <c r="AH106" s="67" t="n">
        <v>0.2544554975877668</v>
      </c>
      <c r="AJ106" s="15" t="n">
        <v>0.07000000000000001</v>
      </c>
      <c r="AK106" s="15" t="n">
        <v>0.632</v>
      </c>
      <c r="AL106" s="15" t="n">
        <v>3.309</v>
      </c>
      <c r="AM106" s="15" t="n">
        <v>4.725000000000001</v>
      </c>
      <c r="AN106" s="15" t="n">
        <v>5.41</v>
      </c>
      <c r="AO106" s="15">
        <f t="array" ref="AO106">_xll.BDP($B106,"EQY_FISCAL_YR_END")</f>
        <v/>
      </c>
      <c r="AP106" s="15" t="n">
        <v>194.3636363636364</v>
      </c>
      <c r="AQ106" s="15" t="n">
        <v>427.1111111111111</v>
      </c>
      <c r="AR106" s="15" t="n">
        <v>1328.769230769231</v>
      </c>
      <c r="AS106" s="15" t="n">
        <v>2033.4375</v>
      </c>
      <c r="AT106" s="15" t="n">
        <v>2552.615384615385</v>
      </c>
      <c r="AV106" s="15" t="n">
        <v>0.7505714285714286</v>
      </c>
      <c r="AW106" s="15" t="n">
        <v>103.9</v>
      </c>
      <c r="AX106" s="15" t="n">
        <v>627.3333333333334</v>
      </c>
      <c r="AY106" s="15" t="n">
        <v>957.625</v>
      </c>
      <c r="AZ106" s="15" t="n">
        <v>1226.357142857143</v>
      </c>
      <c r="BB106" s="68" t="n">
        <v>-189.688553587</v>
      </c>
      <c r="BC106" s="68" t="n">
        <v>-208.401</v>
      </c>
      <c r="BD106" s="15" t="n">
        <v>18.712446413</v>
      </c>
      <c r="BE106" s="16" t="n">
        <v>357.158</v>
      </c>
    </row>
    <row r="107">
      <c r="A107" t="inlineStr">
        <is>
          <t>ALAB</t>
        </is>
      </c>
      <c r="B107" t="inlineStr">
        <is>
          <t>ALAB US Equity</t>
        </is>
      </c>
      <c r="C107" s="15">
        <f t="array" ref="C107">_xll.BDP($B107,"short_name")</f>
        <v/>
      </c>
      <c r="D107" s="15" t="n">
        <v>19.93892688142</v>
      </c>
      <c r="E107" s="69" t="n">
        <v>117.14</v>
      </c>
      <c r="F107" s="70" t="n">
        <v>48.00819672131148</v>
      </c>
      <c r="G107" s="70" t="n">
        <v>33.36371404158359</v>
      </c>
      <c r="H107" s="70" t="n">
        <v>26.44243792325057</v>
      </c>
      <c r="I107" s="71" t="n">
        <v>-6.423462707764685</v>
      </c>
      <c r="J107" s="15" t="n">
        <v>1.349782608695652</v>
      </c>
      <c r="K107" s="72" t="n">
        <v>0.3109142642400816</v>
      </c>
      <c r="L107" s="16" t="n">
        <v>0.1578237216021166</v>
      </c>
      <c r="M107" s="72" t="n">
        <v>0.4115407099185293</v>
      </c>
      <c r="N107" s="72" t="n">
        <v>0.3901715023497474</v>
      </c>
      <c r="O107" s="72" t="n">
        <v>0.3546653075683088</v>
      </c>
      <c r="Q107" s="73" t="n">
        <v>-0.2958644</v>
      </c>
      <c r="T107" s="68" t="n">
        <v>1.353619756340703</v>
      </c>
      <c r="AA107" s="72">
        <f>133/36-1</f>
        <v/>
      </c>
      <c r="AB107" s="15" t="n">
        <v>173.423</v>
      </c>
      <c r="AC107" s="15" t="n">
        <v>30.974</v>
      </c>
      <c r="AD107" s="15" t="n">
        <v>1363.634</v>
      </c>
      <c r="AE107" s="15" t="n">
        <v>167.611</v>
      </c>
      <c r="AF107" s="16">
        <f>IF(ISNUMBER(_xlfn.SINGLE(_xll.BDP($B107,"BS_LONG_TERM_INVESTMENTS"))),_xlfn.SINGLE(_xll.BDP($B107,"BS_LONG_TERM_INVESTMENTS")),0)</f>
        <v/>
      </c>
      <c r="AG107" s="15" t="n">
        <v>1394.608</v>
      </c>
      <c r="AH107" s="67" t="n">
        <v>0.1578237216021166</v>
      </c>
      <c r="AJ107" s="15" t="n">
        <v>0.722</v>
      </c>
      <c r="AK107" s="15" t="n">
        <v>1.782</v>
      </c>
      <c r="AL107" s="15" t="n">
        <v>2.44</v>
      </c>
      <c r="AM107" s="15" t="n">
        <v>3.511</v>
      </c>
      <c r="AN107" s="15" t="n">
        <v>4.43</v>
      </c>
      <c r="AO107" s="15">
        <f t="array" ref="AO107">_xll.BDP($B107,"EQY_FISCAL_YR_END")</f>
        <v/>
      </c>
      <c r="AP107" s="15" t="n">
        <v>383.0769230769231</v>
      </c>
      <c r="AQ107" s="15" t="n">
        <v>831.7272727272727</v>
      </c>
      <c r="AR107" s="15" t="n">
        <v>1349.782608695652</v>
      </c>
      <c r="AS107" s="15" t="n">
        <v>1862.608695652174</v>
      </c>
      <c r="AT107" s="15" t="n">
        <v>2339.166666666667</v>
      </c>
      <c r="AV107" s="15" t="n">
        <v>113.6666666666667</v>
      </c>
      <c r="AW107" s="15" t="n">
        <v>324.2</v>
      </c>
      <c r="AX107" s="15" t="n">
        <v>419.6666666666667</v>
      </c>
      <c r="AY107" s="15" t="n">
        <v>673.1111111111112</v>
      </c>
      <c r="AZ107" s="15" t="n">
        <v>871</v>
      </c>
      <c r="BB107" s="68" t="n">
        <v>-116.69807311858</v>
      </c>
      <c r="BC107" s="68" t="n">
        <v>-136.637</v>
      </c>
      <c r="BD107" s="15" t="n">
        <v>19.93892688142</v>
      </c>
      <c r="BE107" s="16" t="n">
        <v>186.131</v>
      </c>
    </row>
    <row r="108">
      <c r="D108" s="15" t="n"/>
      <c r="AA108" s="72" t="n"/>
    </row>
    <row r="109">
      <c r="A109" s="36" t="inlineStr">
        <is>
          <t xml:space="preserve">Compute </t>
        </is>
      </c>
      <c r="D109" s="15" t="n"/>
      <c r="AA109" s="72" t="n"/>
    </row>
    <row r="110">
      <c r="A110" t="inlineStr">
        <is>
          <t>NVDA</t>
        </is>
      </c>
      <c r="B110" t="inlineStr">
        <is>
          <t>NVDA UW Equity</t>
        </is>
      </c>
      <c r="C110" s="15">
        <f t="array" ref="C110">_xll.BDP($B110,"short_name")</f>
        <v/>
      </c>
      <c r="D110" s="15" t="n">
        <v>4310.577</v>
      </c>
      <c r="E110" s="69" t="n">
        <v>177.39</v>
      </c>
      <c r="F110" s="70" t="n">
        <v>37.8391638225256</v>
      </c>
      <c r="G110" s="70" t="n">
        <v>21.20114736464682</v>
      </c>
      <c r="H110" s="70" t="n">
        <v>15.94086987778576</v>
      </c>
      <c r="I110" s="71" t="n">
        <v>-0.3825537994330209</v>
      </c>
      <c r="J110" s="15" t="n">
        <v>213.7625373134328</v>
      </c>
      <c r="K110" s="72" t="n">
        <v>0.634749080822908</v>
      </c>
      <c r="L110" s="72" t="n">
        <v>0.9212258247945241</v>
      </c>
      <c r="M110" s="72" t="n">
        <v>0.5466261185716828</v>
      </c>
      <c r="N110" s="72" t="n">
        <v>0.5536841449287351</v>
      </c>
      <c r="O110" s="72" t="n">
        <v>0.5646732581179688</v>
      </c>
      <c r="Q110" s="73" t="n">
        <v>-0.04884718</v>
      </c>
      <c r="T110" s="68" t="n">
        <v>0.6701072395147926</v>
      </c>
      <c r="AA110" s="72">
        <f t="array" ref="AA110">_xll.BDP(B110,"CHG_PCT_1YR")/100</f>
        <v/>
      </c>
      <c r="AB110" s="15" t="n">
        <v>130387</v>
      </c>
      <c r="AC110" s="15" t="n">
        <v>11412</v>
      </c>
      <c r="AD110" s="15" t="n">
        <v>157293</v>
      </c>
      <c r="AE110" s="15" t="n">
        <v>10605</v>
      </c>
      <c r="AF110" s="16">
        <f>IF(ISNUMBER(_xlfn.SINGLE(_xll.BDP($B110,"BS_LONG_TERM_INVESTMENTS"))),_xlfn.SINGLE(_xll.BDP($B110,"BS_LONG_TERM_INVESTMENTS")),0)</f>
        <v/>
      </c>
      <c r="AG110" s="15" t="n">
        <v>168705</v>
      </c>
      <c r="AH110" s="67" t="n">
        <v>0.9212258247945241</v>
      </c>
      <c r="AJ110" s="15" t="n">
        <v>1.241</v>
      </c>
      <c r="AK110" s="15" t="n">
        <v>2.905</v>
      </c>
      <c r="AL110" s="15" t="n">
        <v>4.688</v>
      </c>
      <c r="AM110" s="15" t="n">
        <v>8.367000000000001</v>
      </c>
      <c r="AN110" s="15" t="n">
        <v>11.128</v>
      </c>
      <c r="AO110" s="15">
        <f t="array" ref="AO110">_xll.BDP($B110,"EQY_FISCAL_YR_END")</f>
        <v/>
      </c>
      <c r="AP110" s="15" t="n">
        <v>59315.83333333334</v>
      </c>
      <c r="AQ110" s="15" t="n">
        <v>129608.5166666667</v>
      </c>
      <c r="AR110" s="15" t="n">
        <v>213762.5373134328</v>
      </c>
      <c r="AS110" s="15" t="n">
        <v>366102.7846153846</v>
      </c>
      <c r="AT110" s="15" t="n">
        <v>479501.0476190476</v>
      </c>
      <c r="AV110" s="15" t="n">
        <v>35621.57142857143</v>
      </c>
      <c r="AW110" s="15" t="n">
        <v>85879.85365853659</v>
      </c>
      <c r="AX110" s="15" t="n">
        <v>135685.5740740741</v>
      </c>
      <c r="AY110" s="15" t="n">
        <v>243682.3584905661</v>
      </c>
      <c r="AZ110" s="15" t="n">
        <v>322091.6730769231</v>
      </c>
      <c r="BB110" s="68" t="n">
        <v>5117.577</v>
      </c>
      <c r="BC110" s="68" t="n">
        <v>807</v>
      </c>
      <c r="BD110" s="15" t="n">
        <v>4310.577</v>
      </c>
      <c r="BE110" s="16" t="n">
        <v>133692</v>
      </c>
    </row>
    <row r="111">
      <c r="A111" t="inlineStr">
        <is>
          <t>AMD</t>
        </is>
      </c>
      <c r="B111" t="inlineStr">
        <is>
          <t>AMD UW Equity</t>
        </is>
      </c>
      <c r="C111" s="15">
        <f t="array" ref="C111">_xll.BDP($B111,"short_name")</f>
        <v/>
      </c>
      <c r="D111" s="15" t="n">
        <v>354.5986844325</v>
      </c>
      <c r="E111" s="69" t="n">
        <v>217.5</v>
      </c>
      <c r="F111" s="70" t="n">
        <v>32.36607142857143</v>
      </c>
      <c r="G111" s="70" t="n">
        <v>19.79251979251979</v>
      </c>
      <c r="H111" s="70" t="n">
        <v>14.90440622216131</v>
      </c>
      <c r="I111" s="71" t="n">
        <v>-1.001045088085996</v>
      </c>
      <c r="J111" s="15" t="n">
        <v>46.92082352941177</v>
      </c>
      <c r="K111" s="72" t="n">
        <v>0.2682011645491868</v>
      </c>
      <c r="L111" s="72" t="n">
        <v>0.06195488669864194</v>
      </c>
      <c r="M111" s="72" t="n">
        <v>0.3582619971864791</v>
      </c>
      <c r="N111" s="72" t="n">
        <v>0.5599923131742912</v>
      </c>
      <c r="O111" s="72" t="n">
        <v>0.5422683086370326</v>
      </c>
      <c r="Q111" s="73" t="n">
        <v>0.0155958</v>
      </c>
      <c r="T111" s="68" t="n">
        <v>0.5968645209955589</v>
      </c>
      <c r="AA111" s="72">
        <f t="array" ref="AA111">_xll.BDP(B111,"CHG_PCT_1YR")/100</f>
        <v/>
      </c>
      <c r="AB111" s="15" t="n">
        <v>3694</v>
      </c>
      <c r="AC111" s="15" t="n">
        <v>3847</v>
      </c>
      <c r="AD111" s="15" t="n">
        <v>62999</v>
      </c>
      <c r="AE111" s="15" t="n">
        <v>5539</v>
      </c>
      <c r="AF111" s="16">
        <f>IF(ISNUMBER(_xlfn.SINGLE(_xll.BDP($B111,"BS_LONG_TERM_INVESTMENTS"))),_xlfn.SINGLE(_xll.BDP($B111,"BS_LONG_TERM_INVESTMENTS")),0)</f>
        <v/>
      </c>
      <c r="AG111" s="15" t="n">
        <v>66846</v>
      </c>
      <c r="AH111" s="67" t="n">
        <v>0.06195488669864194</v>
      </c>
      <c r="AJ111" s="15" t="n">
        <v>3.32</v>
      </c>
      <c r="AK111" s="15" t="n">
        <v>3.978</v>
      </c>
      <c r="AL111" s="15" t="n">
        <v>6.72</v>
      </c>
      <c r="AM111" s="15" t="n">
        <v>10.989</v>
      </c>
      <c r="AN111" s="15" t="n">
        <v>14.593</v>
      </c>
      <c r="AO111" s="15">
        <f t="array" ref="AO111">_xll.BDP($B111,"EQY_FISCAL_YR_END")</f>
        <v/>
      </c>
      <c r="AP111" s="15" t="n">
        <v>25662.1</v>
      </c>
      <c r="AQ111" s="15" t="n">
        <v>34078.73684210526</v>
      </c>
      <c r="AR111" s="15" t="n">
        <v>46920.82352941177</v>
      </c>
      <c r="AS111" s="15" t="n">
        <v>67324.2</v>
      </c>
      <c r="AT111" s="15" t="n">
        <v>85395.33333333333</v>
      </c>
      <c r="AV111" s="15" t="n">
        <v>6129.6</v>
      </c>
      <c r="AW111" s="15" t="n">
        <v>7369.263157894738</v>
      </c>
      <c r="AX111" s="15" t="n">
        <v>12584.21951219512</v>
      </c>
      <c r="AY111" s="15" t="n">
        <v>20905.05</v>
      </c>
      <c r="AZ111" s="15" t="n">
        <v>27976.375</v>
      </c>
      <c r="BB111" s="68" t="n">
        <v>-1337.4013155675</v>
      </c>
      <c r="BC111" s="68" t="n">
        <v>-1692</v>
      </c>
      <c r="BD111" s="15" t="n">
        <v>354.5986844325</v>
      </c>
      <c r="BE111" s="16" t="n">
        <v>6894</v>
      </c>
    </row>
    <row r="112">
      <c r="A112" t="inlineStr">
        <is>
          <t>QCOM</t>
        </is>
      </c>
      <c r="B112" t="inlineStr">
        <is>
          <t>QCOM UW Equity</t>
        </is>
      </c>
      <c r="C112" s="15">
        <f t="array" ref="C112">_xll.BDP($B112,"short_name")</f>
        <v/>
      </c>
      <c r="D112" s="15" t="n">
        <v>135.2956</v>
      </c>
      <c r="E112" s="69" t="n">
        <v>126.8</v>
      </c>
      <c r="F112" s="70" t="n">
        <v>11.34980307912639</v>
      </c>
      <c r="G112" s="70" t="n">
        <v>11.38751683879659</v>
      </c>
      <c r="H112" s="70" t="n">
        <v>10.24149907115742</v>
      </c>
      <c r="I112" s="71" t="n">
        <v>0.2182149362477231</v>
      </c>
      <c r="J112" s="15" t="n">
        <v>43.81502941176471</v>
      </c>
      <c r="K112" s="72" t="n">
        <v>0.3103957747509416</v>
      </c>
      <c r="L112" s="72" t="n">
        <v>0.1287838400539461</v>
      </c>
      <c r="M112" s="72" t="n">
        <v>0.02719829821142628</v>
      </c>
      <c r="N112" s="72" t="n">
        <v>-0.02911023157216031</v>
      </c>
      <c r="O112" s="72" t="n">
        <v>0.01272878935469324</v>
      </c>
      <c r="Q112" s="73" t="n">
        <v>-0.2586963</v>
      </c>
      <c r="T112" s="68" t="n">
        <v>8.916639880556744</v>
      </c>
      <c r="AA112" s="72">
        <f t="array" ref="AA112">_xll.BDP(B112,"CHG_PCT_1YR")/100</f>
        <v/>
      </c>
      <c r="AB112" s="15" t="n">
        <v>12166</v>
      </c>
      <c r="AC112" s="15" t="n">
        <v>15643</v>
      </c>
      <c r="AD112" s="15" t="n">
        <v>21206</v>
      </c>
      <c r="AE112" s="15" t="n">
        <v>5520</v>
      </c>
      <c r="AF112" s="16" t="n">
        <v>163</v>
      </c>
      <c r="AG112" s="15" t="n">
        <v>36849</v>
      </c>
      <c r="AH112" s="67" t="n">
        <v>0.1287838400539461</v>
      </c>
      <c r="AJ112" s="15" t="n">
        <v>10.081</v>
      </c>
      <c r="AK112" s="15" t="n">
        <v>11.92</v>
      </c>
      <c r="AL112" s="15" t="n">
        <v>11.172</v>
      </c>
      <c r="AM112" s="15" t="n">
        <v>11.135</v>
      </c>
      <c r="AN112" s="15" t="n">
        <v>12.381</v>
      </c>
      <c r="AO112" s="15">
        <f t="array" ref="AO112">_xll.BDP($B112,"EQY_FISCAL_YR_END")</f>
        <v/>
      </c>
      <c r="AP112" s="15" t="n">
        <v>38612.97142857143</v>
      </c>
      <c r="AQ112" s="15" t="n">
        <v>43685.21212121212</v>
      </c>
      <c r="AR112" s="15" t="n">
        <v>43815.02941176471</v>
      </c>
      <c r="AS112" s="15" t="n">
        <v>44140.79411764706</v>
      </c>
      <c r="AT112" s="15" t="n">
        <v>47347.52941176471</v>
      </c>
      <c r="AV112" s="15" t="n">
        <v>13151.3</v>
      </c>
      <c r="AW112" s="15" t="n">
        <v>15294.72727272727</v>
      </c>
      <c r="AX112" s="15" t="n">
        <v>13600</v>
      </c>
      <c r="AY112" s="15" t="n">
        <v>13132.73333333333</v>
      </c>
      <c r="AZ112" s="15" t="n">
        <v>13997.53333333333</v>
      </c>
      <c r="BB112" s="68" t="n">
        <v>10258.2956</v>
      </c>
      <c r="BC112" s="68" t="n">
        <v>10123</v>
      </c>
      <c r="BD112" s="15" t="n">
        <v>135.2956</v>
      </c>
      <c r="BE112" s="16" t="n">
        <v>13725</v>
      </c>
    </row>
    <row r="113">
      <c r="A113" t="inlineStr">
        <is>
          <t>ARM</t>
        </is>
      </c>
      <c r="B113" t="inlineStr">
        <is>
          <t>ARM UW Equity</t>
        </is>
      </c>
      <c r="C113" s="15">
        <f t="array" ref="C113">_xll.BDP($B113,"short_name")</f>
        <v/>
      </c>
      <c r="D113" s="15" t="n">
        <v>158.35482</v>
      </c>
      <c r="E113" s="69" t="n">
        <v>149.11</v>
      </c>
      <c r="F113" s="70" t="n">
        <v>84.72159090909092</v>
      </c>
      <c r="G113" s="70" t="n">
        <v>69.28903345724908</v>
      </c>
      <c r="H113" s="70" t="n">
        <v>51.41724137931035</v>
      </c>
      <c r="I113" s="71" t="n">
        <v>-2.825295723384895</v>
      </c>
      <c r="J113" s="15" t="n">
        <v>4.898853658536585</v>
      </c>
      <c r="K113" s="72" t="n">
        <v>0.4250257374519895</v>
      </c>
      <c r="L113" s="72" t="n">
        <v>0.1148647941138345</v>
      </c>
      <c r="M113" s="72" t="n">
        <v>0.2307612562081498</v>
      </c>
      <c r="N113" s="72" t="n">
        <v>0.2274070225038789</v>
      </c>
      <c r="O113" s="72" t="n">
        <v>0.2159653798449683</v>
      </c>
      <c r="Q113" s="73" t="n">
        <v>0.3641021</v>
      </c>
      <c r="T113" s="68" t="n">
        <v>3.922924635879541</v>
      </c>
      <c r="AA113" s="72">
        <f t="array" ref="AA113">_xll.BDP(B113,"CHG_PCT_1YR")/100</f>
        <v/>
      </c>
      <c r="AB113" s="15" t="n">
        <v>872</v>
      </c>
      <c r="AC113" s="15" t="n">
        <v>346</v>
      </c>
      <c r="AD113" s="15" t="n">
        <v>6839</v>
      </c>
      <c r="AE113" s="15" t="n">
        <v>2085</v>
      </c>
      <c r="AF113" s="16" t="n">
        <v>565</v>
      </c>
      <c r="AG113" s="15" t="n">
        <v>7185</v>
      </c>
      <c r="AH113" s="67" t="n">
        <v>0.1148647941138345</v>
      </c>
      <c r="AJ113" s="15" t="n">
        <v>1.203</v>
      </c>
      <c r="AK113" s="15" t="n">
        <v>1.613</v>
      </c>
      <c r="AL113" s="15" t="n">
        <v>1.76</v>
      </c>
      <c r="AM113" s="15" t="n">
        <v>2.152</v>
      </c>
      <c r="AN113" s="15" t="n">
        <v>2.9</v>
      </c>
      <c r="AO113" s="15">
        <f t="array" ref="AO113">_xll.BDP($B113,"EQY_FISCAL_YR_END")</f>
        <v/>
      </c>
      <c r="AP113" s="15" t="n">
        <v>3182.379310344827</v>
      </c>
      <c r="AQ113" s="15" t="n">
        <v>3999.682926829269</v>
      </c>
      <c r="AR113" s="15" t="n">
        <v>4898.853658536585</v>
      </c>
      <c r="AS113" s="15" t="n">
        <v>5954.813953488372</v>
      </c>
      <c r="AT113" s="15" t="n">
        <v>7456.705882352941</v>
      </c>
      <c r="AV113" s="15" t="n">
        <v>1353.5</v>
      </c>
      <c r="AW113" s="15" t="n">
        <v>1839.588235294118</v>
      </c>
      <c r="AX113" s="15" t="n">
        <v>2082.138888888889</v>
      </c>
      <c r="AY113" s="15" t="n">
        <v>2517.230769230769</v>
      </c>
      <c r="AZ113" s="15" t="n">
        <v>3401.625</v>
      </c>
      <c r="BB113" s="68" t="n">
        <v>-1580.64518</v>
      </c>
      <c r="BC113" s="68" t="n">
        <v>-1739</v>
      </c>
      <c r="BD113" s="15" t="n">
        <v>158.35482</v>
      </c>
      <c r="BE113" s="16" t="n">
        <v>1099</v>
      </c>
    </row>
    <row r="114">
      <c r="A114" t="inlineStr">
        <is>
          <t>INTC</t>
        </is>
      </c>
      <c r="B114" t="inlineStr">
        <is>
          <t>INTC UW Equity</t>
        </is>
      </c>
      <c r="C114" s="15">
        <f t="array" ref="C114">_xll.BDP($B114,"short_name")</f>
        <v/>
      </c>
      <c r="D114" s="15" t="n">
        <v>252.95849528664</v>
      </c>
      <c r="E114" s="69" t="n">
        <v>50.38</v>
      </c>
      <c r="F114" s="70" t="n">
        <v>94.52157598499062</v>
      </c>
      <c r="G114" s="70" t="n">
        <v>49.78260869565218</v>
      </c>
      <c r="H114" s="70" t="n">
        <v>36.08882521489971</v>
      </c>
      <c r="I114" s="71" t="n">
        <v>0.1104087652760219</v>
      </c>
      <c r="J114" s="15" t="n">
        <v>53.98210416666667</v>
      </c>
      <c r="K114" s="72" t="n">
        <v>0.0764247268841191</v>
      </c>
      <c r="L114" s="72" t="n">
        <v>-0.02365847325564048</v>
      </c>
      <c r="M114" s="72" t="n">
        <v>0.05671155478072798</v>
      </c>
      <c r="N114" s="72" t="n">
        <v>0.5942019352289447</v>
      </c>
      <c r="O114" s="72" t="n">
        <v>0.5919757200614335</v>
      </c>
      <c r="Q114" s="73" t="n">
        <v>0.3653116</v>
      </c>
      <c r="T114" s="68" t="n">
        <v>1.59671372966414</v>
      </c>
      <c r="AA114" s="72">
        <f t="array" ref="AA114">_xll.BDP(B114,"CHG_PCT_1YR")/100</f>
        <v/>
      </c>
      <c r="AB114" s="15" t="n">
        <v>-2214</v>
      </c>
      <c r="AC114" s="15" t="n">
        <v>46976</v>
      </c>
      <c r="AD114" s="15" t="n">
        <v>126360</v>
      </c>
      <c r="AE114" s="15" t="n">
        <v>14265</v>
      </c>
      <c r="AF114" s="16" t="n">
        <v>16540</v>
      </c>
      <c r="AG114" s="15" t="n">
        <v>173336</v>
      </c>
      <c r="AH114" s="67" t="n">
        <v>-0.02365847325564048</v>
      </c>
      <c r="AJ114" s="15" t="n">
        <v>-0.143</v>
      </c>
      <c r="AK114" s="15" t="n">
        <v>0.346</v>
      </c>
      <c r="AL114" s="15" t="n">
        <v>0.533</v>
      </c>
      <c r="AM114" s="15" t="n">
        <v>1.012</v>
      </c>
      <c r="AN114" s="15" t="n">
        <v>1.396</v>
      </c>
      <c r="AO114" s="15">
        <f t="array" ref="AO114">_xll.BDP($B114,"EQY_FISCAL_YR_END")</f>
        <v/>
      </c>
      <c r="AP114" s="15" t="n">
        <v>52681.41025641026</v>
      </c>
      <c r="AQ114" s="15" t="n">
        <v>52601.63043478261</v>
      </c>
      <c r="AR114" s="15" t="n">
        <v>53982.10416666666</v>
      </c>
      <c r="AS114" s="15" t="n">
        <v>57997.63043478261</v>
      </c>
      <c r="AT114" s="15" t="n">
        <v>62068.11764705883</v>
      </c>
      <c r="AV114" s="15" t="n">
        <v>-1065.222222222222</v>
      </c>
      <c r="AW114" s="15" t="n">
        <v>2575.135135135135</v>
      </c>
      <c r="AX114" s="15" t="n">
        <v>4125.567567567567</v>
      </c>
      <c r="AY114" s="15" t="n">
        <v>7208.736842105262</v>
      </c>
      <c r="AZ114" s="15" t="n">
        <v>10433.5</v>
      </c>
      <c r="BB114" s="68" t="n">
        <v>32963.95849528664</v>
      </c>
      <c r="BC114" s="68" t="n">
        <v>32711</v>
      </c>
      <c r="BD114" s="15" t="n">
        <v>252.95849528664</v>
      </c>
      <c r="BE114" s="16" t="n">
        <v>9604</v>
      </c>
    </row>
    <row r="115">
      <c r="D115" s="15" t="n"/>
      <c r="AA115" s="72" t="n"/>
    </row>
    <row r="116">
      <c r="A116" s="36" t="inlineStr">
        <is>
          <t>Foundries</t>
        </is>
      </c>
      <c r="D116" s="15" t="n"/>
      <c r="AA116" s="72" t="n"/>
    </row>
    <row r="117">
      <c r="A117" t="inlineStr">
        <is>
          <t>TSMC</t>
        </is>
      </c>
      <c r="B117" t="inlineStr">
        <is>
          <t>TSM UN Equity</t>
        </is>
      </c>
      <c r="C117" s="15">
        <f t="array" ref="C117">_xll.BDP($B117,"short_name")</f>
        <v/>
      </c>
      <c r="D117" s="15" t="n">
        <v>1758.43262265216</v>
      </c>
      <c r="E117" s="69" t="n">
        <v>339.04</v>
      </c>
      <c r="F117" s="70" t="n">
        <v>0.7493391564188024</v>
      </c>
      <c r="G117" s="70" t="n">
        <v>0.5601411587441101</v>
      </c>
      <c r="H117" s="70" t="n">
        <v>0.4429116371427079</v>
      </c>
      <c r="I117" s="71" t="n">
        <v>-0.763631216250258</v>
      </c>
      <c r="J117" s="15" t="n">
        <v>5029.845</v>
      </c>
      <c r="K117" s="72" t="n">
        <v>0.5431366696001093</v>
      </c>
      <c r="L117" s="72" t="n">
        <v>0.2683910127032517</v>
      </c>
      <c r="M117" s="72" t="n">
        <v>0.2516117510079781</v>
      </c>
      <c r="N117" s="72" t="n">
        <v>0.2787078209098977</v>
      </c>
      <c r="O117" s="72" t="n">
        <v>0.3323382377114008</v>
      </c>
      <c r="Q117" s="73" t="n">
        <v>0.1156668</v>
      </c>
      <c r="T117" s="68" t="n">
        <v>0.02254748540459919</v>
      </c>
      <c r="AA117" s="72">
        <f t="array" ref="AA117">_xll.BDP(B117,"CHG_PCT_1YR")/100</f>
        <v/>
      </c>
      <c r="AB117" s="15" t="n">
        <v>1936091.677</v>
      </c>
      <c r="AC117" s="15" t="n">
        <v>1064582.701</v>
      </c>
      <c r="AD117" s="15" t="n">
        <v>5460795.282999999</v>
      </c>
      <c r="AE117" s="15" t="n">
        <v>2767856.402</v>
      </c>
      <c r="AF117" s="16" t="n">
        <v>134337.102</v>
      </c>
      <c r="AG117" s="15" t="n">
        <v>6525377.983999999</v>
      </c>
      <c r="AH117" s="67" t="n">
        <v>0.2683910127032517</v>
      </c>
      <c r="AJ117" s="15" t="n">
        <v>224.592</v>
      </c>
      <c r="AK117" s="15" t="n">
        <v>323.661</v>
      </c>
      <c r="AL117" s="15" t="n">
        <v>452.452</v>
      </c>
      <c r="AM117" s="15" t="n">
        <v>605.2760000000001</v>
      </c>
      <c r="AN117" s="15" t="n">
        <v>765.48</v>
      </c>
      <c r="AO117" s="15">
        <f t="array" ref="AO117">_xll.BDP($B117,"EQY_FISCAL_YR_END")</f>
        <v/>
      </c>
      <c r="AP117" s="15" t="n">
        <v>2878185.023809524</v>
      </c>
      <c r="AQ117" s="15" t="n">
        <v>3794835.354166667</v>
      </c>
      <c r="AR117" s="15" t="n">
        <v>5029845</v>
      </c>
      <c r="AS117" s="15" t="n">
        <v>6247522.80952381</v>
      </c>
      <c r="AT117" s="15" t="n">
        <v>7440495.08</v>
      </c>
      <c r="AV117" s="15" t="n">
        <v>1309263.972222222</v>
      </c>
      <c r="AW117" s="15" t="n">
        <v>1894338.5</v>
      </c>
      <c r="AX117" s="15" t="n">
        <v>2731893.261904762</v>
      </c>
      <c r="AY117" s="15" t="n">
        <v>3374501.685714286</v>
      </c>
      <c r="AZ117" s="15" t="n">
        <v>3960696.368421053</v>
      </c>
      <c r="BB117" s="68" t="n">
        <v>-1701515.268377347</v>
      </c>
      <c r="BC117" s="68" t="n">
        <v>-1703273.701</v>
      </c>
      <c r="BD117" s="15" t="n">
        <v>1758.43262265216</v>
      </c>
      <c r="BE117" s="16" t="n">
        <v>2624188.047</v>
      </c>
    </row>
    <row r="118">
      <c r="A118" t="inlineStr">
        <is>
          <t>GFS</t>
        </is>
      </c>
      <c r="B118" t="inlineStr">
        <is>
          <t>GFS UW Equity</t>
        </is>
      </c>
      <c r="C118" s="15">
        <f t="array" ref="C118">_xll.BDP($B118,"short_name")</f>
        <v/>
      </c>
      <c r="D118" s="15" t="n">
        <v>24.32011990625</v>
      </c>
      <c r="E118" s="69" t="n">
        <v>43.75</v>
      </c>
      <c r="F118" s="70" t="n">
        <v>24.11797133406836</v>
      </c>
      <c r="G118" s="70" t="n">
        <v>18.63287904599659</v>
      </c>
      <c r="H118" s="70" t="n">
        <v>14.50596816976127</v>
      </c>
      <c r="I118" s="71" t="n">
        <v>-1.081004263382283</v>
      </c>
      <c r="J118" s="15" t="n">
        <v>7.234100000000001</v>
      </c>
      <c r="K118" s="72" t="n">
        <v>0.1592918722900337</v>
      </c>
      <c r="L118" s="72" t="n">
        <v>0.05955738144602473</v>
      </c>
      <c r="M118" s="72" t="n">
        <v>0.08959924267381569</v>
      </c>
      <c r="N118" s="72" t="n">
        <v>0.2233512872275609</v>
      </c>
      <c r="O118" s="72" t="n">
        <v>0.2261662157639597</v>
      </c>
      <c r="Q118" s="73" t="n">
        <v>0.2528638</v>
      </c>
      <c r="T118" s="68" t="n">
        <v>1.066382582942418</v>
      </c>
      <c r="AA118" s="72">
        <f t="array" ref="AA118">_xll.BDP(B118,"CHG_PCT_1YR")/100</f>
        <v/>
      </c>
      <c r="AB118" s="15" t="n">
        <v>797</v>
      </c>
      <c r="AC118" s="15" t="n">
        <v>1707</v>
      </c>
      <c r="AD118" s="15" t="n">
        <v>11983</v>
      </c>
      <c r="AE118" s="15" t="n">
        <v>1809</v>
      </c>
      <c r="AF118" s="16" t="n">
        <v>939</v>
      </c>
      <c r="AG118" s="15" t="n">
        <v>13690</v>
      </c>
      <c r="AH118" s="67" t="n">
        <v>0.05955738144602473</v>
      </c>
      <c r="AJ118" s="15" t="n">
        <v>1.532</v>
      </c>
      <c r="AK118" s="15" t="n">
        <v>1.636</v>
      </c>
      <c r="AL118" s="15" t="n">
        <v>1.814</v>
      </c>
      <c r="AM118" s="15" t="n">
        <v>2.348</v>
      </c>
      <c r="AN118" s="15" t="n">
        <v>3.016</v>
      </c>
      <c r="AO118" s="15">
        <f t="array" ref="AO118">_xll.BDP($B118,"EQY_FISCAL_YR_END")</f>
        <v/>
      </c>
      <c r="AP118" s="15" t="n">
        <v>6746.722222222223</v>
      </c>
      <c r="AQ118" s="15" t="n">
        <v>6764.45</v>
      </c>
      <c r="AR118" s="15" t="n">
        <v>7234.1</v>
      </c>
      <c r="AS118" s="15" t="n">
        <v>7945.578947368421</v>
      </c>
      <c r="AT118" s="15" t="n">
        <v>8750.5</v>
      </c>
      <c r="AV118" s="15" t="n">
        <v>903.75</v>
      </c>
      <c r="AW118" s="15" t="n">
        <v>1036.857142857143</v>
      </c>
      <c r="AX118" s="15" t="n">
        <v>1152.333333333333</v>
      </c>
      <c r="AY118" s="15" t="n">
        <v>1529.235294117647</v>
      </c>
      <c r="AZ118" s="15" t="n">
        <v>1898.333333333333</v>
      </c>
      <c r="BB118" s="68" t="n">
        <v>-77.67988009375</v>
      </c>
      <c r="BC118" s="68" t="n">
        <v>-102</v>
      </c>
      <c r="BD118" s="15" t="n">
        <v>24.32011990625</v>
      </c>
      <c r="BE118" s="16" t="n">
        <v>2111</v>
      </c>
    </row>
    <row r="119">
      <c r="C119" s="15" t="n"/>
      <c r="D119" s="15" t="n"/>
      <c r="E119" s="69" t="n"/>
      <c r="F119" s="70" t="n"/>
      <c r="G119" s="70" t="n"/>
      <c r="H119" s="70" t="n"/>
      <c r="I119" s="71" t="n"/>
      <c r="J119" s="15" t="n"/>
      <c r="K119" s="72" t="n"/>
      <c r="L119" s="72" t="n"/>
      <c r="M119" s="72" t="n"/>
      <c r="N119" s="72" t="n"/>
      <c r="O119" s="72" t="n"/>
      <c r="T119" s="68" t="n"/>
      <c r="AA119" s="72" t="n"/>
      <c r="AB119" s="15" t="n"/>
      <c r="AC119" s="15" t="n"/>
      <c r="AD119" s="15" t="n"/>
      <c r="AE119" s="15" t="n"/>
      <c r="AF119" s="16" t="n"/>
      <c r="AG119" s="15" t="n"/>
      <c r="AH119" s="67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V119" s="15" t="n"/>
      <c r="AW119" s="15" t="n"/>
      <c r="AX119" s="15" t="n"/>
      <c r="AY119" s="15" t="n"/>
      <c r="AZ119" s="15" t="n"/>
      <c r="BB119" s="68" t="n"/>
      <c r="BC119" s="68" t="n"/>
      <c r="BD119" s="15" t="n"/>
      <c r="BE119" s="16" t="n"/>
    </row>
    <row r="120">
      <c r="A120" s="36" t="inlineStr">
        <is>
          <t>Semi-cap</t>
        </is>
      </c>
    </row>
    <row r="121">
      <c r="A121" t="inlineStr">
        <is>
          <t>ASML</t>
        </is>
      </c>
      <c r="B121" t="inlineStr">
        <is>
          <t>ASML UW Equity</t>
        </is>
      </c>
      <c r="C121" s="15">
        <f t="array" ref="C121">_xll.BDP($B121,"short_name")</f>
        <v/>
      </c>
      <c r="D121" s="15" t="n">
        <v>511.27976062302</v>
      </c>
      <c r="E121" s="69" t="n">
        <v>1317.23</v>
      </c>
      <c r="F121" s="70" t="n">
        <v>44.77784954278138</v>
      </c>
      <c r="G121" s="70" t="n">
        <v>34.57841129836719</v>
      </c>
      <c r="H121" s="70" t="n">
        <v>29.43991238853005</v>
      </c>
      <c r="I121" s="71" t="n">
        <v>-0.6576949313402735</v>
      </c>
      <c r="J121" s="15" t="n">
        <v>37.65132558139535</v>
      </c>
      <c r="K121" s="72" t="n">
        <v>0.3584874521508829</v>
      </c>
      <c r="L121" s="72" t="n">
        <v>0.3781530207345341</v>
      </c>
      <c r="M121" s="72" t="n">
        <v>0.1483016107161348</v>
      </c>
      <c r="N121" s="72" t="n">
        <v>0.2055161755381809</v>
      </c>
      <c r="O121" s="72" t="n">
        <v>0.2159224696946984</v>
      </c>
      <c r="Q121" s="73" t="n">
        <v>0.2312172</v>
      </c>
      <c r="T121" s="68" t="n">
        <v>2.073792950131342</v>
      </c>
      <c r="AA121" s="72">
        <f t="array" ref="AA121">_xll.BDP(B121,"CHG_PCT_1YR")/100</f>
        <v/>
      </c>
      <c r="AB121" s="15" t="n">
        <v>12054</v>
      </c>
      <c r="AC121" s="15" t="n">
        <v>4451.7</v>
      </c>
      <c r="AD121" s="15" t="n">
        <v>24185</v>
      </c>
      <c r="AE121" s="15" t="n">
        <v>12916</v>
      </c>
      <c r="AF121" s="16" t="n">
        <v>1667.1</v>
      </c>
      <c r="AG121" s="15" t="n">
        <v>28636.7</v>
      </c>
      <c r="AH121" s="67" t="n">
        <v>0.3781530207345341</v>
      </c>
      <c r="AJ121" s="15" t="n">
        <v>19.071</v>
      </c>
      <c r="AK121" s="15" t="n">
        <v>24.889</v>
      </c>
      <c r="AL121" s="15" t="n">
        <v>29.417</v>
      </c>
      <c r="AM121" s="15" t="n">
        <v>38.094</v>
      </c>
      <c r="AN121" s="15" t="n">
        <v>44.743</v>
      </c>
      <c r="AO121" s="15">
        <f t="array" ref="AO121">_xll.BDP($B121,"EQY_FISCAL_YR_END")</f>
        <v/>
      </c>
      <c r="AP121" s="15" t="n">
        <v>28057.3</v>
      </c>
      <c r="AQ121" s="15" t="n">
        <v>32503.38461538462</v>
      </c>
      <c r="AR121" s="15" t="n">
        <v>37651.32558139535</v>
      </c>
      <c r="AS121" s="15" t="n">
        <v>44355.11904761905</v>
      </c>
      <c r="AT121" s="15" t="n">
        <v>49214.88888888888</v>
      </c>
      <c r="AV121" s="15" t="n">
        <v>8761.083333333334</v>
      </c>
      <c r="AW121" s="15" t="n">
        <v>11291.71875</v>
      </c>
      <c r="AX121" s="15" t="n">
        <v>13497.52777777778</v>
      </c>
      <c r="AY121" s="15" t="n">
        <v>17352.38888888889</v>
      </c>
      <c r="AZ121" s="15" t="n">
        <v>19782.40909090909</v>
      </c>
      <c r="BB121" s="68" t="n">
        <v>-7953.02023937698</v>
      </c>
      <c r="BC121" s="68" t="n">
        <v>-8464.299999999999</v>
      </c>
      <c r="BD121" s="15" t="n">
        <v>511.27976062302</v>
      </c>
      <c r="BE121" s="16" t="n">
        <v>13486.8</v>
      </c>
    </row>
    <row r="122">
      <c r="A122" t="inlineStr">
        <is>
          <t>AMAT</t>
        </is>
      </c>
      <c r="B122" t="inlineStr">
        <is>
          <t>AMAT UW Equity</t>
        </is>
      </c>
      <c r="C122" s="15">
        <f t="array" ref="C122">_xll.BDP($B122,"short_name")</f>
        <v/>
      </c>
      <c r="D122" s="15" t="n">
        <v>276.54923035349</v>
      </c>
      <c r="E122" s="69" t="n">
        <v>348.47</v>
      </c>
      <c r="F122" s="70" t="n">
        <v>31.50723327305606</v>
      </c>
      <c r="G122" s="70" t="n">
        <v>25.08061033539657</v>
      </c>
      <c r="H122" s="70" t="n">
        <v>23.04543350307519</v>
      </c>
      <c r="I122" s="71" t="n">
        <v>-0.157224470364199</v>
      </c>
      <c r="J122" s="15" t="n">
        <v>31.46390909090909</v>
      </c>
      <c r="K122" s="72" t="n">
        <v>0.3125316259417957</v>
      </c>
      <c r="L122" s="72" t="n">
        <v>0.2340690135871654</v>
      </c>
      <c r="M122" s="72" t="n">
        <v>0.1314616914327358</v>
      </c>
      <c r="N122" s="72" t="n">
        <v>0.1675122667418523</v>
      </c>
      <c r="O122" s="72" t="n">
        <v>0.1738297652045877</v>
      </c>
      <c r="Q122" s="73" t="n">
        <v>0.3559672</v>
      </c>
      <c r="T122" s="68" t="n">
        <v>1.812533845165921</v>
      </c>
      <c r="AA122" s="72">
        <f t="array" ref="AA122">_xll.BDP(B122,"CHG_PCT_1YR")/100</f>
        <v/>
      </c>
      <c r="AB122" s="15" t="n">
        <v>7945</v>
      </c>
      <c r="AC122" s="15" t="n">
        <v>7050</v>
      </c>
      <c r="AD122" s="15" t="n">
        <v>20415</v>
      </c>
      <c r="AE122" s="15" t="n">
        <v>7241</v>
      </c>
      <c r="AF122" s="16" t="n">
        <v>4327</v>
      </c>
      <c r="AG122" s="15" t="n">
        <v>27465</v>
      </c>
      <c r="AH122" s="67" t="n">
        <v>0.2340690135871654</v>
      </c>
      <c r="AJ122" s="15" t="n">
        <v>8.535</v>
      </c>
      <c r="AK122" s="15" t="n">
        <v>9.349</v>
      </c>
      <c r="AL122" s="15" t="n">
        <v>11.06</v>
      </c>
      <c r="AM122" s="15" t="n">
        <v>13.894</v>
      </c>
      <c r="AN122" s="15" t="n">
        <v>15.121</v>
      </c>
      <c r="AO122" s="15">
        <f t="array" ref="AO122">_xll.BDP($B122,"EQY_FISCAL_YR_END")</f>
        <v/>
      </c>
      <c r="AP122" s="15" t="n">
        <v>27100.59375</v>
      </c>
      <c r="AQ122" s="15" t="n">
        <v>28239.90322580645</v>
      </c>
      <c r="AR122" s="15" t="n">
        <v>31463.90909090909</v>
      </c>
      <c r="AS122" s="15" t="n">
        <v>37551.54545454546</v>
      </c>
      <c r="AT122" s="15" t="n">
        <v>40905.6</v>
      </c>
      <c r="AV122" s="15" t="n">
        <v>7887.137931034483</v>
      </c>
      <c r="AW122" s="15" t="n">
        <v>8511.5</v>
      </c>
      <c r="AX122" s="15" t="n">
        <v>9833.466666666665</v>
      </c>
      <c r="AY122" s="15" t="n">
        <v>12408.34482758621</v>
      </c>
      <c r="AZ122" s="15" t="n">
        <v>13545.35714285714</v>
      </c>
      <c r="BB122" s="68" t="n">
        <v>85.54923035349003</v>
      </c>
      <c r="BC122" s="68" t="n">
        <v>-191</v>
      </c>
      <c r="BD122" s="15" t="n">
        <v>276.54923035349</v>
      </c>
      <c r="BE122" s="16" t="n">
        <v>8402</v>
      </c>
    </row>
    <row r="123">
      <c r="A123" t="inlineStr">
        <is>
          <t>KLAC</t>
        </is>
      </c>
      <c r="B123" t="inlineStr">
        <is>
          <t>KLAC UW Equity</t>
        </is>
      </c>
      <c r="C123" s="15">
        <f t="array" ref="C123">_xll.BDP($B123,"short_name")</f>
        <v/>
      </c>
      <c r="D123" s="15" t="n">
        <v>198.82224662924</v>
      </c>
      <c r="E123" s="69" t="n">
        <v>1516.84</v>
      </c>
      <c r="F123" s="70" t="n">
        <v>41.40751255732692</v>
      </c>
      <c r="G123" s="70" t="n">
        <v>31.43775000518145</v>
      </c>
      <c r="H123" s="70" t="n">
        <v>27.68764602803738</v>
      </c>
      <c r="I123" s="71" t="n">
        <v>0.1505614586675151</v>
      </c>
      <c r="J123" s="15" t="n">
        <v>13.42092307692308</v>
      </c>
      <c r="K123" s="72" t="n">
        <v>0.4294071254986473</v>
      </c>
      <c r="L123" s="72" t="n">
        <v>0.4471322136250979</v>
      </c>
      <c r="M123" s="72" t="n">
        <v>0.1481920583677896</v>
      </c>
      <c r="N123" s="72" t="n">
        <v>0.1679791022111725</v>
      </c>
      <c r="O123" s="72" t="n">
        <v>0.190325860097547</v>
      </c>
      <c r="Q123" s="73" t="n">
        <v>0.2483458</v>
      </c>
      <c r="T123" s="68" t="n">
        <v>2.175611476869432</v>
      </c>
      <c r="AA123" s="72">
        <f t="array" ref="AA123">_xll.BDP(B123,"CHG_PCT_1YR")/100</f>
        <v/>
      </c>
      <c r="AB123" s="15" t="n">
        <v>5351.475</v>
      </c>
      <c r="AC123" s="15" t="n">
        <v>6088.282</v>
      </c>
      <c r="AD123" s="15" t="n">
        <v>4692.452999999999</v>
      </c>
      <c r="AE123" s="15" t="n">
        <v>2078.908</v>
      </c>
      <c r="AF123" s="16">
        <f>IF(ISNUMBER(_xlfn.SINGLE(_xll.BDP($B123,"BS_LONG_TERM_INVESTMENTS"))),_xlfn.SINGLE(_xll.BDP($B123,"BS_LONG_TERM_INVESTMENTS")),0)</f>
        <v/>
      </c>
      <c r="AG123" s="15" t="n">
        <v>10780.735</v>
      </c>
      <c r="AH123" s="67" t="n">
        <v>0.4471322136250979</v>
      </c>
      <c r="AJ123" s="15" t="n">
        <v>23.244</v>
      </c>
      <c r="AK123" s="15" t="n">
        <v>32.483</v>
      </c>
      <c r="AL123" s="15" t="n">
        <v>36.632</v>
      </c>
      <c r="AM123" s="15" t="n">
        <v>48.249</v>
      </c>
      <c r="AN123" s="15" t="n">
        <v>54.784</v>
      </c>
      <c r="AO123" s="15">
        <f t="array" ref="AO123">_xll.BDP($B123,"EQY_FISCAL_YR_END")</f>
        <v/>
      </c>
      <c r="AP123" s="15" t="n">
        <v>9757.666666666666</v>
      </c>
      <c r="AQ123" s="15" t="n">
        <v>12057.95454545455</v>
      </c>
      <c r="AR123" s="15" t="n">
        <v>13420.92307692308</v>
      </c>
      <c r="AS123" s="15" t="n">
        <v>16528.55555555555</v>
      </c>
      <c r="AT123" s="15" t="n">
        <v>18252.28571428571</v>
      </c>
      <c r="AV123" s="15" t="n">
        <v>3840.904761904762</v>
      </c>
      <c r="AW123" s="15" t="n">
        <v>5186.434782608696</v>
      </c>
      <c r="AX123" s="15" t="n">
        <v>5763.04</v>
      </c>
      <c r="AY123" s="15" t="n">
        <v>7474.68</v>
      </c>
      <c r="AZ123" s="15" t="n">
        <v>8263.692307692307</v>
      </c>
      <c r="BB123" s="68" t="n">
        <v>4208.19624662924</v>
      </c>
      <c r="BC123" s="68" t="n">
        <v>4009.374</v>
      </c>
      <c r="BD123" s="15" t="n">
        <v>198.82224662924</v>
      </c>
      <c r="BE123" s="16" t="n">
        <v>5991.002</v>
      </c>
    </row>
    <row r="124">
      <c r="A124" t="inlineStr">
        <is>
          <t>LRCX</t>
        </is>
      </c>
      <c r="B124" t="inlineStr">
        <is>
          <t>LRCX UW Equity</t>
        </is>
      </c>
      <c r="C124" s="15">
        <f t="array" ref="C124">_xll.BDP($B124,"short_name")</f>
        <v/>
      </c>
      <c r="D124" s="15" t="n">
        <v>272.78153724</v>
      </c>
      <c r="E124" s="69" t="n">
        <v>218.44</v>
      </c>
      <c r="F124" s="70" t="n">
        <v>40.99080502908613</v>
      </c>
      <c r="G124" s="70" t="n">
        <v>31.1345496009122</v>
      </c>
      <c r="H124" s="70" t="n">
        <v>27.55645263025104</v>
      </c>
      <c r="I124" s="71" t="n">
        <v>-0.2310458636440326</v>
      </c>
      <c r="J124" s="15" t="n">
        <v>22.4134</v>
      </c>
      <c r="K124" s="72" t="n">
        <v>0.3444411278161077</v>
      </c>
      <c r="L124" s="72" t="n">
        <v>0.4248195929431116</v>
      </c>
      <c r="M124" s="72" t="n">
        <v>0.1900748481170675</v>
      </c>
      <c r="N124" s="72" t="n">
        <v>0.2411328488432289</v>
      </c>
      <c r="O124" s="72" t="n">
        <v>0.2545108916092862</v>
      </c>
      <c r="Q124" s="73" t="n">
        <v>0.2760837</v>
      </c>
      <c r="T124" s="68" t="n">
        <v>1.610571742918311</v>
      </c>
      <c r="AA124" s="72">
        <f t="array" ref="AA124">_xll.BDP(B124,"CHG_PCT_1YR")/100</f>
        <v/>
      </c>
      <c r="AB124" s="15" t="n">
        <v>6942.178</v>
      </c>
      <c r="AC124" s="15" t="n">
        <v>4756.555</v>
      </c>
      <c r="AD124" s="15" t="n">
        <v>9861.618999999999</v>
      </c>
      <c r="AE124" s="15" t="n">
        <v>6390.659</v>
      </c>
      <c r="AF124" s="16">
        <f>IF(ISNUMBER(_xlfn.SINGLE(_xll.BDP($B124,"BS_LONG_TERM_INVESTMENTS"))),_xlfn.SINGLE(_xll.BDP($B124,"BS_LONG_TERM_INVESTMENTS")),0)</f>
        <v/>
      </c>
      <c r="AG124" s="15" t="n">
        <v>14618.174</v>
      </c>
      <c r="AH124" s="67" t="n">
        <v>0.4248195929431116</v>
      </c>
      <c r="AJ124" s="15" t="n">
        <v>2.977</v>
      </c>
      <c r="AK124" s="15" t="n">
        <v>4.015</v>
      </c>
      <c r="AL124" s="15" t="n">
        <v>5.329</v>
      </c>
      <c r="AM124" s="15" t="n">
        <v>7.016</v>
      </c>
      <c r="AN124" s="15" t="n">
        <v>7.927</v>
      </c>
      <c r="AO124" s="15">
        <f t="array" ref="AO124">_xll.BDP($B124,"EQY_FISCAL_YR_END")</f>
        <v/>
      </c>
      <c r="AP124" s="15" t="n">
        <v>14869.96153846154</v>
      </c>
      <c r="AQ124" s="15" t="n">
        <v>18262.03225806452</v>
      </c>
      <c r="AR124" s="15" t="n">
        <v>22413.4</v>
      </c>
      <c r="AS124" s="15" t="n">
        <v>27927.53333333333</v>
      </c>
      <c r="AT124" s="15" t="n">
        <v>30780.23529411765</v>
      </c>
      <c r="AV124" s="15" t="n">
        <v>4436.296296296297</v>
      </c>
      <c r="AW124" s="15" t="n">
        <v>5858.448275862069</v>
      </c>
      <c r="AX124" s="15" t="n">
        <v>7720.096774193548</v>
      </c>
      <c r="AY124" s="15" t="n">
        <v>10072.36666666667</v>
      </c>
      <c r="AZ124" s="15" t="n">
        <v>11200.5</v>
      </c>
      <c r="BB124" s="68" t="n">
        <v>-1361.322462759999</v>
      </c>
      <c r="BC124" s="68" t="n">
        <v>-1634.103999999999</v>
      </c>
      <c r="BD124" s="15" t="n">
        <v>272.78153724</v>
      </c>
      <c r="BE124" s="16" t="n">
        <v>7343.529</v>
      </c>
    </row>
    <row r="125">
      <c r="A125" t="inlineStr">
        <is>
          <t>ONTO</t>
        </is>
      </c>
      <c r="B125" t="inlineStr">
        <is>
          <t>ONTO UN Equity</t>
        </is>
      </c>
      <c r="C125" s="15">
        <f t="array" ref="C125">_xll.BDP($B125,"short_name")</f>
        <v/>
      </c>
      <c r="D125" s="15" t="n">
        <v>10.71234986633</v>
      </c>
      <c r="E125" s="69" t="n">
        <v>215.53</v>
      </c>
      <c r="F125" s="70" t="n">
        <v>33.00612557427259</v>
      </c>
      <c r="G125" s="70" t="n">
        <v>25.84602470320182</v>
      </c>
      <c r="H125" s="70" t="n">
        <v>23.81546961325967</v>
      </c>
      <c r="I125" s="71" t="n">
        <v>-3.181296148575402</v>
      </c>
      <c r="J125" s="15" t="n">
        <v>1.255375</v>
      </c>
      <c r="K125" s="72" t="n">
        <v>0.2921437817385243</v>
      </c>
      <c r="L125" s="72" t="n">
        <v>0.05565578979445024</v>
      </c>
      <c r="M125" s="72" t="n">
        <v>0.181193957104504</v>
      </c>
      <c r="N125" s="72" t="n">
        <v>0.3013083358851127</v>
      </c>
      <c r="O125" s="72" t="n">
        <v>0.2203181729276464</v>
      </c>
      <c r="Q125" s="73" t="n">
        <v>0.3653237</v>
      </c>
      <c r="T125" s="68" t="n">
        <v>1.498111805107968</v>
      </c>
      <c r="AA125" s="72">
        <f t="array" ref="AA125">_xll.BDP(B125,"CHG_PCT_1YR")/100</f>
        <v/>
      </c>
      <c r="AB125" s="15" t="n">
        <v>132.927</v>
      </c>
      <c r="AC125" s="15" t="n">
        <v>17.475</v>
      </c>
      <c r="AD125" s="15" t="n">
        <v>2100.647</v>
      </c>
      <c r="AE125" s="15" t="n">
        <v>346.119</v>
      </c>
      <c r="AF125" s="16">
        <f>IF(ISNUMBER(_xlfn.SINGLE(_xll.BDP($B125,"BS_LONG_TERM_INVESTMENTS"))),_xlfn.SINGLE(_xll.BDP($B125,"BS_LONG_TERM_INVESTMENTS")),0)</f>
        <v/>
      </c>
      <c r="AG125" s="15" t="n">
        <v>2118.122</v>
      </c>
      <c r="AH125" s="67" t="n">
        <v>0.05565578979445024</v>
      </c>
      <c r="AJ125" s="15" t="n">
        <v>5.238</v>
      </c>
      <c r="AK125" s="15" t="n">
        <v>4.98</v>
      </c>
      <c r="AL125" s="15" t="n">
        <v>6.53</v>
      </c>
      <c r="AM125" s="15" t="n">
        <v>8.339</v>
      </c>
      <c r="AN125" s="15" t="n">
        <v>9.050000000000001</v>
      </c>
      <c r="AO125" s="15">
        <f t="array" ref="AO125">_xll.BDP($B125,"EQY_FISCAL_YR_END")</f>
        <v/>
      </c>
      <c r="AP125" s="15" t="n">
        <v>983.25</v>
      </c>
      <c r="AQ125" s="15" t="n">
        <v>1005.142857142857</v>
      </c>
      <c r="AR125" s="15" t="n">
        <v>1255.375</v>
      </c>
      <c r="AS125" s="15" t="n">
        <v>1455.375</v>
      </c>
      <c r="AT125" s="15" t="n">
        <v>1656.5</v>
      </c>
      <c r="AV125" s="15" t="n">
        <v>266.5714285714286</v>
      </c>
      <c r="AW125" s="15" t="n">
        <v>254.125</v>
      </c>
      <c r="AX125" s="15" t="n">
        <v>366.75</v>
      </c>
      <c r="AY125" s="15" t="n">
        <v>470.75</v>
      </c>
      <c r="AZ125" s="15" t="n">
        <v>560</v>
      </c>
      <c r="BB125" s="68" t="n">
        <v>-317.93165013367</v>
      </c>
      <c r="BC125" s="68" t="n">
        <v>-328.644</v>
      </c>
      <c r="BD125" s="15" t="n">
        <v>10.71234986633</v>
      </c>
      <c r="BE125" s="16" t="n">
        <v>200.366</v>
      </c>
    </row>
    <row r="126">
      <c r="AA126" s="72" t="n"/>
    </row>
    <row r="127">
      <c r="A127" s="36" t="inlineStr">
        <is>
          <t>Analog</t>
        </is>
      </c>
      <c r="AA127" s="72" t="n"/>
    </row>
    <row r="128">
      <c r="A128" t="inlineStr">
        <is>
          <t>TXN</t>
        </is>
      </c>
      <c r="B128" t="inlineStr">
        <is>
          <t>TXN UW Equity</t>
        </is>
      </c>
      <c r="C128" s="15">
        <f t="array" ref="C128">_xll.BDP($B128,"short_name")</f>
        <v/>
      </c>
      <c r="D128" s="15" t="n">
        <v>177.42199827599</v>
      </c>
      <c r="E128" s="69" t="n">
        <v>194.87</v>
      </c>
      <c r="F128" s="70" t="n">
        <v>30.05397902529303</v>
      </c>
      <c r="G128" s="70" t="n">
        <v>24.9130657120941</v>
      </c>
      <c r="H128" s="70" t="n">
        <v>19.32850624876017</v>
      </c>
      <c r="I128" s="71" t="n">
        <v>1.233856893542757</v>
      </c>
      <c r="J128" s="15" t="n">
        <v>19.52989189189189</v>
      </c>
      <c r="K128" s="72" t="n">
        <v>0.3631511669169812</v>
      </c>
      <c r="L128" s="72" t="n">
        <v>0.1737826248977697</v>
      </c>
      <c r="M128" s="72" t="n">
        <v>0.1128426344332814</v>
      </c>
      <c r="N128" s="72" t="n">
        <v>0.1845662944470265</v>
      </c>
      <c r="O128" s="72" t="n">
        <v>0.2116363216142532</v>
      </c>
      <c r="Q128" s="73" t="n">
        <v>0.1232347</v>
      </c>
      <c r="T128" s="68" t="n">
        <v>1.420076610482393</v>
      </c>
      <c r="AA128" s="72">
        <f t="array" ref="AA128">_xll.BDP(B128,"CHG_PCT_1YR")/100</f>
        <v/>
      </c>
      <c r="AB128" s="15" t="n">
        <v>6023</v>
      </c>
      <c r="AC128" s="15" t="n">
        <v>14779</v>
      </c>
      <c r="AD128" s="15" t="n">
        <v>16273</v>
      </c>
      <c r="AE128" s="15" t="n">
        <v>3225</v>
      </c>
      <c r="AF128" s="16" t="n">
        <v>16</v>
      </c>
      <c r="AG128" s="15" t="n">
        <v>31052</v>
      </c>
      <c r="AH128" s="67" t="n">
        <v>0.1737826248977697</v>
      </c>
      <c r="AJ128" s="15" t="n">
        <v>5.087</v>
      </c>
      <c r="AK128" s="15" t="n">
        <v>5.668</v>
      </c>
      <c r="AL128" s="15" t="n">
        <v>6.484</v>
      </c>
      <c r="AM128" s="15" t="n">
        <v>7.822</v>
      </c>
      <c r="AN128" s="15" t="n">
        <v>10.082</v>
      </c>
      <c r="AO128" s="15">
        <f t="array" ref="AO128">_xll.BDP($B128,"EQY_FISCAL_YR_END")</f>
        <v/>
      </c>
      <c r="AP128" s="15" t="n">
        <v>15491.58620689655</v>
      </c>
      <c r="AQ128" s="15" t="n">
        <v>17687.11428571429</v>
      </c>
      <c r="AR128" s="15" t="n">
        <v>19529.89189189189</v>
      </c>
      <c r="AS128" s="15" t="n">
        <v>21596.69444444444</v>
      </c>
      <c r="AT128" s="15" t="n">
        <v>24375.76470588235</v>
      </c>
      <c r="AV128" s="15" t="n">
        <v>5337.592592592592</v>
      </c>
      <c r="AW128" s="15" t="n">
        <v>6043.548387096774</v>
      </c>
      <c r="AX128" s="15" t="n">
        <v>7092.30303030303</v>
      </c>
      <c r="AY128" s="15" t="n">
        <v>8389</v>
      </c>
      <c r="AZ128" s="15" t="n">
        <v>10045.46666666667</v>
      </c>
      <c r="BB128" s="68" t="n">
        <v>11731.42199827599</v>
      </c>
      <c r="BC128" s="68" t="n">
        <v>11554</v>
      </c>
      <c r="BD128" s="15" t="n">
        <v>177.42199827599</v>
      </c>
      <c r="BE128" s="16" t="n">
        <v>8124</v>
      </c>
    </row>
    <row r="129">
      <c r="A129" t="inlineStr">
        <is>
          <t>ADI</t>
        </is>
      </c>
      <c r="B129" t="inlineStr">
        <is>
          <t>ADI UW Equity</t>
        </is>
      </c>
      <c r="C129" s="15">
        <f t="array" ref="C129">_xll.BDP($B129,"short_name")</f>
        <v/>
      </c>
      <c r="D129" s="15" t="n">
        <v>155.41491133938</v>
      </c>
      <c r="E129" s="69" t="n">
        <v>318.34</v>
      </c>
      <c r="F129" s="70" t="n">
        <v>27.70342006787921</v>
      </c>
      <c r="G129" s="70" t="n">
        <v>24.40134907251264</v>
      </c>
      <c r="H129" s="70" t="n">
        <v>21.31645908664791</v>
      </c>
      <c r="I129" s="71" t="n">
        <v>0.845615301098153</v>
      </c>
      <c r="J129" s="15" t="n">
        <v>14.01379310344828</v>
      </c>
      <c r="K129" s="72" t="n">
        <v>0.4689173228346456</v>
      </c>
      <c r="L129" s="72" t="n">
        <v>0.06633264580699764</v>
      </c>
      <c r="M129" s="72" t="n">
        <v>0.1314342494620684</v>
      </c>
      <c r="N129" s="72" t="n">
        <v>0.2188154921592664</v>
      </c>
      <c r="O129" s="72" t="n">
        <v>0.242207978194078</v>
      </c>
      <c r="Q129" s="73" t="n">
        <v>0.17382</v>
      </c>
      <c r="T129" s="68" t="n">
        <v>1.143786438185815</v>
      </c>
      <c r="AA129" s="72">
        <f t="array" ref="AA129">_xll.BDP(B129,"CHG_PCT_1YR")/100</f>
        <v/>
      </c>
      <c r="AB129" s="15" t="n">
        <v>3438.21</v>
      </c>
      <c r="AC129" s="15" t="n">
        <v>8948.513999999999</v>
      </c>
      <c r="AD129" s="15" t="n">
        <v>33815.755</v>
      </c>
      <c r="AE129" s="15" t="n">
        <v>2499.406</v>
      </c>
      <c r="AF129" s="16">
        <f>IF(ISNUMBER(_xlfn.SINGLE(_xll.BDP($B129,"BS_LONG_TERM_INVESTMENTS"))),_xlfn.SINGLE(_xll.BDP($B129,"BS_LONG_TERM_INVESTMENTS")),0)</f>
        <v/>
      </c>
      <c r="AG129" s="15" t="n">
        <v>42764.269</v>
      </c>
      <c r="AH129" s="67" t="n">
        <v>0.06633264580699764</v>
      </c>
      <c r="AJ129" s="15" t="n">
        <v>6.343</v>
      </c>
      <c r="AK129" s="15" t="n">
        <v>7.791</v>
      </c>
      <c r="AL129" s="15" t="n">
        <v>11.491</v>
      </c>
      <c r="AM129" s="15" t="n">
        <v>13.046</v>
      </c>
      <c r="AN129" s="15" t="n">
        <v>14.934</v>
      </c>
      <c r="AO129" s="15">
        <f t="array" ref="AO129">_xll.BDP($B129,"EQY_FISCAL_YR_END")</f>
        <v/>
      </c>
      <c r="AP129" s="15" t="n">
        <v>9387.695652173914</v>
      </c>
      <c r="AQ129" s="15" t="n">
        <v>10957.51612903226</v>
      </c>
      <c r="AR129" s="15" t="n">
        <v>14013.79310344828</v>
      </c>
      <c r="AS129" s="15" t="n">
        <v>15423.48275862069</v>
      </c>
      <c r="AT129" s="15" t="n">
        <v>15870.84615384615</v>
      </c>
      <c r="AV129" s="15" t="n">
        <v>3835.52</v>
      </c>
      <c r="AW129" s="15" t="n">
        <v>4600.5</v>
      </c>
      <c r="AX129" s="15" t="n">
        <v>6571.310344827586</v>
      </c>
      <c r="AY129" s="15" t="n">
        <v>7405.642857142858</v>
      </c>
      <c r="AZ129" s="15" t="n">
        <v>8329.5</v>
      </c>
      <c r="BB129" s="68" t="n">
        <v>6604.522911339379</v>
      </c>
      <c r="BC129" s="68" t="n">
        <v>6449.107999999999</v>
      </c>
      <c r="BD129" s="15" t="n">
        <v>155.41491133938</v>
      </c>
      <c r="BE129" s="16" t="n">
        <v>5479.293</v>
      </c>
    </row>
    <row r="130">
      <c r="A130" t="inlineStr">
        <is>
          <t>MPWR</t>
        </is>
      </c>
      <c r="B130" t="inlineStr">
        <is>
          <t>MPWR UW Equity</t>
        </is>
      </c>
      <c r="C130" s="15">
        <f t="array" ref="C130">_xll.BDP($B130,"short_name")</f>
        <v/>
      </c>
      <c r="D130" s="15" t="n">
        <v>54.93799182</v>
      </c>
      <c r="E130" s="69" t="n">
        <v>1118.49</v>
      </c>
      <c r="F130" s="70" t="n">
        <v>51.99377091855708</v>
      </c>
      <c r="G130" s="70" t="n">
        <v>43.18327477703563</v>
      </c>
      <c r="H130" s="70" t="n">
        <v>36.89803054794972</v>
      </c>
      <c r="I130" s="71" t="n">
        <v>-1.567270544609225</v>
      </c>
      <c r="J130" s="15" t="n">
        <v>3.389</v>
      </c>
      <c r="K130" s="72" t="n">
        <v>0.3605230156388315</v>
      </c>
      <c r="L130" s="72" t="n">
        <v>0.2725764535685017</v>
      </c>
      <c r="M130" s="72" t="n">
        <v>0.1803122500243048</v>
      </c>
      <c r="N130" s="72" t="n">
        <v>0.1986098259808802</v>
      </c>
      <c r="O130" s="72" t="n">
        <v>0.1962891207513211</v>
      </c>
      <c r="Q130" s="73" t="n">
        <v>0.2340461</v>
      </c>
      <c r="T130" s="68" t="n">
        <v>2.648836100520723</v>
      </c>
      <c r="AA130" s="72">
        <f t="array" ref="AA130">_xll.BDP(B130,"CHG_PCT_1YR")/100</f>
        <v/>
      </c>
      <c r="AB130" s="15" t="n">
        <v>728.636</v>
      </c>
      <c r="AC130" s="15" t="n">
        <v>24.103</v>
      </c>
      <c r="AD130" s="15" t="n">
        <v>3531.497</v>
      </c>
      <c r="AE130" s="15" t="n">
        <v>1099.302</v>
      </c>
      <c r="AF130" s="16" t="n">
        <v>0.049</v>
      </c>
      <c r="AG130" s="15" t="n">
        <v>3555.6</v>
      </c>
      <c r="AH130" s="67" t="n">
        <v>0.2725764535685017</v>
      </c>
      <c r="AJ130" s="15" t="n">
        <v>14.022</v>
      </c>
      <c r="AK130" s="15" t="n">
        <v>17.706</v>
      </c>
      <c r="AL130" s="15" t="n">
        <v>21.512</v>
      </c>
      <c r="AM130" s="15" t="n">
        <v>25.901</v>
      </c>
      <c r="AN130" s="15" t="n">
        <v>30.313</v>
      </c>
      <c r="AO130" s="15">
        <f t="array" ref="AO130">_xll.BDP($B130,"EQY_FISCAL_YR_END")</f>
        <v/>
      </c>
      <c r="AP130" s="15" t="n">
        <v>2195.357142857143</v>
      </c>
      <c r="AQ130" s="15" t="n">
        <v>2780.8</v>
      </c>
      <c r="AR130" s="15" t="n">
        <v>3389</v>
      </c>
      <c r="AS130" s="15" t="n">
        <v>3981.0625</v>
      </c>
      <c r="AT130" s="15" t="n">
        <v>4572.571428571428</v>
      </c>
      <c r="AV130" s="15" t="n">
        <v>759.5714285714286</v>
      </c>
      <c r="AW130" s="15" t="n">
        <v>977.6</v>
      </c>
      <c r="AX130" s="15" t="n">
        <v>1221.8125</v>
      </c>
      <c r="AY130" s="15" t="n">
        <v>1482.3125</v>
      </c>
      <c r="AZ130" s="15" t="n">
        <v>1683.428571428572</v>
      </c>
      <c r="BB130" s="68" t="n">
        <v>-1020.26100818</v>
      </c>
      <c r="BC130" s="68" t="n">
        <v>-1075.199</v>
      </c>
      <c r="BD130" s="15" t="n">
        <v>54.93799182</v>
      </c>
      <c r="BE130" s="16" t="n">
        <v>786.362</v>
      </c>
    </row>
    <row r="131">
      <c r="D131" s="15" t="n"/>
      <c r="AA131" s="72" t="n"/>
    </row>
    <row r="132">
      <c r="A132" s="36" t="inlineStr">
        <is>
          <t>Memory</t>
        </is>
      </c>
      <c r="C132" s="15" t="n"/>
      <c r="D132" s="15" t="n"/>
      <c r="E132" s="69" t="n"/>
      <c r="F132" s="70" t="n"/>
      <c r="G132" s="70" t="n"/>
      <c r="H132" s="70" t="n"/>
      <c r="I132" s="71" t="n"/>
      <c r="J132" s="15" t="n"/>
      <c r="K132" s="72" t="n"/>
      <c r="L132" s="72" t="n"/>
      <c r="M132" s="72" t="n"/>
      <c r="N132" s="72" t="n"/>
      <c r="O132" s="72" t="n"/>
      <c r="T132" s="68" t="n"/>
      <c r="AA132" s="72" t="n"/>
      <c r="AB132" s="15" t="n"/>
      <c r="AC132" s="15" t="n"/>
      <c r="AD132" s="15" t="n"/>
      <c r="AE132" s="15" t="n"/>
      <c r="AF132" s="16" t="n"/>
      <c r="AG132" s="15" t="n"/>
      <c r="AH132" s="67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V132" s="15" t="n"/>
      <c r="AW132" s="15" t="n"/>
      <c r="AX132" s="15" t="n"/>
      <c r="AY132" s="15" t="n"/>
      <c r="AZ132" s="15" t="n"/>
      <c r="BB132" s="68" t="n"/>
      <c r="BC132" s="68" t="n"/>
      <c r="BD132" s="15" t="n"/>
      <c r="BE132" s="16" t="n"/>
    </row>
    <row r="133">
      <c r="A133" t="inlineStr">
        <is>
          <t>MU</t>
        </is>
      </c>
      <c r="B133" t="inlineStr">
        <is>
          <t>MU UW Equity</t>
        </is>
      </c>
      <c r="C133" s="15">
        <f t="array" ref="C133">_xll.BDP($B133,"short_name")</f>
        <v/>
      </c>
      <c r="D133" s="15" t="n">
        <v>413.02131883824</v>
      </c>
      <c r="E133" s="69" t="n">
        <v>366.24</v>
      </c>
      <c r="F133" s="70" t="n">
        <v>6.508734827347207</v>
      </c>
      <c r="G133" s="70" t="n">
        <v>3.890954677772348</v>
      </c>
      <c r="H133" s="70" t="n">
        <v>4.398539584934666</v>
      </c>
      <c r="I133" s="71" t="n">
        <v>-0.1577409141341704</v>
      </c>
      <c r="J133" s="15" t="n">
        <v>105.1170888888889</v>
      </c>
      <c r="K133" s="72" t="n">
        <v>0.7195614033789621</v>
      </c>
      <c r="L133" s="72" t="n">
        <v>0.3284829009418175</v>
      </c>
      <c r="M133" s="72" t="n">
        <v>0.6216210774147679</v>
      </c>
      <c r="N133" s="72" t="n">
        <v>1.227395556503717</v>
      </c>
      <c r="O133" s="72" t="n">
        <v>1.177373924371498</v>
      </c>
      <c r="Q133" s="73" t="n">
        <v>0.2832066</v>
      </c>
      <c r="T133" s="68" t="n">
        <v>0.05528179869298261</v>
      </c>
      <c r="AA133" s="72">
        <f t="array" ref="AA133">_xll.BDP(B133,"CHG_PCT_1YR")/100</f>
        <v/>
      </c>
      <c r="AB133" s="15" t="n">
        <v>28094</v>
      </c>
      <c r="AC133" s="15" t="n">
        <v>15352</v>
      </c>
      <c r="AD133" s="15" t="n">
        <v>54165</v>
      </c>
      <c r="AE133" s="15" t="n">
        <v>9642</v>
      </c>
      <c r="AF133" s="16" t="n">
        <v>1629</v>
      </c>
      <c r="AG133" s="15" t="n">
        <v>69517</v>
      </c>
      <c r="AH133" s="67" t="n">
        <v>0.3284829009418175</v>
      </c>
      <c r="AJ133" s="15" t="n">
        <v>1.226</v>
      </c>
      <c r="AK133" s="15" t="n">
        <v>8.066000000000001</v>
      </c>
      <c r="AL133" s="15" t="n">
        <v>56.269</v>
      </c>
      <c r="AM133" s="15" t="n">
        <v>94.126</v>
      </c>
      <c r="AN133" s="15" t="n">
        <v>83.264</v>
      </c>
      <c r="AO133" s="15">
        <f t="array" ref="AO133">_xll.BDP($B133,"EQY_FISCAL_YR_END")</f>
        <v/>
      </c>
      <c r="AP133" s="15" t="n">
        <v>25034.5625</v>
      </c>
      <c r="AQ133" s="15" t="n">
        <v>37177.15384615384</v>
      </c>
      <c r="AR133" s="15" t="n">
        <v>105117.0888888889</v>
      </c>
      <c r="AS133" s="15" t="n">
        <v>160766.0681818182</v>
      </c>
      <c r="AT133" s="15" t="n">
        <v>158534.68</v>
      </c>
      <c r="AV133" s="15" t="n">
        <v>1669.333333333333</v>
      </c>
      <c r="AW133" s="15" t="n">
        <v>10507.96296296296</v>
      </c>
      <c r="AX133" s="15" t="n">
        <v>75638.2</v>
      </c>
      <c r="AY133" s="15" t="n">
        <v>128863.0588235294</v>
      </c>
      <c r="AZ133" s="15" t="n">
        <v>116120.95</v>
      </c>
      <c r="BB133" s="68" t="n">
        <v>6123.02131883824</v>
      </c>
      <c r="BC133" s="68" t="n">
        <v>5710</v>
      </c>
      <c r="BD133" s="15" t="n">
        <v>413.02131883824</v>
      </c>
      <c r="BE133" s="16" t="n">
        <v>36953</v>
      </c>
    </row>
    <row r="134">
      <c r="C134" s="15" t="n"/>
      <c r="D134" s="15" t="n"/>
      <c r="E134" s="69" t="n"/>
      <c r="F134" s="70" t="n"/>
      <c r="G134" s="70" t="n"/>
      <c r="H134" s="70" t="n"/>
      <c r="I134" s="71" t="n"/>
      <c r="J134" s="15" t="n"/>
      <c r="K134" s="72" t="n"/>
      <c r="L134" s="72" t="n"/>
      <c r="M134" s="72" t="n"/>
      <c r="N134" s="72" t="n"/>
      <c r="O134" s="72" t="n"/>
      <c r="T134" s="68" t="n"/>
      <c r="AA134" s="72" t="n"/>
      <c r="AB134" s="15" t="n"/>
      <c r="AC134" s="15" t="n"/>
      <c r="AD134" s="15" t="n"/>
      <c r="AE134" s="15" t="n"/>
      <c r="AF134" s="16" t="n"/>
      <c r="AG134" s="15" t="n"/>
      <c r="AH134" s="67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V134" s="15" t="n"/>
      <c r="AW134" s="15" t="n"/>
      <c r="AX134" s="15" t="n"/>
      <c r="AY134" s="15" t="n"/>
      <c r="AZ134" s="15" t="n"/>
      <c r="BB134" s="68" t="n"/>
      <c r="BC134" s="68" t="n"/>
      <c r="BD134" s="15" t="n"/>
      <c r="BE134" s="16" t="n"/>
    </row>
    <row r="135">
      <c r="A135" s="36" t="inlineStr">
        <is>
          <t>Other</t>
        </is>
      </c>
      <c r="C135" s="15" t="n"/>
      <c r="D135" s="15" t="n"/>
      <c r="E135" s="69" t="n"/>
      <c r="F135" s="70" t="n"/>
      <c r="G135" s="70" t="n"/>
      <c r="H135" s="70" t="n"/>
      <c r="I135" s="71" t="n"/>
      <c r="J135" s="15" t="n"/>
      <c r="K135" s="72" t="n"/>
      <c r="L135" s="72" t="n"/>
      <c r="M135" s="72" t="n"/>
      <c r="N135" s="72" t="n"/>
      <c r="O135" s="72" t="n"/>
      <c r="T135" s="68" t="n"/>
      <c r="AA135" s="72" t="n"/>
      <c r="AB135" s="15" t="n"/>
      <c r="AC135" s="15" t="n"/>
      <c r="AD135" s="15" t="n"/>
      <c r="AE135" s="15" t="n"/>
      <c r="AF135" s="16" t="n"/>
      <c r="AG135" s="15" t="n"/>
      <c r="AH135" s="67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V135" s="15" t="n"/>
      <c r="AW135" s="15" t="n"/>
      <c r="AX135" s="15" t="n"/>
      <c r="AY135" s="15" t="n"/>
      <c r="AZ135" s="15" t="n"/>
      <c r="BB135" s="68" t="n"/>
      <c r="BC135" s="68" t="n"/>
      <c r="BD135" s="15" t="n"/>
      <c r="BE135" s="16" t="n"/>
    </row>
    <row r="136">
      <c r="A136" t="inlineStr">
        <is>
          <t>NXPI</t>
        </is>
      </c>
      <c r="B136" t="inlineStr">
        <is>
          <t>NXPI UW Equity</t>
        </is>
      </c>
      <c r="C136" s="15">
        <f t="array" ref="C136">_xll.BDP($B136,"short_name")</f>
        <v/>
      </c>
      <c r="D136" s="15" t="n">
        <v>49.16139299475</v>
      </c>
      <c r="E136" s="69" t="n">
        <v>194.55</v>
      </c>
      <c r="F136" s="70" t="n">
        <v>13.9402407566638</v>
      </c>
      <c r="G136" s="70" t="n">
        <v>11.62116958365689</v>
      </c>
      <c r="H136" s="70" t="n">
        <v>10.03766381178413</v>
      </c>
      <c r="I136" s="71" t="n">
        <v>2.379221448827017</v>
      </c>
      <c r="J136" s="15" t="n">
        <v>13.54765517241379</v>
      </c>
      <c r="K136" s="72" t="n">
        <v>0.3450753269821081</v>
      </c>
      <c r="L136" s="72" t="n">
        <v>0.115086347733377</v>
      </c>
      <c r="M136" s="72" t="n">
        <v>0.09407154722689381</v>
      </c>
      <c r="N136" s="72" t="n">
        <v>0.1407132675689515</v>
      </c>
      <c r="O136" s="72" t="n">
        <v>0.1807506298610304</v>
      </c>
      <c r="Q136" s="73" t="n">
        <v>-0.103704</v>
      </c>
      <c r="T136" s="68" t="n">
        <v>0.7712416143380365</v>
      </c>
      <c r="AA136" s="72">
        <f t="array" ref="AA136">_xll.BDP(B136,"CHG_PCT_1YR")/100</f>
        <v/>
      </c>
      <c r="AB136" s="15" t="n">
        <v>3047</v>
      </c>
      <c r="AC136" s="15" t="n">
        <v>12496</v>
      </c>
      <c r="AD136" s="15" t="n">
        <v>10451</v>
      </c>
      <c r="AE136" s="15" t="n">
        <v>3267</v>
      </c>
      <c r="AF136" s="16">
        <f>IF(ISNUMBER(_xlfn.SINGLE(_xll.BDP($B136,"BS_LONG_TERM_INVESTMENTS"))),_xlfn.SINGLE(_xll.BDP($B136,"BS_LONG_TERM_INVESTMENTS")),0)</f>
        <v/>
      </c>
      <c r="AG136" s="15" t="n">
        <v>22947</v>
      </c>
      <c r="AH136" s="67" t="n">
        <v>0.115086347733377</v>
      </c>
      <c r="AJ136" s="15" t="n">
        <v>13.048</v>
      </c>
      <c r="AK136" s="15" t="n">
        <v>11.774</v>
      </c>
      <c r="AL136" s="15" t="n">
        <v>13.956</v>
      </c>
      <c r="AM136" s="15" t="n">
        <v>16.741</v>
      </c>
      <c r="AN136" s="15" t="n">
        <v>19.382</v>
      </c>
      <c r="AO136" s="15">
        <f t="array" ref="AO136">_xll.BDP($B136,"EQY_FISCAL_YR_END")</f>
        <v/>
      </c>
      <c r="AP136" s="15" t="n">
        <v>12609.76666666667</v>
      </c>
      <c r="AQ136" s="15" t="n">
        <v>12238.6</v>
      </c>
      <c r="AR136" s="15" t="n">
        <v>13547.65517241379</v>
      </c>
      <c r="AS136" s="15" t="n">
        <v>14926.89285714286</v>
      </c>
      <c r="AT136" s="15" t="n">
        <v>16027.61538461538</v>
      </c>
      <c r="AV136" s="15" t="n">
        <v>4353.875</v>
      </c>
      <c r="AW136" s="15" t="n">
        <v>4058.038461538462</v>
      </c>
      <c r="AX136" s="15" t="n">
        <v>4674.961538461538</v>
      </c>
      <c r="AY136" s="15" t="n">
        <v>5469.2</v>
      </c>
      <c r="AZ136" s="15" t="n">
        <v>6023.454545454545</v>
      </c>
      <c r="BB136" s="68" t="n">
        <v>9278.161392994751</v>
      </c>
      <c r="BC136" s="68" t="n">
        <v>9229</v>
      </c>
      <c r="BD136" s="15" t="n">
        <v>49.16139299475</v>
      </c>
      <c r="BE136" s="16" t="n">
        <v>3945</v>
      </c>
    </row>
    <row r="137">
      <c r="A137" t="inlineStr">
        <is>
          <t>ON</t>
        </is>
      </c>
      <c r="B137" t="inlineStr">
        <is>
          <t>ON UW Equity</t>
        </is>
      </c>
      <c r="C137" s="15">
        <f t="array" ref="C137">_xll.BDP($B137,"short_name")</f>
        <v/>
      </c>
      <c r="D137" s="15" t="n">
        <v>24.46102590642</v>
      </c>
      <c r="E137" s="69" t="n">
        <v>62.19</v>
      </c>
      <c r="F137" s="70" t="n">
        <v>21.2688098495212</v>
      </c>
      <c r="G137" s="70" t="n">
        <v>15.35176499629721</v>
      </c>
      <c r="H137" s="70" t="n">
        <v>6.279915177219024</v>
      </c>
      <c r="I137" s="71" t="n">
        <v>0.796682838767912</v>
      </c>
      <c r="J137" s="15" t="n">
        <v>6.27903125</v>
      </c>
      <c r="K137" s="72" t="n">
        <v>0.2106641317745738</v>
      </c>
      <c r="L137" s="72" t="n">
        <v>0.007057666951885266</v>
      </c>
      <c r="M137" s="72" t="n">
        <v>0.08275920104302159</v>
      </c>
      <c r="N137" s="72" t="n">
        <v>0.2571615086076304</v>
      </c>
      <c r="O137" s="72" t="n">
        <v>0.6168317546366049</v>
      </c>
      <c r="Q137" s="73" t="n">
        <v>0.1484764</v>
      </c>
      <c r="T137" s="68" t="n">
        <v>0.3448073107398845</v>
      </c>
      <c r="AA137" s="72">
        <f t="array" ref="AA137">_xll.BDP(B137,"CHG_PCT_1YR")/100</f>
        <v/>
      </c>
      <c r="AB137" s="15" t="n">
        <v>84.2</v>
      </c>
      <c r="AC137" s="15" t="n">
        <v>3253.7</v>
      </c>
      <c r="AD137" s="15" t="n">
        <v>7691.900000000001</v>
      </c>
      <c r="AE137" s="15" t="n">
        <v>2147.6</v>
      </c>
      <c r="AF137" s="16">
        <f>IF(ISNUMBER(_xlfn.SINGLE(_xll.BDP($B137,"BS_LONG_TERM_INVESTMENTS"))),_xlfn.SINGLE(_xll.BDP($B137,"BS_LONG_TERM_INVESTMENTS")),0)</f>
        <v/>
      </c>
      <c r="AG137" s="15" t="n">
        <v>10945.6</v>
      </c>
      <c r="AH137" s="67" t="n">
        <v>0.007057666951885266</v>
      </c>
      <c r="AJ137" s="15" t="n">
        <v>4.002</v>
      </c>
      <c r="AK137" s="15" t="n">
        <v>2.343</v>
      </c>
      <c r="AL137" s="15" t="n">
        <v>2.924</v>
      </c>
      <c r="AM137" s="15" t="n">
        <v>4.051</v>
      </c>
      <c r="AN137" s="15" t="n">
        <v>9.903</v>
      </c>
      <c r="AO137" s="15">
        <f t="array" ref="AO137">_xll.BDP($B137,"EQY_FISCAL_YR_END")</f>
        <v/>
      </c>
      <c r="AP137" s="15" t="n">
        <v>7117.137931034483</v>
      </c>
      <c r="AQ137" s="15" t="n">
        <v>5998.214285714286</v>
      </c>
      <c r="AR137" s="15" t="n">
        <v>6279.03125</v>
      </c>
      <c r="AS137" s="15" t="n">
        <v>6920.3</v>
      </c>
      <c r="AT137" s="15" t="n">
        <v>7614.083333333333</v>
      </c>
      <c r="AV137" s="15" t="n">
        <v>1996.36</v>
      </c>
      <c r="AW137" s="15" t="n">
        <v>1109.814814814815</v>
      </c>
      <c r="AX137" s="15" t="n">
        <v>1322.766666666667</v>
      </c>
      <c r="AY137" s="15" t="n">
        <v>1787.75</v>
      </c>
      <c r="AZ137" s="15" t="n">
        <v>2205.076923076923</v>
      </c>
      <c r="BB137" s="68" t="n">
        <v>1130.56102590642</v>
      </c>
      <c r="BC137" s="68" t="n">
        <v>1106.1</v>
      </c>
      <c r="BD137" s="15" t="n">
        <v>24.46102590642</v>
      </c>
      <c r="BE137" s="16" t="n">
        <v>848</v>
      </c>
    </row>
    <row r="138">
      <c r="A138" t="inlineStr">
        <is>
          <t>QRVO</t>
        </is>
      </c>
      <c r="B138" t="inlineStr">
        <is>
          <t>QRVO UW Equity</t>
        </is>
      </c>
      <c r="C138" s="15">
        <f t="array" ref="C138">_xll.BDP($B138,"short_name")</f>
        <v/>
      </c>
      <c r="D138" s="15" t="n">
        <v>7.2959369373</v>
      </c>
      <c r="E138" s="69" t="n">
        <v>78.7</v>
      </c>
      <c r="F138" s="70" t="n">
        <v>12.06685065930696</v>
      </c>
      <c r="G138" s="70" t="n">
        <v>11.65407966829557</v>
      </c>
      <c r="H138" s="70" t="n">
        <v>9.835041239690076</v>
      </c>
      <c r="I138" s="71" t="n">
        <v>0.3399086935634563</v>
      </c>
      <c r="J138" s="15" t="n">
        <v>3.671722222222222</v>
      </c>
      <c r="K138" s="72" t="n">
        <v>0.2050445597736454</v>
      </c>
      <c r="L138" s="72" t="n">
        <v>0.0696261166499674</v>
      </c>
      <c r="M138" s="72" t="n">
        <v>0.002296245109538964</v>
      </c>
      <c r="N138" s="72" t="n">
        <v>0.1322348598684919</v>
      </c>
      <c r="O138" s="72" t="n">
        <v>0.1436908582406979</v>
      </c>
      <c r="Q138" s="73" t="n">
        <v>-0.06874928</v>
      </c>
      <c r="T138" s="68" t="n">
        <v>0.8397785918359304</v>
      </c>
      <c r="AA138" s="72">
        <f t="array" ref="AA138">_xll.BDP(B138,"CHG_PCT_1YR")/100</f>
        <v/>
      </c>
      <c r="AB138" s="15" t="n">
        <v>408.131</v>
      </c>
      <c r="AC138" s="15" t="n">
        <v>1611.06</v>
      </c>
      <c r="AD138" s="15" t="n">
        <v>3392.312</v>
      </c>
      <c r="AE138" s="15" t="n">
        <v>1021.176</v>
      </c>
      <c r="AF138" s="16" t="n">
        <v>23.433</v>
      </c>
      <c r="AG138" s="15" t="n">
        <v>5003.371999999999</v>
      </c>
      <c r="AH138" s="67" t="n">
        <v>0.0696261166499674</v>
      </c>
      <c r="AJ138" s="15" t="n">
        <v>6.048</v>
      </c>
      <c r="AK138" s="15" t="n">
        <v>5.349</v>
      </c>
      <c r="AL138" s="15" t="n">
        <v>6.522</v>
      </c>
      <c r="AM138" s="15" t="n">
        <v>6.753</v>
      </c>
      <c r="AN138" s="15" t="n">
        <v>8.002000000000001</v>
      </c>
      <c r="AO138" s="15">
        <f t="array" ref="AO138">_xll.BDP($B138,"EQY_FISCAL_YR_END")</f>
        <v/>
      </c>
      <c r="AP138" s="15" t="n">
        <v>3755.260869565217</v>
      </c>
      <c r="AQ138" s="15" t="n">
        <v>3700.45</v>
      </c>
      <c r="AR138" s="15" t="n">
        <v>3671.722222222222</v>
      </c>
      <c r="AS138" s="15" t="n">
        <v>3465.611111111111</v>
      </c>
      <c r="AT138" s="15" t="n">
        <v>3726</v>
      </c>
      <c r="AV138" s="15" t="n">
        <v>706.8947368421053</v>
      </c>
      <c r="AW138" s="15" t="n">
        <v>608.2777777777778</v>
      </c>
      <c r="AX138" s="15" t="n">
        <v>752.8666666666667</v>
      </c>
      <c r="AY138" s="15" t="n">
        <v>769.5333333333334</v>
      </c>
      <c r="AZ138" s="15" t="n">
        <v>882.9</v>
      </c>
      <c r="BB138" s="68" t="n">
        <v>597.1799369372999</v>
      </c>
      <c r="BC138" s="68" t="n">
        <v>589.8839999999999</v>
      </c>
      <c r="BD138" s="15" t="n">
        <v>7.2959369373</v>
      </c>
      <c r="BE138" s="16" t="n">
        <v>678.5940000000001</v>
      </c>
    </row>
    <row r="139">
      <c r="A139" t="inlineStr">
        <is>
          <t>SWKS</t>
        </is>
      </c>
      <c r="B139" t="inlineStr">
        <is>
          <t>SWKS UW Equity</t>
        </is>
      </c>
      <c r="C139" s="15">
        <f t="array" ref="C139">_xll.BDP($B139,"short_name")</f>
        <v/>
      </c>
      <c r="D139" s="15" t="n">
        <v>8.300905097969999</v>
      </c>
      <c r="E139" s="69" t="n">
        <v>55.19</v>
      </c>
      <c r="F139" s="70" t="n">
        <v>11.80029933718195</v>
      </c>
      <c r="G139" s="70" t="n">
        <v>10.87273443656422</v>
      </c>
      <c r="H139" s="70" t="n">
        <v>8.936204663212434</v>
      </c>
      <c r="I139" s="71" t="n">
        <v>-0.4235148235824597</v>
      </c>
      <c r="J139" s="15" t="n">
        <v>3.753772727272727</v>
      </c>
      <c r="K139" s="72" t="n">
        <v>0.2036884104476708</v>
      </c>
      <c r="L139" s="72" t="n">
        <v>0.05100961853660151</v>
      </c>
      <c r="M139" s="72" t="n">
        <v>0.01496017861444754</v>
      </c>
      <c r="N139" s="72" t="n">
        <v>-0.0207595128467758</v>
      </c>
      <c r="O139" s="72" t="n">
        <v>0.03329611786981124</v>
      </c>
      <c r="Q139" s="73" t="n">
        <v>-0.1296325</v>
      </c>
      <c r="T139" s="68" t="n">
        <v>3.544046601264885</v>
      </c>
      <c r="AA139" s="72">
        <f t="array" ref="AA139">_xll.BDP(B139,"CHG_PCT_1YR")/100</f>
        <v/>
      </c>
      <c r="AB139" s="15" t="n">
        <v>422.7</v>
      </c>
      <c r="AC139" s="15" t="n">
        <v>1203.1</v>
      </c>
      <c r="AD139" s="15" t="n">
        <v>5757.099999999999</v>
      </c>
      <c r="AE139" s="15" t="n">
        <v>1161.3</v>
      </c>
      <c r="AF139" s="16" t="n">
        <v>14.2</v>
      </c>
      <c r="AG139" s="15" t="n">
        <v>6960.199999999999</v>
      </c>
      <c r="AH139" s="67" t="n">
        <v>0.05100961853660151</v>
      </c>
      <c r="AJ139" s="15" t="n">
        <v>6.253</v>
      </c>
      <c r="AK139" s="15" t="n">
        <v>5.598</v>
      </c>
      <c r="AL139" s="15" t="n">
        <v>4.677</v>
      </c>
      <c r="AM139" s="15" t="n">
        <v>5.076000000000001</v>
      </c>
      <c r="AN139" s="15" t="n">
        <v>6.176</v>
      </c>
      <c r="AO139" s="15">
        <f t="array" ref="AO139">_xll.BDP($B139,"EQY_FISCAL_YR_END")</f>
        <v/>
      </c>
      <c r="AP139" s="15" t="n">
        <v>4173.96</v>
      </c>
      <c r="AQ139" s="15" t="n">
        <v>4029.318181818182</v>
      </c>
      <c r="AR139" s="15" t="n">
        <v>3753.772727272727</v>
      </c>
      <c r="AS139" s="15" t="n">
        <v>3882.52380952381</v>
      </c>
      <c r="AT139" s="15" t="n">
        <v>4212.875</v>
      </c>
      <c r="AV139" s="15" t="n">
        <v>1139</v>
      </c>
      <c r="AW139" s="15" t="n">
        <v>976.5652173913044</v>
      </c>
      <c r="AX139" s="15" t="n">
        <v>764.6</v>
      </c>
      <c r="AY139" s="15" t="n">
        <v>806.2</v>
      </c>
      <c r="AZ139" s="15" t="n">
        <v>917</v>
      </c>
      <c r="BB139" s="68" t="n">
        <v>50.10090509796996</v>
      </c>
      <c r="BC139" s="68" t="n">
        <v>41.79999999999995</v>
      </c>
      <c r="BD139" s="15" t="n">
        <v>8.300905097969999</v>
      </c>
      <c r="BE139" s="16" t="n">
        <v>887.1</v>
      </c>
    </row>
    <row r="140">
      <c r="A140" t="inlineStr">
        <is>
          <t>MTSI</t>
        </is>
      </c>
      <c r="B140" t="inlineStr">
        <is>
          <t>MTSI UW Equity</t>
        </is>
      </c>
      <c r="C140" s="15">
        <f t="array" ref="C140">_xll.BDP($B140,"short_name")</f>
        <v/>
      </c>
      <c r="D140" s="15" t="n">
        <v>17.875352451</v>
      </c>
      <c r="E140" s="69" t="n">
        <v>238.3</v>
      </c>
      <c r="F140" s="70" t="n">
        <v>53.50246969016615</v>
      </c>
      <c r="G140" s="70" t="n">
        <v>43.15465411082941</v>
      </c>
      <c r="H140" s="70" t="n">
        <v>35.72713643178411</v>
      </c>
      <c r="I140" s="71" t="n">
        <v>-1.086854653828518</v>
      </c>
      <c r="J140" s="15" t="n">
        <v>1.1756</v>
      </c>
      <c r="K140" s="72" t="n">
        <v>0.2832596121129636</v>
      </c>
      <c r="L140" s="72" t="n">
        <v>0.07443096192996441</v>
      </c>
      <c r="M140" s="72" t="n">
        <v>0.1649229372851178</v>
      </c>
      <c r="N140" s="72" t="n">
        <v>0.272611511900533</v>
      </c>
      <c r="O140" s="72" t="n">
        <v>0.243484887071981</v>
      </c>
      <c r="Q140" s="73" t="n">
        <v>0.3912891</v>
      </c>
      <c r="T140" s="68" t="n">
        <v>2.197363061566499</v>
      </c>
      <c r="AA140" s="72">
        <f t="array" ref="AA140">_xll.BDP(B140,"CHG_PCT_1YR")/100</f>
        <v/>
      </c>
      <c r="AB140" s="15" t="n">
        <v>155.422</v>
      </c>
      <c r="AC140" s="15" t="n">
        <v>566.438</v>
      </c>
      <c r="AD140" s="15" t="n">
        <v>1327.095</v>
      </c>
      <c r="AE140" s="15" t="n">
        <v>112.142</v>
      </c>
      <c r="AF140" s="16">
        <f>IF(ISNUMBER(_xlfn.SINGLE(_xll.BDP($B140,"BS_LONG_TERM_INVESTMENTS"))),_xlfn.SINGLE(_xll.BDP($B140,"BS_LONG_TERM_INVESTMENTS")),0)</f>
        <v/>
      </c>
      <c r="AG140" s="15" t="n">
        <v>1893.533</v>
      </c>
      <c r="AH140" s="67" t="n">
        <v>0.07443096192996441</v>
      </c>
      <c r="AJ140" s="15" t="n">
        <v>2.565</v>
      </c>
      <c r="AK140" s="15" t="n">
        <v>3.469</v>
      </c>
      <c r="AL140" s="15" t="n">
        <v>4.454</v>
      </c>
      <c r="AM140" s="15" t="n">
        <v>5.522</v>
      </c>
      <c r="AN140" s="15" t="n">
        <v>6.67</v>
      </c>
      <c r="AO140" s="15">
        <f t="array" ref="AO140">_xll.BDP($B140,"EQY_FISCAL_YR_END")</f>
        <v/>
      </c>
      <c r="AP140" s="15" t="n">
        <v>732.5714285714286</v>
      </c>
      <c r="AQ140" s="15" t="n">
        <v>969.3076923076923</v>
      </c>
      <c r="AR140" s="15" t="n">
        <v>1175.6</v>
      </c>
      <c r="AS140" s="15" t="n">
        <v>1384.846153846154</v>
      </c>
      <c r="AT140" s="15" t="n">
        <v>1532.333333333333</v>
      </c>
      <c r="AV140" s="15" t="n">
        <v>177.3846153846154</v>
      </c>
      <c r="AW140" s="15" t="n">
        <v>244.9</v>
      </c>
      <c r="AX140" s="15" t="n">
        <v>333</v>
      </c>
      <c r="AY140" s="15" t="n">
        <v>432.4615384615385</v>
      </c>
      <c r="AZ140" s="15" t="n">
        <v>504.75</v>
      </c>
      <c r="BB140" s="68" t="n">
        <v>472.171352451</v>
      </c>
      <c r="BC140" s="68" t="n">
        <v>454.296</v>
      </c>
      <c r="BD140" s="15" t="n">
        <v>17.875352451</v>
      </c>
      <c r="BE140" s="16" t="n">
        <v>218.1</v>
      </c>
    </row>
    <row r="141">
      <c r="A141" t="inlineStr">
        <is>
          <t>COHR</t>
        </is>
      </c>
      <c r="B141" t="inlineStr">
        <is>
          <t>COHR UN Equity</t>
        </is>
      </c>
      <c r="C141" s="15">
        <f t="array" ref="C141">_xll.BDP($B141,"short_name")</f>
        <v/>
      </c>
      <c r="D141" s="15" t="n">
        <v>48.40031491232001</v>
      </c>
      <c r="E141" s="69" t="n">
        <v>258.16</v>
      </c>
      <c r="F141" s="70" t="n">
        <v>47.7631822386679</v>
      </c>
      <c r="G141" s="70" t="n">
        <v>34.40757030521125</v>
      </c>
      <c r="H141" s="70" t="n">
        <v>28.65896980461812</v>
      </c>
      <c r="I141" s="71" t="n">
        <v>1.821405221325515</v>
      </c>
      <c r="J141" s="15" t="n">
        <v>6.9655</v>
      </c>
      <c r="K141" s="72" t="n">
        <v>0.2048139514675714</v>
      </c>
      <c r="L141" s="72" t="n">
        <v>0.02728208233742803</v>
      </c>
      <c r="M141" s="72" t="n">
        <v>0.2116813113145664</v>
      </c>
      <c r="N141" s="72" t="n">
        <v>0.3201940959709235</v>
      </c>
      <c r="O141" s="72" t="n">
        <v>0.3695068343133865</v>
      </c>
      <c r="Q141" s="73" t="n">
        <v>0.3987105</v>
      </c>
      <c r="T141" s="68" t="n">
        <v>1.292619724542333</v>
      </c>
      <c r="AA141" s="72">
        <f t="array" ref="AA141">_xll.BDP(B141,"CHG_PCT_1YR")/100</f>
        <v/>
      </c>
      <c r="AB141" s="15" t="n">
        <v>520.828</v>
      </c>
      <c r="AC141" s="15" t="n">
        <v>3893.658</v>
      </c>
      <c r="AD141" s="15" t="n">
        <v>8481.282999999999</v>
      </c>
      <c r="AE141" s="15" t="n">
        <v>909.2</v>
      </c>
      <c r="AF141" s="16">
        <f>IF(ISNUMBER(_xlfn.SINGLE(_xll.BDP($B141,"BS_LONG_TERM_INVESTMENTS"))),_xlfn.SINGLE(_xll.BDP($B141,"BS_LONG_TERM_INVESTMENTS")),0)</f>
        <v/>
      </c>
      <c r="AG141" s="15" t="n">
        <v>12374.941</v>
      </c>
      <c r="AH141" s="67" t="n">
        <v>0.02728208233742803</v>
      </c>
      <c r="AJ141" s="15" t="n">
        <v>1.65</v>
      </c>
      <c r="AK141" s="15" t="n">
        <v>3.507</v>
      </c>
      <c r="AL141" s="15" t="n">
        <v>5.405</v>
      </c>
      <c r="AM141" s="15" t="n">
        <v>7.503</v>
      </c>
      <c r="AN141" s="15" t="n">
        <v>9.008000000000001</v>
      </c>
      <c r="AO141" s="15">
        <f t="array" ref="AO141">_xll.BDP($B141,"EQY_FISCAL_YR_END")</f>
        <v/>
      </c>
      <c r="AP141" s="15" t="n">
        <v>4669.941176470588</v>
      </c>
      <c r="AQ141" s="15" t="n">
        <v>5792.263157894738</v>
      </c>
      <c r="AR141" s="15" t="n">
        <v>6965.5</v>
      </c>
      <c r="AS141" s="15" t="n">
        <v>8857.863636363636</v>
      </c>
      <c r="AT141" s="15" t="n">
        <v>10304.18181818182</v>
      </c>
      <c r="AV141" s="15" t="n">
        <v>695.8461538461538</v>
      </c>
      <c r="AW141" s="15" t="n">
        <v>1047.0625</v>
      </c>
      <c r="AX141" s="15" t="n">
        <v>1426.631578947368</v>
      </c>
      <c r="AY141" s="15" t="n">
        <v>1949.909090909091</v>
      </c>
      <c r="AZ141" s="15" t="n">
        <v>2409.272727272727</v>
      </c>
      <c r="BB141" s="68" t="n">
        <v>3032.85831491232</v>
      </c>
      <c r="BC141" s="68" t="n">
        <v>2984.458</v>
      </c>
      <c r="BD141" s="15" t="n">
        <v>48.40031491232001</v>
      </c>
      <c r="BE141" s="16" t="n">
        <v>1802.319</v>
      </c>
    </row>
    <row r="142">
      <c r="A142" t="inlineStr">
        <is>
          <t>ENTG</t>
        </is>
      </c>
      <c r="B142" t="inlineStr">
        <is>
          <t>ENTG UW Equity</t>
        </is>
      </c>
      <c r="C142" s="15">
        <f t="array" ref="C142">_xll.BDP($B142,"short_name")</f>
        <v/>
      </c>
      <c r="D142" s="15" t="n">
        <v>17.7217723092</v>
      </c>
      <c r="E142" s="69" t="n">
        <v>116.4</v>
      </c>
      <c r="F142" s="70" t="n">
        <v>34.13489736070381</v>
      </c>
      <c r="G142" s="70" t="n">
        <v>26.54503990877993</v>
      </c>
      <c r="H142" s="70" t="n">
        <v>23.38758288125377</v>
      </c>
      <c r="I142" s="71" t="n">
        <v>4.079470198675497</v>
      </c>
      <c r="J142" s="15" t="n">
        <v>3.423363636363637</v>
      </c>
      <c r="K142" s="72" t="n">
        <v>0.2341556682688478</v>
      </c>
      <c r="L142" s="72" t="n">
        <v>0.05382450492193249</v>
      </c>
      <c r="M142" s="72" t="n">
        <v>0.07560859836111788</v>
      </c>
      <c r="N142" s="72" t="n">
        <v>0.1386596782710494</v>
      </c>
      <c r="O142" s="72" t="n">
        <v>0.2241630941480475</v>
      </c>
      <c r="Q142" s="73" t="n">
        <v>0.3816024</v>
      </c>
      <c r="T142" s="68" t="n">
        <v>1.522770618885176</v>
      </c>
      <c r="AA142" s="72">
        <f t="array" ref="AA142">_xll.BDP(B142,"CHG_PCT_1YR")/100</f>
        <v/>
      </c>
      <c r="AB142" s="15" t="n">
        <v>455.9</v>
      </c>
      <c r="AC142" s="15" t="n">
        <v>3810</v>
      </c>
      <c r="AD142" s="15" t="n">
        <v>3953.4</v>
      </c>
      <c r="AE142" s="15" t="n">
        <v>360.4</v>
      </c>
      <c r="AF142" s="16">
        <f>IF(ISNUMBER(_xlfn.SINGLE(_xll.BDP($B142,"BS_LONG_TERM_INVESTMENTS"))),_xlfn.SINGLE(_xll.BDP($B142,"BS_LONG_TERM_INVESTMENTS")),0)</f>
        <v/>
      </c>
      <c r="AG142" s="15" t="n">
        <v>7763.4</v>
      </c>
      <c r="AH142" s="67" t="n">
        <v>0.05382450492193249</v>
      </c>
      <c r="AJ142" s="15" t="n">
        <v>2.947</v>
      </c>
      <c r="AK142" s="15" t="n">
        <v>2.713</v>
      </c>
      <c r="AL142" s="15" t="n">
        <v>3.41</v>
      </c>
      <c r="AM142" s="15" t="n">
        <v>4.385</v>
      </c>
      <c r="AN142" s="15" t="n">
        <v>4.977</v>
      </c>
      <c r="AO142" s="15">
        <f t="array" ref="AO142">_xll.BDP($B142,"EQY_FISCAL_YR_END")</f>
        <v/>
      </c>
      <c r="AP142" s="15" t="n">
        <v>3214.9</v>
      </c>
      <c r="AQ142" s="15" t="n">
        <v>3187.727272727273</v>
      </c>
      <c r="AR142" s="15" t="n">
        <v>3423.363636363636</v>
      </c>
      <c r="AS142" s="15" t="n">
        <v>3757.727272727273</v>
      </c>
      <c r="AT142" s="15" t="n">
        <v>3966.833333333333</v>
      </c>
      <c r="AV142" s="15" t="n">
        <v>732.9</v>
      </c>
      <c r="AW142" s="15" t="n">
        <v>675.1</v>
      </c>
      <c r="AX142" s="15" t="n">
        <v>801.6</v>
      </c>
      <c r="AY142" s="15" t="n">
        <v>941.4545454545455</v>
      </c>
      <c r="AZ142" s="15" t="n">
        <v>996.6666666666666</v>
      </c>
      <c r="BB142" s="68" t="n">
        <v>3467.3217723092</v>
      </c>
      <c r="BC142" s="68" t="n">
        <v>3449.6</v>
      </c>
      <c r="BD142" s="15" t="n">
        <v>17.7217723092</v>
      </c>
      <c r="BE142" s="16" t="n">
        <v>864.0999999999999</v>
      </c>
    </row>
    <row r="143">
      <c r="A143" t="inlineStr">
        <is>
          <t>LSCC</t>
        </is>
      </c>
      <c r="B143" t="inlineStr">
        <is>
          <t>LSCC UW Equity</t>
        </is>
      </c>
      <c r="C143" s="15">
        <f t="array" ref="C143">_xll.BDP($B143,"short_name")</f>
        <v/>
      </c>
      <c r="D143" s="15" t="n">
        <v>13.00533295354</v>
      </c>
      <c r="E143" s="69" t="n">
        <v>95.02</v>
      </c>
      <c r="F143" s="70" t="n">
        <v>60.7544757033248</v>
      </c>
      <c r="G143" s="70" t="n">
        <v>46.4418377321603</v>
      </c>
      <c r="H143" s="70" t="n">
        <v>35.78907721280602</v>
      </c>
      <c r="I143" s="71" t="n">
        <v>-1.624033408242351</v>
      </c>
      <c r="J143" s="15" t="n">
        <v>0.6965714285714285</v>
      </c>
      <c r="K143" s="72" t="n">
        <v>0.3294156622704613</v>
      </c>
      <c r="L143" s="72" t="n">
        <v>0.003877559508924858</v>
      </c>
      <c r="M143" s="72" t="n">
        <v>0.2473576433069695</v>
      </c>
      <c r="N143" s="72" t="n">
        <v>0.4184270983928626</v>
      </c>
      <c r="O143" s="72" t="n">
        <v>0.3619273345246699</v>
      </c>
      <c r="Q143" s="73" t="n">
        <v>0.2913835</v>
      </c>
      <c r="T143" s="68" t="n">
        <v>1.678637392312893</v>
      </c>
      <c r="AA143" s="72">
        <f t="array" ref="AA143">_xll.BDP(B143,"CHG_PCT_1YR")/100</f>
        <v/>
      </c>
      <c r="AB143" s="15" t="n">
        <v>11.232</v>
      </c>
      <c r="AC143" s="15" t="n">
        <v>42.107</v>
      </c>
      <c r="AD143" s="15" t="n">
        <v>714.054</v>
      </c>
      <c r="AE143" s="15" t="n">
        <v>133.886</v>
      </c>
      <c r="AF143" s="16">
        <f>IF(ISNUMBER(_xlfn.SINGLE(_xll.BDP($B143,"BS_LONG_TERM_INVESTMENTS"))),_xlfn.SINGLE(_xll.BDP($B143,"BS_LONG_TERM_INVESTMENTS")),0)</f>
        <v/>
      </c>
      <c r="AG143" s="15" t="n">
        <v>756.1609999999999</v>
      </c>
      <c r="AH143" s="67" t="n">
        <v>0.003877559508924858</v>
      </c>
      <c r="AJ143" s="15" t="n">
        <v>0.9370000000000001</v>
      </c>
      <c r="AK143" s="15" t="n">
        <v>1.051</v>
      </c>
      <c r="AL143" s="15" t="n">
        <v>1.564</v>
      </c>
      <c r="AM143" s="15" t="n">
        <v>2.046</v>
      </c>
      <c r="AN143" s="15" t="n">
        <v>2.655</v>
      </c>
      <c r="AO143" s="15">
        <f t="array" ref="AO143">_xll.BDP($B143,"EQY_FISCAL_YR_END")</f>
        <v/>
      </c>
      <c r="AP143" s="15" t="n">
        <v>509</v>
      </c>
      <c r="AQ143" s="15" t="n">
        <v>520.9285714285714</v>
      </c>
      <c r="AR143" s="15" t="n">
        <v>696.5714285714286</v>
      </c>
      <c r="AS143" s="15" t="n">
        <v>828.2142857142858</v>
      </c>
      <c r="AT143" s="15" t="n">
        <v>1011</v>
      </c>
      <c r="AV143" s="15" t="n">
        <v>133.3333333333333</v>
      </c>
      <c r="AW143" s="15" t="n">
        <v>143.7857142857143</v>
      </c>
      <c r="AX143" s="15" t="n">
        <v>229.4615384615385</v>
      </c>
      <c r="AY143" s="15" t="n">
        <v>303.6923076923077</v>
      </c>
      <c r="AZ143" s="15" t="n">
        <v>410.3333333333333</v>
      </c>
      <c r="BB143" s="68" t="n">
        <v>-78.77366704645999</v>
      </c>
      <c r="BC143" s="68" t="n">
        <v>-91.779</v>
      </c>
      <c r="BD143" s="15" t="n">
        <v>13.00533295354</v>
      </c>
      <c r="BE143" s="16" t="n">
        <v>54.813</v>
      </c>
    </row>
    <row r="144">
      <c r="A144" t="inlineStr">
        <is>
          <t>MCHP</t>
        </is>
      </c>
      <c r="B144" t="inlineStr">
        <is>
          <t>MCHP UW Equity</t>
        </is>
      </c>
      <c r="C144" s="15">
        <f t="array" ref="C144">_xll.BDP($B144,"short_name")</f>
        <v/>
      </c>
      <c r="D144" s="15" t="n">
        <v>35.4984860448</v>
      </c>
      <c r="E144" s="69" t="n">
        <v>65.59999999999999</v>
      </c>
      <c r="F144" s="70" t="n">
        <v>41.78343949044586</v>
      </c>
      <c r="G144" s="70" t="n">
        <v>24.65238632093198</v>
      </c>
      <c r="H144" s="70" t="n">
        <v>18.04676753782668</v>
      </c>
      <c r="I144" s="71" t="n">
        <v>5.89017142857143</v>
      </c>
      <c r="J144" s="15" t="n">
        <v>4.7188125</v>
      </c>
      <c r="K144" s="72" t="n">
        <v>0.2564557643828117</v>
      </c>
      <c r="L144" s="72" t="n">
        <v>0.004878381891641457</v>
      </c>
      <c r="M144" s="72" t="n">
        <v>0.1472286465839849</v>
      </c>
      <c r="N144" s="72" t="n">
        <v>0.3287210949920614</v>
      </c>
      <c r="O144" s="72" t="n">
        <v>0.4091755134096799</v>
      </c>
      <c r="Q144" s="73" t="n">
        <v>0.02950406</v>
      </c>
      <c r="T144" s="16" t="n">
        <v>1.02116177828586</v>
      </c>
      <c r="AA144" s="72">
        <f t="array" ref="AA144">_xll.BDP(B144,"CHG_PCT_1YR")/100</f>
        <v/>
      </c>
      <c r="AB144" s="15" t="n">
        <v>172.4</v>
      </c>
      <c r="AC144" s="15" t="n">
        <v>5781.2</v>
      </c>
      <c r="AD144" s="15" t="n">
        <v>7078.299999999999</v>
      </c>
      <c r="AE144" s="15" t="n">
        <v>771.7</v>
      </c>
      <c r="AF144" s="16">
        <f>IF(ISNUMBER(_xlfn.SINGLE(_xll.BDP($B144,"BS_LONG_TERM_INVESTMENTS"))),_xlfn.SINGLE(_xll.BDP($B144,"BS_LONG_TERM_INVESTMENTS")),0)</f>
        <v/>
      </c>
      <c r="AG144" s="15" t="n">
        <v>12859.5</v>
      </c>
      <c r="AH144" s="67" t="n">
        <v>0.004878381891641457</v>
      </c>
      <c r="AJ144" s="15" t="n">
        <v>4.922</v>
      </c>
      <c r="AK144" s="15" t="n">
        <v>1.299</v>
      </c>
      <c r="AL144" s="15" t="n">
        <v>1.57</v>
      </c>
      <c r="AM144" s="15" t="n">
        <v>2.661</v>
      </c>
      <c r="AN144" s="15" t="n">
        <v>3.635</v>
      </c>
      <c r="AO144" s="15">
        <f t="array" ref="AO144">_xll.BDP($B144,"EQY_FISCAL_YR_END")</f>
        <v/>
      </c>
      <c r="AP144" s="15" t="n">
        <v>7638.272727272727</v>
      </c>
      <c r="AQ144" s="15" t="n">
        <v>4392.105263157895</v>
      </c>
      <c r="AR144" s="15" t="n">
        <v>4718.8125</v>
      </c>
      <c r="AS144" s="15" t="n">
        <v>5708.125</v>
      </c>
      <c r="AT144" s="15" t="n">
        <v>6631.666666666667</v>
      </c>
      <c r="AV144" s="15" t="n">
        <v>3330.411764705882</v>
      </c>
      <c r="AW144" s="15" t="n">
        <v>1076.578947368421</v>
      </c>
      <c r="AX144" s="15" t="n">
        <v>1210.166666666667</v>
      </c>
      <c r="AY144" s="15" t="n">
        <v>1909.727272727273</v>
      </c>
      <c r="AZ144" s="15" t="n">
        <v>2525.5</v>
      </c>
      <c r="BB144" s="68" t="n">
        <v>5044.9984860448</v>
      </c>
      <c r="BC144" s="68" t="n">
        <v>5009.5</v>
      </c>
      <c r="BD144" s="15" t="n">
        <v>35.4984860448</v>
      </c>
      <c r="BE144" s="16" t="n">
        <v>875</v>
      </c>
    </row>
    <row r="145">
      <c r="A145" t="inlineStr">
        <is>
          <t>CRUS</t>
        </is>
      </c>
      <c r="B145" t="inlineStr">
        <is>
          <t>CRUS UW Equity</t>
        </is>
      </c>
      <c r="C145" s="15">
        <f t="array" ref="C145">_xll.BDP($B145,"short_name")</f>
        <v/>
      </c>
      <c r="D145" s="15" t="n">
        <v>7.50471714357</v>
      </c>
      <c r="E145" s="69" t="n">
        <v>147.13</v>
      </c>
      <c r="F145" s="70" t="n">
        <v>16.25566235775052</v>
      </c>
      <c r="G145" s="70" t="n">
        <v>16.83409610983982</v>
      </c>
      <c r="H145" s="70" t="n">
        <v>15.25769988592761</v>
      </c>
      <c r="I145" s="71" t="n">
        <v>-1.858984325031733</v>
      </c>
      <c r="J145" s="15" t="n">
        <v>1.989285714285715</v>
      </c>
      <c r="K145" s="72" t="n">
        <v>0.2710233393177738</v>
      </c>
      <c r="L145" s="72" t="n">
        <v>0.1726595646431013</v>
      </c>
      <c r="M145" s="72" t="n">
        <v>0.04337572095247122</v>
      </c>
      <c r="N145" s="72" t="n">
        <v>0.04920253410356801</v>
      </c>
      <c r="O145" s="72" t="n">
        <v>0.1103611887127756</v>
      </c>
      <c r="Q145" s="73" t="n">
        <v>0.2416034</v>
      </c>
      <c r="T145" s="68" t="n">
        <v>1.472951002734963</v>
      </c>
      <c r="AA145" s="72">
        <f t="array" ref="AA145">_xll.BDP(B145,"CHG_PCT_1YR")/100</f>
        <v/>
      </c>
      <c r="AB145" s="15" t="n">
        <v>456.031</v>
      </c>
      <c r="AC145" s="15" t="n">
        <v>143.719</v>
      </c>
      <c r="AD145" s="15" t="n">
        <v>1949.449</v>
      </c>
      <c r="AE145" s="15" t="n">
        <v>539.62</v>
      </c>
      <c r="AF145" s="16" t="n">
        <v>239.036</v>
      </c>
      <c r="AG145" s="15" t="n">
        <v>2093.168</v>
      </c>
      <c r="AH145" s="67" t="n">
        <v>0.1726595646431013</v>
      </c>
      <c r="AJ145" s="15" t="n">
        <v>6.001</v>
      </c>
      <c r="AK145" s="15" t="n">
        <v>7.044</v>
      </c>
      <c r="AL145" s="15" t="n">
        <v>9.051</v>
      </c>
      <c r="AM145" s="15" t="n">
        <v>8.74</v>
      </c>
      <c r="AN145" s="15" t="n">
        <v>9.643000000000001</v>
      </c>
      <c r="AO145" s="15">
        <f t="array" ref="AO145">_xll.BDP($B145,"EQY_FISCAL_YR_END")</f>
        <v/>
      </c>
      <c r="AP145" s="15" t="n">
        <v>1736.8</v>
      </c>
      <c r="AQ145" s="15" t="n">
        <v>1852</v>
      </c>
      <c r="AR145" s="15" t="n">
        <v>1989.285714285714</v>
      </c>
      <c r="AS145" s="15" t="n">
        <v>2004.714285714286</v>
      </c>
      <c r="AT145" s="15" t="n">
        <v>2103.6</v>
      </c>
      <c r="AV145" s="15" t="n">
        <v>412.25</v>
      </c>
      <c r="AW145" s="15" t="n">
        <v>471</v>
      </c>
      <c r="AX145" s="15" t="n">
        <v>539.1428571428572</v>
      </c>
      <c r="AY145" s="15" t="n">
        <v>513.1428571428571</v>
      </c>
      <c r="AZ145" s="15" t="n">
        <v>544</v>
      </c>
      <c r="BB145" s="68" t="n">
        <v>-388.39628285643</v>
      </c>
      <c r="BC145" s="68" t="n">
        <v>-395.901</v>
      </c>
      <c r="BD145" s="15" t="n">
        <v>7.50471714357</v>
      </c>
      <c r="BE145" s="16" t="n">
        <v>508.135</v>
      </c>
    </row>
    <row r="146">
      <c r="A146" t="inlineStr">
        <is>
          <t>AMKR</t>
        </is>
      </c>
      <c r="B146" t="inlineStr">
        <is>
          <t>AMKR UW Equity</t>
        </is>
      </c>
      <c r="C146" s="15">
        <f t="array" ref="C146">_xll.BDP($B146,"short_name")</f>
        <v/>
      </c>
      <c r="D146" s="15" t="n">
        <v>11.5727848146</v>
      </c>
      <c r="E146" s="69" t="n">
        <v>46.7</v>
      </c>
      <c r="F146" s="70" t="n">
        <v>27.69869513641756</v>
      </c>
      <c r="G146" s="70" t="n">
        <v>20.12931034482759</v>
      </c>
      <c r="H146" s="70" t="n">
        <v>18.62041467304625</v>
      </c>
      <c r="I146" s="71" t="n">
        <v>-0.3879635079723777</v>
      </c>
      <c r="J146" s="15" t="n">
        <v>7.4263</v>
      </c>
      <c r="K146" s="72" t="n">
        <v>0.07557599342875995</v>
      </c>
      <c r="L146" s="72" t="n">
        <v>0.06792223174774188</v>
      </c>
      <c r="M146" s="72" t="n">
        <v>0.09558863110880678</v>
      </c>
      <c r="N146" s="72" t="n">
        <v>0.2361148739166823</v>
      </c>
      <c r="O146" s="72" t="n">
        <v>0.2589179276157729</v>
      </c>
      <c r="Q146" s="73" t="n">
        <v>0.1828774</v>
      </c>
      <c r="T146" s="68" t="n">
        <v>1.06978668458685</v>
      </c>
      <c r="AA146" s="72">
        <f t="array" ref="AA146">_xll.BDP(B146,"CHG_PCT_1YR")/100</f>
        <v/>
      </c>
      <c r="AB146" s="15" t="n">
        <v>467.385</v>
      </c>
      <c r="AC146" s="15" t="n">
        <v>1560.981</v>
      </c>
      <c r="AD146" s="15" t="n">
        <v>4506.286999999998</v>
      </c>
      <c r="AE146" s="15" t="n">
        <v>1378.347</v>
      </c>
      <c r="AF146" s="16">
        <f>IF(ISNUMBER(_xlfn.SINGLE(_xll.BDP($B146,"BS_LONG_TERM_INVESTMENTS"))),_xlfn.SINGLE(_xll.BDP($B146,"BS_LONG_TERM_INVESTMENTS")),0)</f>
        <v/>
      </c>
      <c r="AG146" s="15" t="n">
        <v>6067.267999999998</v>
      </c>
      <c r="AH146" s="67" t="n">
        <v>0.06792223174774188</v>
      </c>
      <c r="AJ146" s="15" t="n">
        <v>1.386</v>
      </c>
      <c r="AK146" s="15" t="n">
        <v>1.257</v>
      </c>
      <c r="AL146" s="15" t="n">
        <v>1.686</v>
      </c>
      <c r="AM146" s="15" t="n">
        <v>2.32</v>
      </c>
      <c r="AN146" s="15" t="n">
        <v>2.508</v>
      </c>
      <c r="AO146" s="15">
        <f t="array" ref="AO146">_xll.BDP($B146,"EQY_FISCAL_YR_END")</f>
        <v/>
      </c>
      <c r="AP146" s="15" t="n">
        <v>6350.181818181818</v>
      </c>
      <c r="AQ146" s="15" t="n">
        <v>6657.727272727273</v>
      </c>
      <c r="AR146" s="15" t="n">
        <v>7426.3</v>
      </c>
      <c r="AS146" s="15" t="n">
        <v>8169.88888888889</v>
      </c>
      <c r="AT146" s="15" t="n">
        <v>8755.25</v>
      </c>
      <c r="AV146" s="15" t="n">
        <v>424.1111111111111</v>
      </c>
      <c r="AW146" s="15" t="n">
        <v>427</v>
      </c>
      <c r="AX146" s="15" t="n">
        <v>561.25</v>
      </c>
      <c r="AY146" s="15" t="n">
        <v>735.7142857142858</v>
      </c>
      <c r="AZ146" s="15" t="n">
        <v>806.5</v>
      </c>
      <c r="BB146" s="68" t="n">
        <v>194.2067848146</v>
      </c>
      <c r="BC146" s="68" t="n">
        <v>182.634</v>
      </c>
      <c r="BD146" s="15" t="n">
        <v>11.5727848146</v>
      </c>
      <c r="BE146" s="16" t="n">
        <v>1141.395</v>
      </c>
    </row>
    <row r="147">
      <c r="A147" t="inlineStr">
        <is>
          <t>TER</t>
        </is>
      </c>
      <c r="B147" t="inlineStr">
        <is>
          <t>TER UW Equity</t>
        </is>
      </c>
      <c r="C147" s="15">
        <f t="array" ref="C147">_xll.BDP($B147,"short_name")</f>
        <v/>
      </c>
      <c r="D147" s="15" t="n">
        <v>48.47236450308</v>
      </c>
      <c r="E147" s="69" t="n">
        <v>309.61</v>
      </c>
      <c r="F147" s="70" t="n">
        <v>49.72057170387024</v>
      </c>
      <c r="G147" s="70" t="n">
        <v>36.97718858234803</v>
      </c>
      <c r="H147" s="70" t="n">
        <v>29.69880095923261</v>
      </c>
      <c r="I147" s="71" t="n">
        <v>-0.2120933640090999</v>
      </c>
      <c r="J147" s="15" t="n">
        <v>4.172777777777777</v>
      </c>
      <c r="K147" s="72" t="n">
        <v>0.2762082279323659</v>
      </c>
      <c r="L147" s="72" t="n">
        <v>0.19616847667517</v>
      </c>
      <c r="M147" s="72" t="n">
        <v>0.2476172793474782</v>
      </c>
      <c r="N147" s="72" t="n">
        <v>0.4450007683864634</v>
      </c>
      <c r="O147" s="72" t="n">
        <v>0.4317516826315075</v>
      </c>
      <c r="Q147" s="73" t="n">
        <v>0.5995557</v>
      </c>
      <c r="T147" s="68" t="n">
        <v>1.151601110175774</v>
      </c>
      <c r="AA147" s="72">
        <f t="array" ref="AA147">_xll.BDP(B147,"CHG_PCT_1YR")/100</f>
        <v/>
      </c>
      <c r="AB147" s="15" t="n">
        <v>650.051</v>
      </c>
      <c r="AC147" s="15" t="n">
        <v>283.239</v>
      </c>
      <c r="AD147" s="15" t="n">
        <v>2795.752</v>
      </c>
      <c r="AE147" s="15" t="n">
        <v>293.751</v>
      </c>
      <c r="AF147" s="16" t="n">
        <v>663.354</v>
      </c>
      <c r="AG147" s="15" t="n">
        <v>3078.991</v>
      </c>
      <c r="AH147" s="67" t="n">
        <v>0.19616847667517</v>
      </c>
      <c r="AJ147" s="15" t="n">
        <v>3.179</v>
      </c>
      <c r="AK147" s="15" t="n">
        <v>3.552</v>
      </c>
      <c r="AL147" s="15" t="n">
        <v>6.227</v>
      </c>
      <c r="AM147" s="15" t="n">
        <v>8.372999999999999</v>
      </c>
      <c r="AN147" s="15" t="n">
        <v>10.425</v>
      </c>
      <c r="AO147" s="15">
        <f t="array" ref="AO147">_xll.BDP($B147,"EQY_FISCAL_YR_END")</f>
        <v/>
      </c>
      <c r="AP147" s="15" t="n">
        <v>2807.933333333333</v>
      </c>
      <c r="AQ147" s="15" t="n">
        <v>3075.473684210526</v>
      </c>
      <c r="AR147" s="15" t="n">
        <v>4172.777777777777</v>
      </c>
      <c r="AS147" s="15" t="n">
        <v>4982.647058823529</v>
      </c>
      <c r="AT147" s="15" t="n">
        <v>5972.5</v>
      </c>
      <c r="AV147" s="15" t="n">
        <v>576.3571428571428</v>
      </c>
      <c r="AW147" s="15" t="n">
        <v>639.5</v>
      </c>
      <c r="AX147" s="15" t="n">
        <v>1152.555555555556</v>
      </c>
      <c r="AY147" s="15" t="n">
        <v>1534.235294117647</v>
      </c>
      <c r="AZ147" s="15" t="n">
        <v>1929.5</v>
      </c>
      <c r="BB147" s="68" t="n">
        <v>37.96036450308006</v>
      </c>
      <c r="BC147" s="68" t="n">
        <v>-10.51199999999994</v>
      </c>
      <c r="BD147" s="15" t="n">
        <v>48.47236450308</v>
      </c>
      <c r="BE147" s="16" t="n">
        <v>802.2320000000001</v>
      </c>
    </row>
    <row r="148">
      <c r="A148" t="inlineStr">
        <is>
          <t>AEHR</t>
        </is>
      </c>
      <c r="B148" t="inlineStr">
        <is>
          <t>AEHR US Equity</t>
        </is>
      </c>
      <c r="C148" s="15">
        <f t="array" ref="C148">_xll.BDP($B148,"short_name")</f>
        <v/>
      </c>
      <c r="D148" s="15" t="n">
        <v>1.35740379744</v>
      </c>
      <c r="E148" s="69" t="n">
        <v>44.32</v>
      </c>
      <c r="F148" s="70" t="n">
        <v>-348.9763779527559</v>
      </c>
      <c r="G148" s="70" t="n">
        <v>354.56</v>
      </c>
      <c r="H148" s="70" t="n">
        <v>110.8</v>
      </c>
      <c r="I148" s="71">
        <f>BC148*1000/BE148</f>
        <v/>
      </c>
      <c r="J148" s="15" t="n">
        <v>0.04777499999999999</v>
      </c>
      <c r="K148" s="72" t="n">
        <v>-0.2552241409384267</v>
      </c>
      <c r="L148" s="72" t="n">
        <v>-0.07654447204234308</v>
      </c>
      <c r="M148" s="72" t="n">
        <v>0.2195196325125524</v>
      </c>
      <c r="N148" s="72">
        <f>(AY148/AV148)^(1/3)-1</f>
        <v/>
      </c>
      <c r="O148" s="72" t="n">
        <v>0.8820720577620569</v>
      </c>
      <c r="Q148" s="73" t="n">
        <v>1.195146</v>
      </c>
      <c r="T148" s="68" t="n">
        <v>-3.956325051698826</v>
      </c>
      <c r="AA148" s="72">
        <f t="array" ref="AA148">_xll.BDP(B148,"CHG_PCT_1YR")/100</f>
        <v/>
      </c>
      <c r="AB148" s="15" t="n">
        <v>-13.037</v>
      </c>
      <c r="AC148" s="15" t="n">
        <v>10.83</v>
      </c>
      <c r="AD148" s="15" t="n">
        <v>122.871</v>
      </c>
      <c r="AE148" s="15" t="n">
        <v>24.529</v>
      </c>
      <c r="AF148" s="16">
        <f>IF(ISNUMBER(_xlfn.SINGLE(_xll.BDP($B148,"BS_LONG_TERM_INVESTMENTS"))),_xlfn.SINGLE(_xll.BDP($B148,"BS_LONG_TERM_INVESTMENTS")),0)</f>
        <v/>
      </c>
      <c r="AG148" s="15" t="n">
        <v>133.701</v>
      </c>
      <c r="AH148" s="67" t="n">
        <v>-0.07654447204234308</v>
      </c>
      <c r="AJ148" s="15" t="n">
        <v>0.48</v>
      </c>
      <c r="AK148" s="15" t="n">
        <v>0.06</v>
      </c>
      <c r="AL148" s="15" t="n">
        <v>-0.127</v>
      </c>
      <c r="AM148" s="15" t="n">
        <v>0.125</v>
      </c>
      <c r="AN148" s="15" t="n">
        <v>0.4</v>
      </c>
      <c r="AO148" s="15">
        <f t="array" ref="AO148">_xll.BDP($B148,"EQY_FISCAL_YR_END")</f>
        <v/>
      </c>
      <c r="AP148" s="15" t="n">
        <v>65.05</v>
      </c>
      <c r="AQ148" s="15" t="n">
        <v>60.56666666666666</v>
      </c>
      <c r="AR148" s="15" t="n">
        <v>47.77499999999999</v>
      </c>
      <c r="AS148" s="15" t="n">
        <v>82.125</v>
      </c>
      <c r="AT148" s="15" t="n">
        <v>109.85</v>
      </c>
      <c r="AV148" s="15" t="n">
        <v>9.465</v>
      </c>
      <c r="AW148" s="15" t="n">
        <v>-4.04</v>
      </c>
      <c r="AX148" s="15" t="n">
        <v>-12.19333333333333</v>
      </c>
      <c r="AY148" s="15" t="n">
        <v>2.346666666666667</v>
      </c>
      <c r="AZ148" s="15" t="n">
        <v>20.4</v>
      </c>
      <c r="BB148" s="68" t="n">
        <v>-12.34159620256</v>
      </c>
      <c r="BC148" s="68" t="n">
        <v>-13.699</v>
      </c>
      <c r="BD148" s="15" t="n">
        <v>1.35740379744</v>
      </c>
      <c r="BE148" s="16" t="n">
        <v>-7.569</v>
      </c>
    </row>
    <row r="149">
      <c r="A149" t="inlineStr">
        <is>
          <t>VRT</t>
        </is>
      </c>
      <c r="B149" t="inlineStr">
        <is>
          <t>VRT US Equity</t>
        </is>
      </c>
      <c r="C149" s="15">
        <f t="array" ref="C149">_xll.BDP($B149,"short_name")</f>
        <v/>
      </c>
      <c r="D149" s="15" t="n">
        <v>99.96915265856001</v>
      </c>
      <c r="E149" s="69" t="n">
        <v>261.29</v>
      </c>
      <c r="F149" s="70" t="n">
        <v>42.82038675843986</v>
      </c>
      <c r="G149" s="70" t="n">
        <v>32.37794299876084</v>
      </c>
      <c r="H149" s="70" t="n">
        <v>26.4196157735086</v>
      </c>
      <c r="I149" s="71" t="n">
        <v>0.6490146070020867</v>
      </c>
      <c r="J149" s="15" t="n">
        <v>13.61217857142857</v>
      </c>
      <c r="K149" s="72" t="n">
        <v>0.2256209240553617</v>
      </c>
      <c r="L149" s="72" t="n">
        <v>0.2187389649782114</v>
      </c>
      <c r="M149" s="72" t="n">
        <v>0.2381618252879489</v>
      </c>
      <c r="N149" s="72" t="n">
        <v>0.3367066010937807</v>
      </c>
      <c r="O149" s="72" t="n">
        <v>0.3393897626394367</v>
      </c>
      <c r="Q149" s="73" t="n">
        <v>0.6128017</v>
      </c>
      <c r="T149" s="68" t="n">
        <v>1.261687636816897</v>
      </c>
      <c r="AA149" s="72">
        <f t="array" ref="AA149">_xll.BDP(B149,"CHG_PCT_1YR")/100</f>
        <v/>
      </c>
      <c r="AB149" s="15" t="n">
        <v>1853.7</v>
      </c>
      <c r="AC149" s="15" t="n">
        <v>3227.5</v>
      </c>
      <c r="AD149" s="15" t="n">
        <v>3941.3</v>
      </c>
      <c r="AE149" s="15" t="n">
        <v>1728.4</v>
      </c>
      <c r="AF149" s="16">
        <f>IF(ISNUMBER(_xlfn.SINGLE(_xll.BDP($B149,"BS_LONG_TERM_INVESTMENTS"))),_xlfn.SINGLE(_xll.BDP($B149,"BS_LONG_TERM_INVESTMENTS")),0)</f>
        <v/>
      </c>
      <c r="AG149" s="15" t="n">
        <v>7168.799999999999</v>
      </c>
      <c r="AH149" s="67" t="n">
        <v>0.2187389649782114</v>
      </c>
      <c r="AJ149" s="15" t="n">
        <v>2.708</v>
      </c>
      <c r="AK149" s="15" t="n">
        <v>4.116</v>
      </c>
      <c r="AL149" s="15" t="n">
        <v>6.102</v>
      </c>
      <c r="AM149" s="15" t="n">
        <v>8.07</v>
      </c>
      <c r="AN149" s="15" t="n">
        <v>9.890000000000001</v>
      </c>
      <c r="AO149" s="15">
        <f t="array" ref="AO149">_xll.BDP($B149,"EQY_FISCAL_YR_END")</f>
        <v/>
      </c>
      <c r="AP149" s="15" t="n">
        <v>7822.526315789473</v>
      </c>
      <c r="AQ149" s="15" t="n">
        <v>10232.62068965517</v>
      </c>
      <c r="AR149" s="15" t="n">
        <v>13612.17857142857</v>
      </c>
      <c r="AS149" s="15" t="n">
        <v>16801.85185185185</v>
      </c>
      <c r="AT149" s="15" t="n">
        <v>19423.125</v>
      </c>
      <c r="AV149" s="15" t="n">
        <v>1491.933333333333</v>
      </c>
      <c r="AW149" s="15" t="n">
        <v>2068.481481481482</v>
      </c>
      <c r="AX149" s="15" t="n">
        <v>3071.192307692308</v>
      </c>
      <c r="AY149" s="15" t="n">
        <v>4078.730769230769</v>
      </c>
      <c r="AZ149" s="15" t="n">
        <v>4940.375</v>
      </c>
      <c r="BB149" s="68" t="n">
        <v>1599.06915265856</v>
      </c>
      <c r="BC149" s="68" t="n">
        <v>1499.1</v>
      </c>
      <c r="BD149" s="15" t="n">
        <v>99.96915265856001</v>
      </c>
      <c r="BE149" s="16" t="n">
        <v>2246</v>
      </c>
    </row>
    <row r="150">
      <c r="C150" s="15" t="n"/>
      <c r="D150" s="15" t="n"/>
      <c r="E150" s="69" t="n"/>
      <c r="F150" s="70" t="n"/>
      <c r="G150" s="70" t="n"/>
      <c r="H150" s="70" t="n"/>
      <c r="I150" s="71" t="n"/>
      <c r="J150" s="15" t="n"/>
      <c r="K150" s="72" t="n"/>
      <c r="L150" s="72" t="n"/>
      <c r="M150" s="72" t="n"/>
      <c r="N150" s="72" t="n"/>
      <c r="O150" s="72" t="n"/>
      <c r="T150" s="68" t="n"/>
      <c r="V150" s="72" t="n"/>
      <c r="AB150" s="15" t="n"/>
      <c r="AC150" s="15" t="n"/>
      <c r="AD150" s="15" t="n"/>
      <c r="AE150" s="15" t="n"/>
      <c r="AF150" s="16" t="n"/>
      <c r="AG150" s="15" t="n"/>
      <c r="AH150" s="67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V150" s="15" t="n"/>
      <c r="AW150" s="15" t="n"/>
      <c r="AX150" s="15" t="n"/>
      <c r="AY150" s="15" t="n"/>
      <c r="AZ150" s="15" t="n"/>
      <c r="BB150" s="68" t="n"/>
      <c r="BC150" s="68" t="n"/>
      <c r="BD150" s="15" t="n"/>
      <c r="BE150" s="16" t="n"/>
    </row>
    <row r="151">
      <c r="A151" s="36" t="inlineStr">
        <is>
          <t>Average</t>
        </is>
      </c>
      <c r="C151" s="15" t="n"/>
      <c r="D151" s="15" t="n"/>
      <c r="E151" s="69" t="n"/>
      <c r="F151" s="70">
        <f>AVERAGE(F102:F148)</f>
        <v/>
      </c>
      <c r="G151" s="70">
        <f>AVERAGE(G102:G148)</f>
        <v/>
      </c>
      <c r="H151" s="70">
        <f>AVERAGE(H102:H148)</f>
        <v/>
      </c>
      <c r="I151" s="71" t="n"/>
      <c r="J151" s="15" t="n"/>
      <c r="K151" s="67">
        <f>AVERAGE(K102:K148)</f>
        <v/>
      </c>
      <c r="L151" s="67">
        <f>AVERAGE(L102:L148)</f>
        <v/>
      </c>
      <c r="M151" s="67">
        <f>AVERAGE(M102:M148)</f>
        <v/>
      </c>
      <c r="N151" s="67">
        <f>AVERAGE(N102:N148)</f>
        <v/>
      </c>
      <c r="O151" s="67">
        <f>AVERAGE(O102:O148)</f>
        <v/>
      </c>
      <c r="T151" s="81">
        <f>AVERAGE(T102:T148)</f>
        <v/>
      </c>
      <c r="AB151" s="15" t="n"/>
      <c r="AC151" s="15" t="n"/>
      <c r="AD151" s="15" t="n"/>
      <c r="AE151" s="15" t="n"/>
      <c r="AF151" s="16" t="n"/>
      <c r="AG151" s="15" t="n"/>
      <c r="AH151" s="67" t="n"/>
      <c r="AJ151" s="15" t="n"/>
      <c r="AK151" s="15" t="n"/>
      <c r="AL151" s="15" t="n"/>
      <c r="AM151" s="15" t="n"/>
      <c r="AN151" s="15" t="n"/>
      <c r="AP151" s="15" t="n"/>
      <c r="AQ151" s="15" t="n"/>
      <c r="AR151" s="15" t="n"/>
      <c r="AS151" s="15" t="n"/>
      <c r="AT151" s="15" t="n"/>
      <c r="AV151" s="15" t="n"/>
      <c r="AW151" s="15" t="n"/>
      <c r="AX151" s="15" t="n"/>
      <c r="AY151" s="15" t="n"/>
      <c r="AZ151" s="15" t="n"/>
      <c r="BB151" s="68" t="n"/>
      <c r="BC151" s="68" t="n"/>
      <c r="BD151" s="15" t="n"/>
      <c r="BE151" s="16" t="n"/>
    </row>
    <row r="159">
      <c r="AJ159" s="15">
        <f>_xll.BDP($B159,"BEST_EPS","BEST_FPERIOD_OVERRIDE=24Y")</f>
        <v/>
      </c>
      <c r="AK159" s="15">
        <f>_xll.BDP($B159,"BEST_EPS","BEST_FPERIOD_OVERRIDE=25Y")</f>
        <v/>
      </c>
      <c r="AL159" s="15">
        <f>_xll.BDP($B159,"BEST_EPS","BEST_FPERIOD_OVERRIDE=26Y")</f>
        <v/>
      </c>
      <c r="AM159" s="15">
        <f>_xll.BDP($B159,"BEST_EPS","BEST_FPERIOD_OVERRIDE=27Y")</f>
        <v/>
      </c>
      <c r="AN159" s="15">
        <f>_xll.BDP($B159,"BEST_EPS","BEST_FPERIOD_OVERRIDE=28Y")</f>
        <v/>
      </c>
      <c r="AP159" s="15">
        <f>_xll.BDP($B159,"BEST_SALES","BEST_FPERIOD_OVERRIDE=24Y")</f>
        <v/>
      </c>
      <c r="AQ159" s="15">
        <f>_xll.BDP($B159,"BEST_SALES","BEST_FPERIOD_OVERRIDE=25Y")</f>
        <v/>
      </c>
      <c r="AR159" s="15">
        <f>_xll.BDP($B159,"BEST_SALES","BEST_FPERIOD_OVERRIDE=26Y")</f>
        <v/>
      </c>
      <c r="AS159" s="15">
        <f>_xll.BDP($B159,"BEST_SALES","BEST_FPERIOD_OVERRIDE=27Y")</f>
        <v/>
      </c>
      <c r="AT159" s="15">
        <f>_xll.BDP($B159,"BEST_SALES","BEST_FPERIOD_OVERRIDE=28Y")</f>
        <v/>
      </c>
      <c r="AV159" s="15">
        <f>_xll.BDP($B159,"BEST_EBIT","BEST_FPERIOD_OVERRIDE=24Y")</f>
        <v/>
      </c>
      <c r="AW159" s="15">
        <f>_xll.BDP($B159,"BEST_EBIT","BEST_FPERIOD_OVERRIDE=25Y")</f>
        <v/>
      </c>
      <c r="AX159" s="15">
        <f>_xll.BDP($B159,"BEST_EBIT","BEST_FPERIOD_OVERRIDE=26Y")</f>
        <v/>
      </c>
      <c r="AY159" s="15">
        <f>_xll.BDP($B159,"BEST_EBIT","BEST_FPERIOD_OVERRIDE=27Y")</f>
        <v/>
      </c>
      <c r="AZ159" s="15">
        <f>_xll.BDP($B159,"BEST_EBIT","BEST_FPERIOD_OVERRIDE=28Y")</f>
        <v/>
      </c>
      <c r="BB159" s="68">
        <f>_xll.BDP($B159,"CURR_ENTP_VAL","eqy_fund_crncy=USD")/1000</f>
        <v/>
      </c>
      <c r="BC159" s="68">
        <f>BB159-BD159</f>
        <v/>
      </c>
      <c r="BD159" s="15">
        <f t="array" ref="BD159">_xll.BDP($B159,"cur_mkt_cap")/1000000000</f>
        <v/>
      </c>
      <c r="BE159" s="16">
        <f>_xll.BDP($B159,"EBITDA")</f>
        <v/>
      </c>
    </row>
    <row r="161" ht="15" customHeight="1">
      <c r="A161" t="inlineStr">
        <is>
          <t>NVDA</t>
        </is>
      </c>
      <c r="B161">
        <f>A161&amp;" US Equity"</f>
        <v/>
      </c>
      <c r="C161" s="15">
        <f t="array" ref="C161">_xll.BDP($B161,"short_name")</f>
        <v/>
      </c>
      <c r="D161" s="15" t="n">
        <v>4310.577</v>
      </c>
      <c r="E161" s="69" t="n">
        <v>177.39</v>
      </c>
      <c r="F161" s="70" t="n">
        <v>37.8391638225256</v>
      </c>
      <c r="G161" s="70" t="n">
        <v>21.20114736464682</v>
      </c>
      <c r="H161" s="70" t="n">
        <v>15.94086987778576</v>
      </c>
      <c r="I161" s="71" t="n">
        <v>-0.3825537994330209</v>
      </c>
      <c r="J161" s="15" t="n">
        <v>213.7625373134328</v>
      </c>
      <c r="K161" s="72" t="n">
        <v>0.634749080822908</v>
      </c>
      <c r="L161" s="72" t="n">
        <v>0.9212258247945241</v>
      </c>
      <c r="M161" s="72" t="n">
        <v>0.5466261185716828</v>
      </c>
      <c r="N161" s="72" t="n">
        <v>0.5536841449287351</v>
      </c>
      <c r="O161" s="72" t="n">
        <v>0.5646732581179688</v>
      </c>
      <c r="Q161" t="n">
        <v>-0.04884718</v>
      </c>
      <c r="T161" s="68" t="n">
        <v>0.6701072395147926</v>
      </c>
      <c r="AB161" s="15" t="n">
        <v>130387</v>
      </c>
      <c r="AC161" s="15" t="n">
        <v>11412</v>
      </c>
      <c r="AD161" s="15" t="n">
        <v>157293</v>
      </c>
      <c r="AE161" s="15" t="n">
        <v>10605</v>
      </c>
      <c r="AF161" s="16">
        <f>IF(ISNUMBER(_xlfn.SINGLE(_xll.BDP($B161,"BS_LONG_TERM_INVESTMENTS"))),_xlfn.SINGLE(_xll.BDP($B161,"BS_LONG_TERM_INVESTMENTS")),0)</f>
        <v/>
      </c>
      <c r="AG161" s="15" t="n">
        <v>168705</v>
      </c>
      <c r="AH161" s="67" t="n">
        <v>0.9212258247945241</v>
      </c>
      <c r="AJ161" s="15" t="n">
        <v>1.241</v>
      </c>
      <c r="AK161" s="15" t="n">
        <v>2.905</v>
      </c>
      <c r="AL161" s="15" t="n">
        <v>4.688</v>
      </c>
      <c r="AM161" s="15" t="n">
        <v>8.367000000000001</v>
      </c>
      <c r="AN161" s="15" t="n">
        <v>11.128</v>
      </c>
      <c r="AP161" s="15" t="n">
        <v>59315.83333333334</v>
      </c>
      <c r="AQ161" s="15" t="n">
        <v>129608.5166666667</v>
      </c>
      <c r="AR161" s="15" t="n">
        <v>213762.5373134328</v>
      </c>
      <c r="AS161" s="15" t="n">
        <v>366102.7846153846</v>
      </c>
      <c r="AT161" s="15" t="n">
        <v>479501.0476190476</v>
      </c>
      <c r="AV161" s="15" t="n">
        <v>35621.57142857143</v>
      </c>
      <c r="AW161" s="15" t="n">
        <v>85879.85365853659</v>
      </c>
      <c r="AX161" s="15" t="n">
        <v>135685.5740740741</v>
      </c>
      <c r="AY161" s="15" t="n">
        <v>243682.3584905661</v>
      </c>
      <c r="AZ161" s="15" t="n">
        <v>322091.6730769231</v>
      </c>
      <c r="BB161" s="68" t="n">
        <v>5117.577</v>
      </c>
      <c r="BC161" s="68" t="n">
        <v>807</v>
      </c>
      <c r="BD161" s="15" t="n">
        <v>4310.577</v>
      </c>
      <c r="BE161" s="16" t="n">
        <v>133692</v>
      </c>
    </row>
    <row r="162" ht="15" customHeight="1">
      <c r="A162" t="inlineStr">
        <is>
          <t>LRCX</t>
        </is>
      </c>
      <c r="B162">
        <f>A162&amp;" US Equity"</f>
        <v/>
      </c>
      <c r="C162" s="15">
        <f t="array" ref="C162">_xll.BDP($B162,"short_name")</f>
        <v/>
      </c>
      <c r="D162" s="15" t="n">
        <v>272.78153724</v>
      </c>
      <c r="E162" s="69" t="n">
        <v>218.44</v>
      </c>
      <c r="F162" s="70" t="n">
        <v>40.99080502908613</v>
      </c>
      <c r="G162" s="70" t="n">
        <v>31.1345496009122</v>
      </c>
      <c r="H162" s="70" t="n">
        <v>27.55645263025104</v>
      </c>
      <c r="I162" s="71" t="n">
        <v>-0.2310458636440326</v>
      </c>
      <c r="J162" s="15" t="n">
        <v>22.4134</v>
      </c>
      <c r="K162" s="72" t="n">
        <v>0.3444411278161077</v>
      </c>
      <c r="L162" s="72" t="n">
        <v>0.4248195929431116</v>
      </c>
      <c r="M162" s="72" t="n">
        <v>0.1900748481170675</v>
      </c>
      <c r="N162" s="72" t="n">
        <v>0.2411328488432289</v>
      </c>
      <c r="O162" s="72" t="n">
        <v>0.2545108916092862</v>
      </c>
      <c r="Q162" t="n">
        <v>0.2760837</v>
      </c>
      <c r="T162" s="68" t="n">
        <v>1.610571742918311</v>
      </c>
      <c r="AB162" s="15" t="n">
        <v>6942.178</v>
      </c>
      <c r="AC162" s="15" t="n">
        <v>4756.555</v>
      </c>
      <c r="AD162" s="15" t="n">
        <v>9861.618999999999</v>
      </c>
      <c r="AE162" s="15" t="n">
        <v>6390.659</v>
      </c>
      <c r="AF162" s="16">
        <f>IF(ISNUMBER(_xlfn.SINGLE(_xll.BDP($B162,"BS_LONG_TERM_INVESTMENTS"))),_xlfn.SINGLE(_xll.BDP($B162,"BS_LONG_TERM_INVESTMENTS")),0)</f>
        <v/>
      </c>
      <c r="AG162" s="15" t="n">
        <v>14618.174</v>
      </c>
      <c r="AH162" s="67" t="n">
        <v>0.4248195929431116</v>
      </c>
      <c r="AJ162" s="15" t="n">
        <v>2.977</v>
      </c>
      <c r="AK162" s="15" t="n">
        <v>4.015</v>
      </c>
      <c r="AL162" s="15" t="n">
        <v>5.329</v>
      </c>
      <c r="AM162" s="15" t="n">
        <v>7.016</v>
      </c>
      <c r="AN162" s="15" t="n">
        <v>7.927</v>
      </c>
      <c r="AP162" s="15" t="n">
        <v>14869.96153846154</v>
      </c>
      <c r="AQ162" s="15" t="n">
        <v>18262.03225806452</v>
      </c>
      <c r="AR162" s="15" t="n">
        <v>22413.4</v>
      </c>
      <c r="AS162" s="15" t="n">
        <v>27927.53333333333</v>
      </c>
      <c r="AT162" s="15" t="n">
        <v>30780.23529411765</v>
      </c>
      <c r="AV162" s="15" t="n">
        <v>4436.296296296297</v>
      </c>
      <c r="AW162" s="15" t="n">
        <v>5858.448275862069</v>
      </c>
      <c r="AX162" s="15" t="n">
        <v>7720.096774193548</v>
      </c>
      <c r="AY162" s="15" t="n">
        <v>10072.36666666667</v>
      </c>
      <c r="AZ162" s="15" t="n">
        <v>11200.5</v>
      </c>
      <c r="BB162" s="68" t="n">
        <v>-1361.322462759999</v>
      </c>
      <c r="BC162" s="68" t="n">
        <v>-1634.103999999999</v>
      </c>
      <c r="BD162" s="15" t="n">
        <v>272.78153724</v>
      </c>
      <c r="BE162" s="16" t="n">
        <v>7343.529</v>
      </c>
    </row>
    <row r="165">
      <c r="A165" t="inlineStr">
        <is>
          <t>USDTWD</t>
        </is>
      </c>
      <c r="B165" t="n">
        <v>32</v>
      </c>
    </row>
    <row r="166">
      <c r="A166" t="inlineStr">
        <is>
          <t>ADR rate</t>
        </is>
      </c>
      <c r="B166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01"/>
  <sheetViews>
    <sheetView workbookViewId="0">
      <selection activeCell="A1" sqref="A1"/>
    </sheetView>
  </sheetViews>
  <sheetFormatPr baseColWidth="8" defaultRowHeight="14.25"/>
  <cols>
    <col width="25" customWidth="1" min="1" max="6"/>
  </cols>
  <sheetData>
    <row r="1">
      <c r="A1" s="52" t="inlineStr">
        <is>
          <t>Ticker</t>
        </is>
      </c>
      <c r="B1" s="52" t="inlineStr">
        <is>
          <t>BBG Ticker</t>
        </is>
      </c>
      <c r="C1" s="52" t="inlineStr">
        <is>
          <t>Field</t>
        </is>
      </c>
      <c r="D1" s="52" t="inlineStr">
        <is>
          <t>Override</t>
        </is>
      </c>
      <c r="E1" s="52" t="inlineStr">
        <is>
          <t>Description</t>
        </is>
      </c>
      <c r="F1" s="52" t="inlineStr">
        <is>
          <t>BDP Formula</t>
        </is>
      </c>
    </row>
    <row r="2">
      <c r="A2" t="inlineStr">
        <is>
          <t>META</t>
        </is>
      </c>
      <c r="B2" t="inlineStr">
        <is>
          <t>META US Equity</t>
        </is>
      </c>
      <c r="C2" t="inlineStr">
        <is>
          <t>PX_LAST</t>
        </is>
      </c>
      <c r="E2" t="inlineStr">
        <is>
          <t>Last price</t>
        </is>
      </c>
      <c r="F2" s="53">
        <f>_xll.BDP("META US Equity","PX_LAST")</f>
        <v/>
      </c>
    </row>
    <row r="3">
      <c r="A3" t="inlineStr">
        <is>
          <t>META</t>
        </is>
      </c>
      <c r="B3" t="inlineStr">
        <is>
          <t>META US Equity</t>
        </is>
      </c>
      <c r="C3" t="inlineStr">
        <is>
          <t>CUR_MKT_CAP</t>
        </is>
      </c>
      <c r="E3" t="inlineStr">
        <is>
          <t>Market cap (raw)</t>
        </is>
      </c>
      <c r="F3" s="53">
        <f>_xll.BDP("META US Equity","CUR_MKT_CAP")</f>
        <v/>
      </c>
    </row>
    <row r="4">
      <c r="A4" t="inlineStr">
        <is>
          <t>META</t>
        </is>
      </c>
      <c r="B4" t="inlineStr">
        <is>
          <t>META US Equity</t>
        </is>
      </c>
      <c r="C4" t="inlineStr">
        <is>
          <t>CHG_PCT_YTD</t>
        </is>
      </c>
      <c r="E4" t="inlineStr">
        <is>
          <t>YTD price change %</t>
        </is>
      </c>
      <c r="F4" s="53">
        <f>_xll.BDP("META US Equity","CHG_PCT_YTD")</f>
        <v/>
      </c>
    </row>
    <row r="5">
      <c r="A5" t="inlineStr">
        <is>
          <t>META</t>
        </is>
      </c>
      <c r="B5" t="inlineStr">
        <is>
          <t>META US Equity</t>
        </is>
      </c>
      <c r="C5" t="inlineStr">
        <is>
          <t>NET_DEBT_TO_EBITDA</t>
        </is>
      </c>
      <c r="E5" t="inlineStr">
        <is>
          <t>Net debt / EBITDA</t>
        </is>
      </c>
      <c r="F5" s="53">
        <f>_xll.BDP("META US Equity","NET_DEBT_TO_EBITDA")</f>
        <v/>
      </c>
    </row>
    <row r="6">
      <c r="A6" t="inlineStr">
        <is>
          <t>META</t>
        </is>
      </c>
      <c r="B6" t="inlineStr">
        <is>
          <t>META US Equity</t>
        </is>
      </c>
      <c r="C6" t="inlineStr">
        <is>
          <t>RETURN_ON_INV_CAPITAL</t>
        </is>
      </c>
      <c r="E6" t="inlineStr">
        <is>
          <t>ROIC (LTM)</t>
        </is>
      </c>
      <c r="F6" s="53">
        <f>_xll.BDP("META US Equity","RETURN_ON_INV_CAPITAL")</f>
        <v/>
      </c>
    </row>
    <row r="7">
      <c r="A7" t="inlineStr">
        <is>
          <t>META</t>
        </is>
      </c>
      <c r="B7" t="inlineStr">
        <is>
          <t>META US Equity</t>
        </is>
      </c>
      <c r="C7" t="inlineStr">
        <is>
          <t>TRAIL_12M_OPER_INC</t>
        </is>
      </c>
      <c r="E7" t="inlineStr">
        <is>
          <t>LTM operating income</t>
        </is>
      </c>
      <c r="F7" s="53">
        <f>_xll.BDP("META US Equity","TRAIL_12M_OPER_INC")</f>
        <v/>
      </c>
    </row>
    <row r="8">
      <c r="A8" t="inlineStr">
        <is>
          <t>META</t>
        </is>
      </c>
      <c r="B8" t="inlineStr">
        <is>
          <t>META US Equity</t>
        </is>
      </c>
      <c r="C8" t="inlineStr">
        <is>
          <t>TRAIL_12M_EBITDA</t>
        </is>
      </c>
      <c r="E8" t="inlineStr">
        <is>
          <t>LTM EBITDA</t>
        </is>
      </c>
      <c r="F8" s="53">
        <f>_xll.BDP("META US Equity","TRAIL_12M_EBITDA")</f>
        <v/>
      </c>
    </row>
    <row r="9">
      <c r="A9" t="inlineStr">
        <is>
          <t>META</t>
        </is>
      </c>
      <c r="B9" t="inlineStr">
        <is>
          <t>META US Equity</t>
        </is>
      </c>
      <c r="C9" t="inlineStr">
        <is>
          <t>SHORT_AND_LONG_TERM_DEBT</t>
        </is>
      </c>
      <c r="E9" t="inlineStr">
        <is>
          <t>Total debt</t>
        </is>
      </c>
      <c r="F9" s="53">
        <f>_xll.BDP("META US Equity","SHORT_AND_LONG_TERM_DEBT")</f>
        <v/>
      </c>
    </row>
    <row r="10">
      <c r="A10" t="inlineStr">
        <is>
          <t>META</t>
        </is>
      </c>
      <c r="B10" t="inlineStr">
        <is>
          <t>META US Equity</t>
        </is>
      </c>
      <c r="C10" t="inlineStr">
        <is>
          <t>TOTAL_EQUITY</t>
        </is>
      </c>
      <c r="E10" t="inlineStr">
        <is>
          <t>Total equity</t>
        </is>
      </c>
      <c r="F10" s="53">
        <f>_xll.BDP("META US Equity","TOTAL_EQUITY")</f>
        <v/>
      </c>
    </row>
    <row r="11">
      <c r="A11" t="inlineStr">
        <is>
          <t>META</t>
        </is>
      </c>
      <c r="B11" t="inlineStr">
        <is>
          <t>META US Equity</t>
        </is>
      </c>
      <c r="C11" t="inlineStr">
        <is>
          <t>BS_CASH_NEAR_CASH_ITEM</t>
        </is>
      </c>
      <c r="E11" t="inlineStr">
        <is>
          <t>Cash &amp; equivalents</t>
        </is>
      </c>
      <c r="F11" s="53">
        <f>_xll.BDP("META US Equity","BS_CASH_NEAR_CASH_ITEM")</f>
        <v/>
      </c>
    </row>
    <row r="12">
      <c r="A12" t="inlineStr">
        <is>
          <t>META</t>
        </is>
      </c>
      <c r="B12" t="inlineStr">
        <is>
          <t>META US Equity</t>
        </is>
      </c>
      <c r="C12" t="inlineStr">
        <is>
          <t>BEST_EPS</t>
        </is>
      </c>
      <c r="D12" t="inlineStr">
        <is>
          <t>24Y</t>
        </is>
      </c>
      <c r="E12" t="inlineStr">
        <is>
          <t>EPS estimate FY2024</t>
        </is>
      </c>
      <c r="F12" s="53">
        <f>_xll.BDP("META US Equity","BEST_EPS","BEST_FPERIOD_OVERRIDE","24Y")</f>
        <v/>
      </c>
    </row>
    <row r="13">
      <c r="A13" t="inlineStr">
        <is>
          <t>META</t>
        </is>
      </c>
      <c r="B13" t="inlineStr">
        <is>
          <t>META US Equity</t>
        </is>
      </c>
      <c r="C13" t="inlineStr">
        <is>
          <t>BEST_SALES</t>
        </is>
      </c>
      <c r="D13" t="inlineStr">
        <is>
          <t>24Y</t>
        </is>
      </c>
      <c r="E13" t="inlineStr">
        <is>
          <t>Revenue estimate FY2024</t>
        </is>
      </c>
      <c r="F13" s="53">
        <f>_xll.BDP("META US Equity","BEST_SALES","BEST_FPERIOD_OVERRIDE","24Y")</f>
        <v/>
      </c>
    </row>
    <row r="14">
      <c r="A14" t="inlineStr">
        <is>
          <t>META</t>
        </is>
      </c>
      <c r="B14" t="inlineStr">
        <is>
          <t>META US Equity</t>
        </is>
      </c>
      <c r="C14" t="inlineStr">
        <is>
          <t>BEST_EBIT</t>
        </is>
      </c>
      <c r="D14" t="inlineStr">
        <is>
          <t>24Y</t>
        </is>
      </c>
      <c r="E14" t="inlineStr">
        <is>
          <t>EBIT estimate FY2024</t>
        </is>
      </c>
      <c r="F14" s="53">
        <f>_xll.BDP("META US Equity","BEST_EBIT","BEST_FPERIOD_OVERRIDE","24Y")</f>
        <v/>
      </c>
    </row>
    <row r="15">
      <c r="A15" t="inlineStr">
        <is>
          <t>META</t>
        </is>
      </c>
      <c r="B15" t="inlineStr">
        <is>
          <t>META US Equity</t>
        </is>
      </c>
      <c r="C15" t="inlineStr">
        <is>
          <t>BEST_EPS</t>
        </is>
      </c>
      <c r="D15" t="inlineStr">
        <is>
          <t>25Y</t>
        </is>
      </c>
      <c r="E15" t="inlineStr">
        <is>
          <t>EPS estimate FY2025</t>
        </is>
      </c>
      <c r="F15" s="53">
        <f>_xll.BDP("META US Equity","BEST_EPS","BEST_FPERIOD_OVERRIDE","25Y")</f>
        <v/>
      </c>
    </row>
    <row r="16">
      <c r="A16" t="inlineStr">
        <is>
          <t>META</t>
        </is>
      </c>
      <c r="B16" t="inlineStr">
        <is>
          <t>META US Equity</t>
        </is>
      </c>
      <c r="C16" t="inlineStr">
        <is>
          <t>BEST_SALES</t>
        </is>
      </c>
      <c r="D16" t="inlineStr">
        <is>
          <t>25Y</t>
        </is>
      </c>
      <c r="E16" t="inlineStr">
        <is>
          <t>Revenue estimate FY2025</t>
        </is>
      </c>
      <c r="F16" s="53">
        <f>_xll.BDP("META US Equity","BEST_SALES","BEST_FPERIOD_OVERRIDE","25Y")</f>
        <v/>
      </c>
    </row>
    <row r="17">
      <c r="A17" t="inlineStr">
        <is>
          <t>META</t>
        </is>
      </c>
      <c r="B17" t="inlineStr">
        <is>
          <t>META US Equity</t>
        </is>
      </c>
      <c r="C17" t="inlineStr">
        <is>
          <t>BEST_EBIT</t>
        </is>
      </c>
      <c r="D17" t="inlineStr">
        <is>
          <t>25Y</t>
        </is>
      </c>
      <c r="E17" t="inlineStr">
        <is>
          <t>EBIT estimate FY2025</t>
        </is>
      </c>
      <c r="F17" s="53">
        <f>_xll.BDP("META US Equity","BEST_EBIT","BEST_FPERIOD_OVERRIDE","25Y")</f>
        <v/>
      </c>
    </row>
    <row r="18">
      <c r="A18" t="inlineStr">
        <is>
          <t>META</t>
        </is>
      </c>
      <c r="B18" t="inlineStr">
        <is>
          <t>META US Equity</t>
        </is>
      </c>
      <c r="C18" t="inlineStr">
        <is>
          <t>BEST_EPS</t>
        </is>
      </c>
      <c r="D18" t="inlineStr">
        <is>
          <t>26Y</t>
        </is>
      </c>
      <c r="E18" t="inlineStr">
        <is>
          <t>EPS estimate FY2026</t>
        </is>
      </c>
      <c r="F18" s="53">
        <f>_xll.BDP("META US Equity","BEST_EPS","BEST_FPERIOD_OVERRIDE","26Y")</f>
        <v/>
      </c>
    </row>
    <row r="19">
      <c r="A19" t="inlineStr">
        <is>
          <t>META</t>
        </is>
      </c>
      <c r="B19" t="inlineStr">
        <is>
          <t>META US Equity</t>
        </is>
      </c>
      <c r="C19" t="inlineStr">
        <is>
          <t>BEST_SALES</t>
        </is>
      </c>
      <c r="D19" t="inlineStr">
        <is>
          <t>26Y</t>
        </is>
      </c>
      <c r="E19" t="inlineStr">
        <is>
          <t>Revenue estimate FY2026</t>
        </is>
      </c>
      <c r="F19" s="53">
        <f>_xll.BDP("META US Equity","BEST_SALES","BEST_FPERIOD_OVERRIDE","26Y")</f>
        <v/>
      </c>
    </row>
    <row r="20">
      <c r="A20" t="inlineStr">
        <is>
          <t>META</t>
        </is>
      </c>
      <c r="B20" t="inlineStr">
        <is>
          <t>META US Equity</t>
        </is>
      </c>
      <c r="C20" t="inlineStr">
        <is>
          <t>BEST_EBIT</t>
        </is>
      </c>
      <c r="D20" t="inlineStr">
        <is>
          <t>26Y</t>
        </is>
      </c>
      <c r="E20" t="inlineStr">
        <is>
          <t>EBIT estimate FY2026</t>
        </is>
      </c>
      <c r="F20" s="53">
        <f>_xll.BDP("META US Equity","BEST_EBIT","BEST_FPERIOD_OVERRIDE","26Y")</f>
        <v/>
      </c>
    </row>
    <row r="21">
      <c r="A21" t="inlineStr">
        <is>
          <t>META</t>
        </is>
      </c>
      <c r="B21" t="inlineStr">
        <is>
          <t>META US Equity</t>
        </is>
      </c>
      <c r="C21" t="inlineStr">
        <is>
          <t>BEST_EPS</t>
        </is>
      </c>
      <c r="D21" t="inlineStr">
        <is>
          <t>27Y</t>
        </is>
      </c>
      <c r="E21" t="inlineStr">
        <is>
          <t>EPS estimate FY2027</t>
        </is>
      </c>
      <c r="F21" s="53">
        <f>_xll.BDP("META US Equity","BEST_EPS","BEST_FPERIOD_OVERRIDE","27Y")</f>
        <v/>
      </c>
    </row>
    <row r="22">
      <c r="A22" t="inlineStr">
        <is>
          <t>META</t>
        </is>
      </c>
      <c r="B22" t="inlineStr">
        <is>
          <t>META US Equity</t>
        </is>
      </c>
      <c r="C22" t="inlineStr">
        <is>
          <t>BEST_SALES</t>
        </is>
      </c>
      <c r="D22" t="inlineStr">
        <is>
          <t>27Y</t>
        </is>
      </c>
      <c r="E22" t="inlineStr">
        <is>
          <t>Revenue estimate FY2027</t>
        </is>
      </c>
      <c r="F22" s="53">
        <f>_xll.BDP("META US Equity","BEST_SALES","BEST_FPERIOD_OVERRIDE","27Y")</f>
        <v/>
      </c>
    </row>
    <row r="23">
      <c r="A23" t="inlineStr">
        <is>
          <t>META</t>
        </is>
      </c>
      <c r="B23" t="inlineStr">
        <is>
          <t>META US Equity</t>
        </is>
      </c>
      <c r="C23" t="inlineStr">
        <is>
          <t>BEST_EBIT</t>
        </is>
      </c>
      <c r="D23" t="inlineStr">
        <is>
          <t>27Y</t>
        </is>
      </c>
      <c r="E23" t="inlineStr">
        <is>
          <t>EBIT estimate FY2027</t>
        </is>
      </c>
      <c r="F23" s="53">
        <f>_xll.BDP("META US Equity","BEST_EBIT","BEST_FPERIOD_OVERRIDE","27Y")</f>
        <v/>
      </c>
    </row>
    <row r="24">
      <c r="A24" t="inlineStr">
        <is>
          <t>META</t>
        </is>
      </c>
      <c r="B24" t="inlineStr">
        <is>
          <t>META US Equity</t>
        </is>
      </c>
      <c r="C24" t="inlineStr">
        <is>
          <t>BEST_EPS</t>
        </is>
      </c>
      <c r="D24" t="inlineStr">
        <is>
          <t>28Y</t>
        </is>
      </c>
      <c r="E24" t="inlineStr">
        <is>
          <t>EPS estimate FY2028</t>
        </is>
      </c>
      <c r="F24" s="53">
        <f>_xll.BDP("META US Equity","BEST_EPS","BEST_FPERIOD_OVERRIDE","28Y")</f>
        <v/>
      </c>
    </row>
    <row r="25">
      <c r="A25" t="inlineStr">
        <is>
          <t>META</t>
        </is>
      </c>
      <c r="B25" t="inlineStr">
        <is>
          <t>META US Equity</t>
        </is>
      </c>
      <c r="C25" t="inlineStr">
        <is>
          <t>BEST_SALES</t>
        </is>
      </c>
      <c r="D25" t="inlineStr">
        <is>
          <t>28Y</t>
        </is>
      </c>
      <c r="E25" t="inlineStr">
        <is>
          <t>Revenue estimate FY2028</t>
        </is>
      </c>
      <c r="F25" s="53">
        <f>_xll.BDP("META US Equity","BEST_SALES","BEST_FPERIOD_OVERRIDE","28Y")</f>
        <v/>
      </c>
    </row>
    <row r="26">
      <c r="A26" t="inlineStr">
        <is>
          <t>META</t>
        </is>
      </c>
      <c r="B26" t="inlineStr">
        <is>
          <t>META US Equity</t>
        </is>
      </c>
      <c r="C26" t="inlineStr">
        <is>
          <t>BEST_EBIT</t>
        </is>
      </c>
      <c r="D26" t="inlineStr">
        <is>
          <t>28Y</t>
        </is>
      </c>
      <c r="E26" t="inlineStr">
        <is>
          <t>EBIT estimate FY2028</t>
        </is>
      </c>
      <c r="F26" s="53">
        <f>_xll.BDP("META US Equity","BEST_EBIT","BEST_FPERIOD_OVERRIDE","28Y")</f>
        <v/>
      </c>
    </row>
    <row r="27">
      <c r="A27" t="inlineStr">
        <is>
          <t>TSM</t>
        </is>
      </c>
      <c r="B27" t="inlineStr">
        <is>
          <t>TSM US Equity</t>
        </is>
      </c>
      <c r="C27" t="inlineStr">
        <is>
          <t>PX_LAST</t>
        </is>
      </c>
      <c r="E27" t="inlineStr">
        <is>
          <t>Last price</t>
        </is>
      </c>
      <c r="F27" s="53">
        <f>_xll.BDP("TSM US Equity","PX_LAST")</f>
        <v/>
      </c>
    </row>
    <row r="28">
      <c r="A28" t="inlineStr">
        <is>
          <t>TSM</t>
        </is>
      </c>
      <c r="B28" t="inlineStr">
        <is>
          <t>TSM US Equity</t>
        </is>
      </c>
      <c r="C28" t="inlineStr">
        <is>
          <t>CUR_MKT_CAP</t>
        </is>
      </c>
      <c r="E28" t="inlineStr">
        <is>
          <t>Market cap (raw)</t>
        </is>
      </c>
      <c r="F28" s="53">
        <f>_xll.BDP("TSM US Equity","CUR_MKT_CAP")</f>
        <v/>
      </c>
    </row>
    <row r="29">
      <c r="A29" t="inlineStr">
        <is>
          <t>TSM</t>
        </is>
      </c>
      <c r="B29" t="inlineStr">
        <is>
          <t>TSM US Equity</t>
        </is>
      </c>
      <c r="C29" t="inlineStr">
        <is>
          <t>CHG_PCT_YTD</t>
        </is>
      </c>
      <c r="E29" t="inlineStr">
        <is>
          <t>YTD price change %</t>
        </is>
      </c>
      <c r="F29" s="53">
        <f>_xll.BDP("TSM US Equity","CHG_PCT_YTD")</f>
        <v/>
      </c>
    </row>
    <row r="30">
      <c r="A30" t="inlineStr">
        <is>
          <t>TSM</t>
        </is>
      </c>
      <c r="B30" t="inlineStr">
        <is>
          <t>TSM US Equity</t>
        </is>
      </c>
      <c r="C30" t="inlineStr">
        <is>
          <t>NET_DEBT_TO_EBITDA</t>
        </is>
      </c>
      <c r="E30" t="inlineStr">
        <is>
          <t>Net debt / EBITDA</t>
        </is>
      </c>
      <c r="F30" s="53">
        <f>_xll.BDP("TSM US Equity","NET_DEBT_TO_EBITDA")</f>
        <v/>
      </c>
    </row>
    <row r="31">
      <c r="A31" t="inlineStr">
        <is>
          <t>TSM</t>
        </is>
      </c>
      <c r="B31" t="inlineStr">
        <is>
          <t>TSM US Equity</t>
        </is>
      </c>
      <c r="C31" t="inlineStr">
        <is>
          <t>RETURN_ON_INV_CAPITAL</t>
        </is>
      </c>
      <c r="E31" t="inlineStr">
        <is>
          <t>ROIC (LTM)</t>
        </is>
      </c>
      <c r="F31" s="53">
        <f>_xll.BDP("TSM US Equity","RETURN_ON_INV_CAPITAL")</f>
        <v/>
      </c>
    </row>
    <row r="32">
      <c r="A32" t="inlineStr">
        <is>
          <t>TSM</t>
        </is>
      </c>
      <c r="B32" t="inlineStr">
        <is>
          <t>TSM US Equity</t>
        </is>
      </c>
      <c r="C32" t="inlineStr">
        <is>
          <t>TRAIL_12M_OPER_INC</t>
        </is>
      </c>
      <c r="E32" t="inlineStr">
        <is>
          <t>LTM operating income</t>
        </is>
      </c>
      <c r="F32" s="53">
        <f>_xll.BDP("TSM US Equity","TRAIL_12M_OPER_INC")</f>
        <v/>
      </c>
    </row>
    <row r="33">
      <c r="A33" t="inlineStr">
        <is>
          <t>TSM</t>
        </is>
      </c>
      <c r="B33" t="inlineStr">
        <is>
          <t>TSM US Equity</t>
        </is>
      </c>
      <c r="C33" t="inlineStr">
        <is>
          <t>TRAIL_12M_EBITDA</t>
        </is>
      </c>
      <c r="E33" t="inlineStr">
        <is>
          <t>LTM EBITDA</t>
        </is>
      </c>
      <c r="F33" s="53">
        <f>_xll.BDP("TSM US Equity","TRAIL_12M_EBITDA")</f>
        <v/>
      </c>
    </row>
    <row r="34">
      <c r="A34" t="inlineStr">
        <is>
          <t>TSM</t>
        </is>
      </c>
      <c r="B34" t="inlineStr">
        <is>
          <t>TSM US Equity</t>
        </is>
      </c>
      <c r="C34" t="inlineStr">
        <is>
          <t>SHORT_AND_LONG_TERM_DEBT</t>
        </is>
      </c>
      <c r="E34" t="inlineStr">
        <is>
          <t>Total debt</t>
        </is>
      </c>
      <c r="F34" s="53">
        <f>_xll.BDP("TSM US Equity","SHORT_AND_LONG_TERM_DEBT")</f>
        <v/>
      </c>
    </row>
    <row r="35">
      <c r="A35" t="inlineStr">
        <is>
          <t>TSM</t>
        </is>
      </c>
      <c r="B35" t="inlineStr">
        <is>
          <t>TSM US Equity</t>
        </is>
      </c>
      <c r="C35" t="inlineStr">
        <is>
          <t>TOTAL_EQUITY</t>
        </is>
      </c>
      <c r="E35" t="inlineStr">
        <is>
          <t>Total equity</t>
        </is>
      </c>
      <c r="F35" s="53">
        <f>_xll.BDP("TSM US Equity","TOTAL_EQUITY")</f>
        <v/>
      </c>
    </row>
    <row r="36">
      <c r="A36" t="inlineStr">
        <is>
          <t>TSM</t>
        </is>
      </c>
      <c r="B36" t="inlineStr">
        <is>
          <t>TSM US Equity</t>
        </is>
      </c>
      <c r="C36" t="inlineStr">
        <is>
          <t>BS_CASH_NEAR_CASH_ITEM</t>
        </is>
      </c>
      <c r="E36" t="inlineStr">
        <is>
          <t>Cash &amp; equivalents</t>
        </is>
      </c>
      <c r="F36" s="53">
        <f>_xll.BDP("TSM US Equity","BS_CASH_NEAR_CASH_ITEM")</f>
        <v/>
      </c>
    </row>
    <row r="37">
      <c r="A37" t="inlineStr">
        <is>
          <t>TSM</t>
        </is>
      </c>
      <c r="B37" t="inlineStr">
        <is>
          <t>TSM US Equity</t>
        </is>
      </c>
      <c r="C37" t="inlineStr">
        <is>
          <t>BEST_EPS</t>
        </is>
      </c>
      <c r="D37" t="inlineStr">
        <is>
          <t>24Y</t>
        </is>
      </c>
      <c r="E37" t="inlineStr">
        <is>
          <t>EPS estimate FY2024</t>
        </is>
      </c>
      <c r="F37" s="53">
        <f>_xll.BDP("TSM US Equity","BEST_EPS","BEST_FPERIOD_OVERRIDE","24Y")</f>
        <v/>
      </c>
    </row>
    <row r="38">
      <c r="A38" t="inlineStr">
        <is>
          <t>TSM</t>
        </is>
      </c>
      <c r="B38" t="inlineStr">
        <is>
          <t>TSM US Equity</t>
        </is>
      </c>
      <c r="C38" t="inlineStr">
        <is>
          <t>BEST_SALES</t>
        </is>
      </c>
      <c r="D38" t="inlineStr">
        <is>
          <t>24Y</t>
        </is>
      </c>
      <c r="E38" t="inlineStr">
        <is>
          <t>Revenue estimate FY2024</t>
        </is>
      </c>
      <c r="F38" s="53">
        <f>_xll.BDP("TSM US Equity","BEST_SALES","BEST_FPERIOD_OVERRIDE","24Y")</f>
        <v/>
      </c>
    </row>
    <row r="39">
      <c r="A39" t="inlineStr">
        <is>
          <t>TSM</t>
        </is>
      </c>
      <c r="B39" t="inlineStr">
        <is>
          <t>TSM US Equity</t>
        </is>
      </c>
      <c r="C39" t="inlineStr">
        <is>
          <t>BEST_EBIT</t>
        </is>
      </c>
      <c r="D39" t="inlineStr">
        <is>
          <t>24Y</t>
        </is>
      </c>
      <c r="E39" t="inlineStr">
        <is>
          <t>EBIT estimate FY2024</t>
        </is>
      </c>
      <c r="F39" s="53">
        <f>_xll.BDP("TSM US Equity","BEST_EBIT","BEST_FPERIOD_OVERRIDE","24Y")</f>
        <v/>
      </c>
    </row>
    <row r="40">
      <c r="A40" t="inlineStr">
        <is>
          <t>TSM</t>
        </is>
      </c>
      <c r="B40" t="inlineStr">
        <is>
          <t>TSM US Equity</t>
        </is>
      </c>
      <c r="C40" t="inlineStr">
        <is>
          <t>BEST_EPS</t>
        </is>
      </c>
      <c r="D40" t="inlineStr">
        <is>
          <t>25Y</t>
        </is>
      </c>
      <c r="E40" t="inlineStr">
        <is>
          <t>EPS estimate FY2025</t>
        </is>
      </c>
      <c r="F40" s="53">
        <f>_xll.BDP("TSM US Equity","BEST_EPS","BEST_FPERIOD_OVERRIDE","25Y")</f>
        <v/>
      </c>
    </row>
    <row r="41">
      <c r="A41" t="inlineStr">
        <is>
          <t>TSM</t>
        </is>
      </c>
      <c r="B41" t="inlineStr">
        <is>
          <t>TSM US Equity</t>
        </is>
      </c>
      <c r="C41" t="inlineStr">
        <is>
          <t>BEST_SALES</t>
        </is>
      </c>
      <c r="D41" t="inlineStr">
        <is>
          <t>25Y</t>
        </is>
      </c>
      <c r="E41" t="inlineStr">
        <is>
          <t>Revenue estimate FY2025</t>
        </is>
      </c>
      <c r="F41" s="53">
        <f>_xll.BDP("TSM US Equity","BEST_SALES","BEST_FPERIOD_OVERRIDE","25Y")</f>
        <v/>
      </c>
    </row>
    <row r="42">
      <c r="A42" t="inlineStr">
        <is>
          <t>TSM</t>
        </is>
      </c>
      <c r="B42" t="inlineStr">
        <is>
          <t>TSM US Equity</t>
        </is>
      </c>
      <c r="C42" t="inlineStr">
        <is>
          <t>BEST_EBIT</t>
        </is>
      </c>
      <c r="D42" t="inlineStr">
        <is>
          <t>25Y</t>
        </is>
      </c>
      <c r="E42" t="inlineStr">
        <is>
          <t>EBIT estimate FY2025</t>
        </is>
      </c>
      <c r="F42" s="53">
        <f>_xll.BDP("TSM US Equity","BEST_EBIT","BEST_FPERIOD_OVERRIDE","25Y")</f>
        <v/>
      </c>
    </row>
    <row r="43">
      <c r="A43" t="inlineStr">
        <is>
          <t>TSM</t>
        </is>
      </c>
      <c r="B43" t="inlineStr">
        <is>
          <t>TSM US Equity</t>
        </is>
      </c>
      <c r="C43" t="inlineStr">
        <is>
          <t>BEST_EPS</t>
        </is>
      </c>
      <c r="D43" t="inlineStr">
        <is>
          <t>26Y</t>
        </is>
      </c>
      <c r="E43" t="inlineStr">
        <is>
          <t>EPS estimate FY2026</t>
        </is>
      </c>
      <c r="F43" s="53">
        <f>_xll.BDP("TSM US Equity","BEST_EPS","BEST_FPERIOD_OVERRIDE","26Y")</f>
        <v/>
      </c>
    </row>
    <row r="44">
      <c r="A44" t="inlineStr">
        <is>
          <t>TSM</t>
        </is>
      </c>
      <c r="B44" t="inlineStr">
        <is>
          <t>TSM US Equity</t>
        </is>
      </c>
      <c r="C44" t="inlineStr">
        <is>
          <t>BEST_SALES</t>
        </is>
      </c>
      <c r="D44" t="inlineStr">
        <is>
          <t>26Y</t>
        </is>
      </c>
      <c r="E44" t="inlineStr">
        <is>
          <t>Revenue estimate FY2026</t>
        </is>
      </c>
      <c r="F44" s="53">
        <f>_xll.BDP("TSM US Equity","BEST_SALES","BEST_FPERIOD_OVERRIDE","26Y")</f>
        <v/>
      </c>
    </row>
    <row r="45">
      <c r="A45" t="inlineStr">
        <is>
          <t>TSM</t>
        </is>
      </c>
      <c r="B45" t="inlineStr">
        <is>
          <t>TSM US Equity</t>
        </is>
      </c>
      <c r="C45" t="inlineStr">
        <is>
          <t>BEST_EBIT</t>
        </is>
      </c>
      <c r="D45" t="inlineStr">
        <is>
          <t>26Y</t>
        </is>
      </c>
      <c r="E45" t="inlineStr">
        <is>
          <t>EBIT estimate FY2026</t>
        </is>
      </c>
      <c r="F45" s="53">
        <f>_xll.BDP("TSM US Equity","BEST_EBIT","BEST_FPERIOD_OVERRIDE","26Y")</f>
        <v/>
      </c>
    </row>
    <row r="46">
      <c r="A46" t="inlineStr">
        <is>
          <t>TSM</t>
        </is>
      </c>
      <c r="B46" t="inlineStr">
        <is>
          <t>TSM US Equity</t>
        </is>
      </c>
      <c r="C46" t="inlineStr">
        <is>
          <t>BEST_EPS</t>
        </is>
      </c>
      <c r="D46" t="inlineStr">
        <is>
          <t>27Y</t>
        </is>
      </c>
      <c r="E46" t="inlineStr">
        <is>
          <t>EPS estimate FY2027</t>
        </is>
      </c>
      <c r="F46" s="53">
        <f>_xll.BDP("TSM US Equity","BEST_EPS","BEST_FPERIOD_OVERRIDE","27Y")</f>
        <v/>
      </c>
    </row>
    <row r="47">
      <c r="A47" t="inlineStr">
        <is>
          <t>TSM</t>
        </is>
      </c>
      <c r="B47" t="inlineStr">
        <is>
          <t>TSM US Equity</t>
        </is>
      </c>
      <c r="C47" t="inlineStr">
        <is>
          <t>BEST_SALES</t>
        </is>
      </c>
      <c r="D47" t="inlineStr">
        <is>
          <t>27Y</t>
        </is>
      </c>
      <c r="E47" t="inlineStr">
        <is>
          <t>Revenue estimate FY2027</t>
        </is>
      </c>
      <c r="F47" s="53">
        <f>_xll.BDP("TSM US Equity","BEST_SALES","BEST_FPERIOD_OVERRIDE","27Y")</f>
        <v/>
      </c>
    </row>
    <row r="48">
      <c r="A48" t="inlineStr">
        <is>
          <t>TSM</t>
        </is>
      </c>
      <c r="B48" t="inlineStr">
        <is>
          <t>TSM US Equity</t>
        </is>
      </c>
      <c r="C48" t="inlineStr">
        <is>
          <t>BEST_EBIT</t>
        </is>
      </c>
      <c r="D48" t="inlineStr">
        <is>
          <t>27Y</t>
        </is>
      </c>
      <c r="E48" t="inlineStr">
        <is>
          <t>EBIT estimate FY2027</t>
        </is>
      </c>
      <c r="F48" s="53">
        <f>_xll.BDP("TSM US Equity","BEST_EBIT","BEST_FPERIOD_OVERRIDE","27Y")</f>
        <v/>
      </c>
    </row>
    <row r="49">
      <c r="A49" t="inlineStr">
        <is>
          <t>TSM</t>
        </is>
      </c>
      <c r="B49" t="inlineStr">
        <is>
          <t>TSM US Equity</t>
        </is>
      </c>
      <c r="C49" t="inlineStr">
        <is>
          <t>BEST_EPS</t>
        </is>
      </c>
      <c r="D49" t="inlineStr">
        <is>
          <t>28Y</t>
        </is>
      </c>
      <c r="E49" t="inlineStr">
        <is>
          <t>EPS estimate FY2028</t>
        </is>
      </c>
      <c r="F49" s="53">
        <f>_xll.BDP("TSM US Equity","BEST_EPS","BEST_FPERIOD_OVERRIDE","28Y")</f>
        <v/>
      </c>
    </row>
    <row r="50">
      <c r="A50" t="inlineStr">
        <is>
          <t>TSM</t>
        </is>
      </c>
      <c r="B50" t="inlineStr">
        <is>
          <t>TSM US Equity</t>
        </is>
      </c>
      <c r="C50" t="inlineStr">
        <is>
          <t>BEST_SALES</t>
        </is>
      </c>
      <c r="D50" t="inlineStr">
        <is>
          <t>28Y</t>
        </is>
      </c>
      <c r="E50" t="inlineStr">
        <is>
          <t>Revenue estimate FY2028</t>
        </is>
      </c>
      <c r="F50" s="53">
        <f>_xll.BDP("TSM US Equity","BEST_SALES","BEST_FPERIOD_OVERRIDE","28Y")</f>
        <v/>
      </c>
    </row>
    <row r="51">
      <c r="A51" t="inlineStr">
        <is>
          <t>TSM</t>
        </is>
      </c>
      <c r="B51" t="inlineStr">
        <is>
          <t>TSM US Equity</t>
        </is>
      </c>
      <c r="C51" t="inlineStr">
        <is>
          <t>BEST_EBIT</t>
        </is>
      </c>
      <c r="D51" t="inlineStr">
        <is>
          <t>28Y</t>
        </is>
      </c>
      <c r="E51" t="inlineStr">
        <is>
          <t>EBIT estimate FY2028</t>
        </is>
      </c>
      <c r="F51" s="53">
        <f>_xll.BDP("TSM US Equity","BEST_EBIT","BEST_FPERIOD_OVERRIDE","28Y")</f>
        <v/>
      </c>
    </row>
    <row r="52">
      <c r="A52" t="inlineStr">
        <is>
          <t>AMZN</t>
        </is>
      </c>
      <c r="B52" t="inlineStr">
        <is>
          <t>AMZN US Equity</t>
        </is>
      </c>
      <c r="C52" t="inlineStr">
        <is>
          <t>PX_LAST</t>
        </is>
      </c>
      <c r="E52" t="inlineStr">
        <is>
          <t>Last price</t>
        </is>
      </c>
      <c r="F52" s="53">
        <f>_xll.BDP("AMZN US Equity","PX_LAST")</f>
        <v/>
      </c>
    </row>
    <row r="53">
      <c r="A53" t="inlineStr">
        <is>
          <t>AMZN</t>
        </is>
      </c>
      <c r="B53" t="inlineStr">
        <is>
          <t>AMZN US Equity</t>
        </is>
      </c>
      <c r="C53" t="inlineStr">
        <is>
          <t>CUR_MKT_CAP</t>
        </is>
      </c>
      <c r="E53" t="inlineStr">
        <is>
          <t>Market cap (raw)</t>
        </is>
      </c>
      <c r="F53" s="53">
        <f>_xll.BDP("AMZN US Equity","CUR_MKT_CAP")</f>
        <v/>
      </c>
    </row>
    <row r="54">
      <c r="A54" t="inlineStr">
        <is>
          <t>AMZN</t>
        </is>
      </c>
      <c r="B54" t="inlineStr">
        <is>
          <t>AMZN US Equity</t>
        </is>
      </c>
      <c r="C54" t="inlineStr">
        <is>
          <t>CHG_PCT_YTD</t>
        </is>
      </c>
      <c r="E54" t="inlineStr">
        <is>
          <t>YTD price change %</t>
        </is>
      </c>
      <c r="F54" s="53">
        <f>_xll.BDP("AMZN US Equity","CHG_PCT_YTD")</f>
        <v/>
      </c>
    </row>
    <row r="55">
      <c r="A55" t="inlineStr">
        <is>
          <t>AMZN</t>
        </is>
      </c>
      <c r="B55" t="inlineStr">
        <is>
          <t>AMZN US Equity</t>
        </is>
      </c>
      <c r="C55" t="inlineStr">
        <is>
          <t>NET_DEBT_TO_EBITDA</t>
        </is>
      </c>
      <c r="E55" t="inlineStr">
        <is>
          <t>Net debt / EBITDA</t>
        </is>
      </c>
      <c r="F55" s="53">
        <f>_xll.BDP("AMZN US Equity","NET_DEBT_TO_EBITDA")</f>
        <v/>
      </c>
    </row>
    <row r="56">
      <c r="A56" t="inlineStr">
        <is>
          <t>AMZN</t>
        </is>
      </c>
      <c r="B56" t="inlineStr">
        <is>
          <t>AMZN US Equity</t>
        </is>
      </c>
      <c r="C56" t="inlineStr">
        <is>
          <t>RETURN_ON_INV_CAPITAL</t>
        </is>
      </c>
      <c r="E56" t="inlineStr">
        <is>
          <t>ROIC (LTM)</t>
        </is>
      </c>
      <c r="F56" s="53">
        <f>_xll.BDP("AMZN US Equity","RETURN_ON_INV_CAPITAL")</f>
        <v/>
      </c>
    </row>
    <row r="57">
      <c r="A57" t="inlineStr">
        <is>
          <t>AMZN</t>
        </is>
      </c>
      <c r="B57" t="inlineStr">
        <is>
          <t>AMZN US Equity</t>
        </is>
      </c>
      <c r="C57" t="inlineStr">
        <is>
          <t>TRAIL_12M_OPER_INC</t>
        </is>
      </c>
      <c r="E57" t="inlineStr">
        <is>
          <t>LTM operating income</t>
        </is>
      </c>
      <c r="F57" s="53">
        <f>_xll.BDP("AMZN US Equity","TRAIL_12M_OPER_INC")</f>
        <v/>
      </c>
    </row>
    <row r="58">
      <c r="A58" t="inlineStr">
        <is>
          <t>AMZN</t>
        </is>
      </c>
      <c r="B58" t="inlineStr">
        <is>
          <t>AMZN US Equity</t>
        </is>
      </c>
      <c r="C58" t="inlineStr">
        <is>
          <t>TRAIL_12M_EBITDA</t>
        </is>
      </c>
      <c r="E58" t="inlineStr">
        <is>
          <t>LTM EBITDA</t>
        </is>
      </c>
      <c r="F58" s="53">
        <f>_xll.BDP("AMZN US Equity","TRAIL_12M_EBITDA")</f>
        <v/>
      </c>
    </row>
    <row r="59">
      <c r="A59" t="inlineStr">
        <is>
          <t>AMZN</t>
        </is>
      </c>
      <c r="B59" t="inlineStr">
        <is>
          <t>AMZN US Equity</t>
        </is>
      </c>
      <c r="C59" t="inlineStr">
        <is>
          <t>SHORT_AND_LONG_TERM_DEBT</t>
        </is>
      </c>
      <c r="E59" t="inlineStr">
        <is>
          <t>Total debt</t>
        </is>
      </c>
      <c r="F59" s="53">
        <f>_xll.BDP("AMZN US Equity","SHORT_AND_LONG_TERM_DEBT")</f>
        <v/>
      </c>
    </row>
    <row r="60">
      <c r="A60" t="inlineStr">
        <is>
          <t>AMZN</t>
        </is>
      </c>
      <c r="B60" t="inlineStr">
        <is>
          <t>AMZN US Equity</t>
        </is>
      </c>
      <c r="C60" t="inlineStr">
        <is>
          <t>TOTAL_EQUITY</t>
        </is>
      </c>
      <c r="E60" t="inlineStr">
        <is>
          <t>Total equity</t>
        </is>
      </c>
      <c r="F60" s="53">
        <f>_xll.BDP("AMZN US Equity","TOTAL_EQUITY")</f>
        <v/>
      </c>
    </row>
    <row r="61">
      <c r="A61" t="inlineStr">
        <is>
          <t>AMZN</t>
        </is>
      </c>
      <c r="B61" t="inlineStr">
        <is>
          <t>AMZN US Equity</t>
        </is>
      </c>
      <c r="C61" t="inlineStr">
        <is>
          <t>BS_CASH_NEAR_CASH_ITEM</t>
        </is>
      </c>
      <c r="E61" t="inlineStr">
        <is>
          <t>Cash &amp; equivalents</t>
        </is>
      </c>
      <c r="F61" s="53">
        <f>_xll.BDP("AMZN US Equity","BS_CASH_NEAR_CASH_ITEM")</f>
        <v/>
      </c>
    </row>
    <row r="62">
      <c r="A62" t="inlineStr">
        <is>
          <t>AMZN</t>
        </is>
      </c>
      <c r="B62" t="inlineStr">
        <is>
          <t>AMZN US Equity</t>
        </is>
      </c>
      <c r="C62" t="inlineStr">
        <is>
          <t>BEST_EPS</t>
        </is>
      </c>
      <c r="D62" t="inlineStr">
        <is>
          <t>24Y</t>
        </is>
      </c>
      <c r="E62" t="inlineStr">
        <is>
          <t>EPS estimate FY2024</t>
        </is>
      </c>
      <c r="F62" s="53">
        <f>_xll.BDP("AMZN US Equity","BEST_EPS","BEST_FPERIOD_OVERRIDE","24Y")</f>
        <v/>
      </c>
    </row>
    <row r="63">
      <c r="A63" t="inlineStr">
        <is>
          <t>AMZN</t>
        </is>
      </c>
      <c r="B63" t="inlineStr">
        <is>
          <t>AMZN US Equity</t>
        </is>
      </c>
      <c r="C63" t="inlineStr">
        <is>
          <t>BEST_SALES</t>
        </is>
      </c>
      <c r="D63" t="inlineStr">
        <is>
          <t>24Y</t>
        </is>
      </c>
      <c r="E63" t="inlineStr">
        <is>
          <t>Revenue estimate FY2024</t>
        </is>
      </c>
      <c r="F63" s="53">
        <f>_xll.BDP("AMZN US Equity","BEST_SALES","BEST_FPERIOD_OVERRIDE","24Y")</f>
        <v/>
      </c>
    </row>
    <row r="64">
      <c r="A64" t="inlineStr">
        <is>
          <t>AMZN</t>
        </is>
      </c>
      <c r="B64" t="inlineStr">
        <is>
          <t>AMZN US Equity</t>
        </is>
      </c>
      <c r="C64" t="inlineStr">
        <is>
          <t>BEST_EBIT</t>
        </is>
      </c>
      <c r="D64" t="inlineStr">
        <is>
          <t>24Y</t>
        </is>
      </c>
      <c r="E64" t="inlineStr">
        <is>
          <t>EBIT estimate FY2024</t>
        </is>
      </c>
      <c r="F64" s="53">
        <f>_xll.BDP("AMZN US Equity","BEST_EBIT","BEST_FPERIOD_OVERRIDE","24Y")</f>
        <v/>
      </c>
    </row>
    <row r="65">
      <c r="A65" t="inlineStr">
        <is>
          <t>AMZN</t>
        </is>
      </c>
      <c r="B65" t="inlineStr">
        <is>
          <t>AMZN US Equity</t>
        </is>
      </c>
      <c r="C65" t="inlineStr">
        <is>
          <t>BEST_EPS</t>
        </is>
      </c>
      <c r="D65" t="inlineStr">
        <is>
          <t>25Y</t>
        </is>
      </c>
      <c r="E65" t="inlineStr">
        <is>
          <t>EPS estimate FY2025</t>
        </is>
      </c>
      <c r="F65" s="53">
        <f>_xll.BDP("AMZN US Equity","BEST_EPS","BEST_FPERIOD_OVERRIDE","25Y")</f>
        <v/>
      </c>
    </row>
    <row r="66">
      <c r="A66" t="inlineStr">
        <is>
          <t>AMZN</t>
        </is>
      </c>
      <c r="B66" t="inlineStr">
        <is>
          <t>AMZN US Equity</t>
        </is>
      </c>
      <c r="C66" t="inlineStr">
        <is>
          <t>BEST_SALES</t>
        </is>
      </c>
      <c r="D66" t="inlineStr">
        <is>
          <t>25Y</t>
        </is>
      </c>
      <c r="E66" t="inlineStr">
        <is>
          <t>Revenue estimate FY2025</t>
        </is>
      </c>
      <c r="F66" s="53">
        <f>_xll.BDP("AMZN US Equity","BEST_SALES","BEST_FPERIOD_OVERRIDE","25Y")</f>
        <v/>
      </c>
    </row>
    <row r="67">
      <c r="A67" t="inlineStr">
        <is>
          <t>AMZN</t>
        </is>
      </c>
      <c r="B67" t="inlineStr">
        <is>
          <t>AMZN US Equity</t>
        </is>
      </c>
      <c r="C67" t="inlineStr">
        <is>
          <t>BEST_EBIT</t>
        </is>
      </c>
      <c r="D67" t="inlineStr">
        <is>
          <t>25Y</t>
        </is>
      </c>
      <c r="E67" t="inlineStr">
        <is>
          <t>EBIT estimate FY2025</t>
        </is>
      </c>
      <c r="F67" s="53">
        <f>_xll.BDP("AMZN US Equity","BEST_EBIT","BEST_FPERIOD_OVERRIDE","25Y")</f>
        <v/>
      </c>
    </row>
    <row r="68">
      <c r="A68" t="inlineStr">
        <is>
          <t>AMZN</t>
        </is>
      </c>
      <c r="B68" t="inlineStr">
        <is>
          <t>AMZN US Equity</t>
        </is>
      </c>
      <c r="C68" t="inlineStr">
        <is>
          <t>BEST_EPS</t>
        </is>
      </c>
      <c r="D68" t="inlineStr">
        <is>
          <t>26Y</t>
        </is>
      </c>
      <c r="E68" t="inlineStr">
        <is>
          <t>EPS estimate FY2026</t>
        </is>
      </c>
      <c r="F68" s="53">
        <f>_xll.BDP("AMZN US Equity","BEST_EPS","BEST_FPERIOD_OVERRIDE","26Y")</f>
        <v/>
      </c>
    </row>
    <row r="69">
      <c r="A69" t="inlineStr">
        <is>
          <t>AMZN</t>
        </is>
      </c>
      <c r="B69" t="inlineStr">
        <is>
          <t>AMZN US Equity</t>
        </is>
      </c>
      <c r="C69" t="inlineStr">
        <is>
          <t>BEST_SALES</t>
        </is>
      </c>
      <c r="D69" t="inlineStr">
        <is>
          <t>26Y</t>
        </is>
      </c>
      <c r="E69" t="inlineStr">
        <is>
          <t>Revenue estimate FY2026</t>
        </is>
      </c>
      <c r="F69" s="53">
        <f>_xll.BDP("AMZN US Equity","BEST_SALES","BEST_FPERIOD_OVERRIDE","26Y")</f>
        <v/>
      </c>
    </row>
    <row r="70">
      <c r="A70" t="inlineStr">
        <is>
          <t>AMZN</t>
        </is>
      </c>
      <c r="B70" t="inlineStr">
        <is>
          <t>AMZN US Equity</t>
        </is>
      </c>
      <c r="C70" t="inlineStr">
        <is>
          <t>BEST_EBIT</t>
        </is>
      </c>
      <c r="D70" t="inlineStr">
        <is>
          <t>26Y</t>
        </is>
      </c>
      <c r="E70" t="inlineStr">
        <is>
          <t>EBIT estimate FY2026</t>
        </is>
      </c>
      <c r="F70" s="53">
        <f>_xll.BDP("AMZN US Equity","BEST_EBIT","BEST_FPERIOD_OVERRIDE","26Y")</f>
        <v/>
      </c>
    </row>
    <row r="71">
      <c r="A71" t="inlineStr">
        <is>
          <t>AMZN</t>
        </is>
      </c>
      <c r="B71" t="inlineStr">
        <is>
          <t>AMZN US Equity</t>
        </is>
      </c>
      <c r="C71" t="inlineStr">
        <is>
          <t>BEST_EPS</t>
        </is>
      </c>
      <c r="D71" t="inlineStr">
        <is>
          <t>27Y</t>
        </is>
      </c>
      <c r="E71" t="inlineStr">
        <is>
          <t>EPS estimate FY2027</t>
        </is>
      </c>
      <c r="F71" s="53">
        <f>_xll.BDP("AMZN US Equity","BEST_EPS","BEST_FPERIOD_OVERRIDE","27Y")</f>
        <v/>
      </c>
    </row>
    <row r="72">
      <c r="A72" t="inlineStr">
        <is>
          <t>AMZN</t>
        </is>
      </c>
      <c r="B72" t="inlineStr">
        <is>
          <t>AMZN US Equity</t>
        </is>
      </c>
      <c r="C72" t="inlineStr">
        <is>
          <t>BEST_SALES</t>
        </is>
      </c>
      <c r="D72" t="inlineStr">
        <is>
          <t>27Y</t>
        </is>
      </c>
      <c r="E72" t="inlineStr">
        <is>
          <t>Revenue estimate FY2027</t>
        </is>
      </c>
      <c r="F72" s="53">
        <f>_xll.BDP("AMZN US Equity","BEST_SALES","BEST_FPERIOD_OVERRIDE","27Y")</f>
        <v/>
      </c>
    </row>
    <row r="73">
      <c r="A73" t="inlineStr">
        <is>
          <t>AMZN</t>
        </is>
      </c>
      <c r="B73" t="inlineStr">
        <is>
          <t>AMZN US Equity</t>
        </is>
      </c>
      <c r="C73" t="inlineStr">
        <is>
          <t>BEST_EBIT</t>
        </is>
      </c>
      <c r="D73" t="inlineStr">
        <is>
          <t>27Y</t>
        </is>
      </c>
      <c r="E73" t="inlineStr">
        <is>
          <t>EBIT estimate FY2027</t>
        </is>
      </c>
      <c r="F73" s="53">
        <f>_xll.BDP("AMZN US Equity","BEST_EBIT","BEST_FPERIOD_OVERRIDE","27Y")</f>
        <v/>
      </c>
    </row>
    <row r="74">
      <c r="A74" t="inlineStr">
        <is>
          <t>AMZN</t>
        </is>
      </c>
      <c r="B74" t="inlineStr">
        <is>
          <t>AMZN US Equity</t>
        </is>
      </c>
      <c r="C74" t="inlineStr">
        <is>
          <t>BEST_EPS</t>
        </is>
      </c>
      <c r="D74" t="inlineStr">
        <is>
          <t>28Y</t>
        </is>
      </c>
      <c r="E74" t="inlineStr">
        <is>
          <t>EPS estimate FY2028</t>
        </is>
      </c>
      <c r="F74" s="53">
        <f>_xll.BDP("AMZN US Equity","BEST_EPS","BEST_FPERIOD_OVERRIDE","28Y")</f>
        <v/>
      </c>
    </row>
    <row r="75">
      <c r="A75" t="inlineStr">
        <is>
          <t>AMZN</t>
        </is>
      </c>
      <c r="B75" t="inlineStr">
        <is>
          <t>AMZN US Equity</t>
        </is>
      </c>
      <c r="C75" t="inlineStr">
        <is>
          <t>BEST_SALES</t>
        </is>
      </c>
      <c r="D75" t="inlineStr">
        <is>
          <t>28Y</t>
        </is>
      </c>
      <c r="E75" t="inlineStr">
        <is>
          <t>Revenue estimate FY2028</t>
        </is>
      </c>
      <c r="F75" s="53">
        <f>_xll.BDP("AMZN US Equity","BEST_SALES","BEST_FPERIOD_OVERRIDE","28Y")</f>
        <v/>
      </c>
    </row>
    <row r="76">
      <c r="A76" t="inlineStr">
        <is>
          <t>AMZN</t>
        </is>
      </c>
      <c r="B76" t="inlineStr">
        <is>
          <t>AMZN US Equity</t>
        </is>
      </c>
      <c r="C76" t="inlineStr">
        <is>
          <t>BEST_EBIT</t>
        </is>
      </c>
      <c r="D76" t="inlineStr">
        <is>
          <t>28Y</t>
        </is>
      </c>
      <c r="E76" t="inlineStr">
        <is>
          <t>EBIT estimate FY2028</t>
        </is>
      </c>
      <c r="F76" s="53">
        <f>_xll.BDP("AMZN US Equity","BEST_EBIT","BEST_FPERIOD_OVERRIDE","28Y")</f>
        <v/>
      </c>
    </row>
    <row r="77">
      <c r="A77" t="inlineStr">
        <is>
          <t>NVDA</t>
        </is>
      </c>
      <c r="B77" t="inlineStr">
        <is>
          <t>NVDA US Equity</t>
        </is>
      </c>
      <c r="C77" t="inlineStr">
        <is>
          <t>PX_LAST</t>
        </is>
      </c>
      <c r="E77" t="inlineStr">
        <is>
          <t>Last price</t>
        </is>
      </c>
      <c r="F77" s="53">
        <f>_xll.BDP("NVDA US Equity","PX_LAST")</f>
        <v/>
      </c>
    </row>
    <row r="78">
      <c r="A78" t="inlineStr">
        <is>
          <t>NVDA</t>
        </is>
      </c>
      <c r="B78" t="inlineStr">
        <is>
          <t>NVDA US Equity</t>
        </is>
      </c>
      <c r="C78" t="inlineStr">
        <is>
          <t>CUR_MKT_CAP</t>
        </is>
      </c>
      <c r="E78" t="inlineStr">
        <is>
          <t>Market cap (raw)</t>
        </is>
      </c>
      <c r="F78" s="53">
        <f>_xll.BDP("NVDA US Equity","CUR_MKT_CAP")</f>
        <v/>
      </c>
    </row>
    <row r="79">
      <c r="A79" t="inlineStr">
        <is>
          <t>NVDA</t>
        </is>
      </c>
      <c r="B79" t="inlineStr">
        <is>
          <t>NVDA US Equity</t>
        </is>
      </c>
      <c r="C79" t="inlineStr">
        <is>
          <t>CHG_PCT_YTD</t>
        </is>
      </c>
      <c r="E79" t="inlineStr">
        <is>
          <t>YTD price change %</t>
        </is>
      </c>
      <c r="F79" s="53">
        <f>_xll.BDP("NVDA US Equity","CHG_PCT_YTD")</f>
        <v/>
      </c>
    </row>
    <row r="80">
      <c r="A80" t="inlineStr">
        <is>
          <t>NVDA</t>
        </is>
      </c>
      <c r="B80" t="inlineStr">
        <is>
          <t>NVDA US Equity</t>
        </is>
      </c>
      <c r="C80" t="inlineStr">
        <is>
          <t>NET_DEBT_TO_EBITDA</t>
        </is>
      </c>
      <c r="E80" t="inlineStr">
        <is>
          <t>Net debt / EBITDA</t>
        </is>
      </c>
      <c r="F80" s="53">
        <f>_xll.BDP("NVDA US Equity","NET_DEBT_TO_EBITDA")</f>
        <v/>
      </c>
    </row>
    <row r="81">
      <c r="A81" t="inlineStr">
        <is>
          <t>NVDA</t>
        </is>
      </c>
      <c r="B81" t="inlineStr">
        <is>
          <t>NVDA US Equity</t>
        </is>
      </c>
      <c r="C81" t="inlineStr">
        <is>
          <t>RETURN_ON_INV_CAPITAL</t>
        </is>
      </c>
      <c r="E81" t="inlineStr">
        <is>
          <t>ROIC (LTM)</t>
        </is>
      </c>
      <c r="F81" s="53">
        <f>_xll.BDP("NVDA US Equity","RETURN_ON_INV_CAPITAL")</f>
        <v/>
      </c>
    </row>
    <row r="82">
      <c r="A82" t="inlineStr">
        <is>
          <t>NVDA</t>
        </is>
      </c>
      <c r="B82" t="inlineStr">
        <is>
          <t>NVDA US Equity</t>
        </is>
      </c>
      <c r="C82" t="inlineStr">
        <is>
          <t>TRAIL_12M_OPER_INC</t>
        </is>
      </c>
      <c r="E82" t="inlineStr">
        <is>
          <t>LTM operating income</t>
        </is>
      </c>
      <c r="F82" s="53">
        <f>_xll.BDP("NVDA US Equity","TRAIL_12M_OPER_INC")</f>
        <v/>
      </c>
    </row>
    <row r="83">
      <c r="A83" t="inlineStr">
        <is>
          <t>NVDA</t>
        </is>
      </c>
      <c r="B83" t="inlineStr">
        <is>
          <t>NVDA US Equity</t>
        </is>
      </c>
      <c r="C83" t="inlineStr">
        <is>
          <t>TRAIL_12M_EBITDA</t>
        </is>
      </c>
      <c r="E83" t="inlineStr">
        <is>
          <t>LTM EBITDA</t>
        </is>
      </c>
      <c r="F83" s="53">
        <f>_xll.BDP("NVDA US Equity","TRAIL_12M_EBITDA")</f>
        <v/>
      </c>
    </row>
    <row r="84">
      <c r="A84" t="inlineStr">
        <is>
          <t>NVDA</t>
        </is>
      </c>
      <c r="B84" t="inlineStr">
        <is>
          <t>NVDA US Equity</t>
        </is>
      </c>
      <c r="C84" t="inlineStr">
        <is>
          <t>SHORT_AND_LONG_TERM_DEBT</t>
        </is>
      </c>
      <c r="E84" t="inlineStr">
        <is>
          <t>Total debt</t>
        </is>
      </c>
      <c r="F84" s="53">
        <f>_xll.BDP("NVDA US Equity","SHORT_AND_LONG_TERM_DEBT")</f>
        <v/>
      </c>
    </row>
    <row r="85">
      <c r="A85" t="inlineStr">
        <is>
          <t>NVDA</t>
        </is>
      </c>
      <c r="B85" t="inlineStr">
        <is>
          <t>NVDA US Equity</t>
        </is>
      </c>
      <c r="C85" t="inlineStr">
        <is>
          <t>TOTAL_EQUITY</t>
        </is>
      </c>
      <c r="E85" t="inlineStr">
        <is>
          <t>Total equity</t>
        </is>
      </c>
      <c r="F85" s="53">
        <f>_xll.BDP("NVDA US Equity","TOTAL_EQUITY")</f>
        <v/>
      </c>
    </row>
    <row r="86">
      <c r="A86" t="inlineStr">
        <is>
          <t>NVDA</t>
        </is>
      </c>
      <c r="B86" t="inlineStr">
        <is>
          <t>NVDA US Equity</t>
        </is>
      </c>
      <c r="C86" t="inlineStr">
        <is>
          <t>BS_CASH_NEAR_CASH_ITEM</t>
        </is>
      </c>
      <c r="E86" t="inlineStr">
        <is>
          <t>Cash &amp; equivalents</t>
        </is>
      </c>
      <c r="F86" s="53">
        <f>_xll.BDP("NVDA US Equity","BS_CASH_NEAR_CASH_ITEM")</f>
        <v/>
      </c>
    </row>
    <row r="87">
      <c r="A87" t="inlineStr">
        <is>
          <t>NVDA</t>
        </is>
      </c>
      <c r="B87" t="inlineStr">
        <is>
          <t>NVDA US Equity</t>
        </is>
      </c>
      <c r="C87" t="inlineStr">
        <is>
          <t>BEST_EPS</t>
        </is>
      </c>
      <c r="D87" t="inlineStr">
        <is>
          <t>24Y</t>
        </is>
      </c>
      <c r="E87" t="inlineStr">
        <is>
          <t>EPS estimate FY2024</t>
        </is>
      </c>
      <c r="F87" s="53">
        <f>_xll.BDP("NVDA US Equity","BEST_EPS","BEST_FPERIOD_OVERRIDE","24Y")</f>
        <v/>
      </c>
    </row>
    <row r="88">
      <c r="A88" t="inlineStr">
        <is>
          <t>NVDA</t>
        </is>
      </c>
      <c r="B88" t="inlineStr">
        <is>
          <t>NVDA US Equity</t>
        </is>
      </c>
      <c r="C88" t="inlineStr">
        <is>
          <t>BEST_SALES</t>
        </is>
      </c>
      <c r="D88" t="inlineStr">
        <is>
          <t>24Y</t>
        </is>
      </c>
      <c r="E88" t="inlineStr">
        <is>
          <t>Revenue estimate FY2024</t>
        </is>
      </c>
      <c r="F88" s="53">
        <f>_xll.BDP("NVDA US Equity","BEST_SALES","BEST_FPERIOD_OVERRIDE","24Y")</f>
        <v/>
      </c>
    </row>
    <row r="89">
      <c r="A89" t="inlineStr">
        <is>
          <t>NVDA</t>
        </is>
      </c>
      <c r="B89" t="inlineStr">
        <is>
          <t>NVDA US Equity</t>
        </is>
      </c>
      <c r="C89" t="inlineStr">
        <is>
          <t>BEST_EBIT</t>
        </is>
      </c>
      <c r="D89" t="inlineStr">
        <is>
          <t>24Y</t>
        </is>
      </c>
      <c r="E89" t="inlineStr">
        <is>
          <t>EBIT estimate FY2024</t>
        </is>
      </c>
      <c r="F89" s="53">
        <f>_xll.BDP("NVDA US Equity","BEST_EBIT","BEST_FPERIOD_OVERRIDE","24Y")</f>
        <v/>
      </c>
    </row>
    <row r="90">
      <c r="A90" t="inlineStr">
        <is>
          <t>NVDA</t>
        </is>
      </c>
      <c r="B90" t="inlineStr">
        <is>
          <t>NVDA US Equity</t>
        </is>
      </c>
      <c r="C90" t="inlineStr">
        <is>
          <t>BEST_EPS</t>
        </is>
      </c>
      <c r="D90" t="inlineStr">
        <is>
          <t>25Y</t>
        </is>
      </c>
      <c r="E90" t="inlineStr">
        <is>
          <t>EPS estimate FY2025</t>
        </is>
      </c>
      <c r="F90" s="53">
        <f>_xll.BDP("NVDA US Equity","BEST_EPS","BEST_FPERIOD_OVERRIDE","25Y")</f>
        <v/>
      </c>
    </row>
    <row r="91">
      <c r="A91" t="inlineStr">
        <is>
          <t>NVDA</t>
        </is>
      </c>
      <c r="B91" t="inlineStr">
        <is>
          <t>NVDA US Equity</t>
        </is>
      </c>
      <c r="C91" t="inlineStr">
        <is>
          <t>BEST_SALES</t>
        </is>
      </c>
      <c r="D91" t="inlineStr">
        <is>
          <t>25Y</t>
        </is>
      </c>
      <c r="E91" t="inlineStr">
        <is>
          <t>Revenue estimate FY2025</t>
        </is>
      </c>
      <c r="F91" s="53">
        <f>_xll.BDP("NVDA US Equity","BEST_SALES","BEST_FPERIOD_OVERRIDE","25Y")</f>
        <v/>
      </c>
    </row>
    <row r="92">
      <c r="A92" t="inlineStr">
        <is>
          <t>NVDA</t>
        </is>
      </c>
      <c r="B92" t="inlineStr">
        <is>
          <t>NVDA US Equity</t>
        </is>
      </c>
      <c r="C92" t="inlineStr">
        <is>
          <t>BEST_EBIT</t>
        </is>
      </c>
      <c r="D92" t="inlineStr">
        <is>
          <t>25Y</t>
        </is>
      </c>
      <c r="E92" t="inlineStr">
        <is>
          <t>EBIT estimate FY2025</t>
        </is>
      </c>
      <c r="F92" s="53">
        <f>_xll.BDP("NVDA US Equity","BEST_EBIT","BEST_FPERIOD_OVERRIDE","25Y")</f>
        <v/>
      </c>
    </row>
    <row r="93">
      <c r="A93" t="inlineStr">
        <is>
          <t>NVDA</t>
        </is>
      </c>
      <c r="B93" t="inlineStr">
        <is>
          <t>NVDA US Equity</t>
        </is>
      </c>
      <c r="C93" t="inlineStr">
        <is>
          <t>BEST_EPS</t>
        </is>
      </c>
      <c r="D93" t="inlineStr">
        <is>
          <t>26Y</t>
        </is>
      </c>
      <c r="E93" t="inlineStr">
        <is>
          <t>EPS estimate FY2026</t>
        </is>
      </c>
      <c r="F93" s="53">
        <f>_xll.BDP("NVDA US Equity","BEST_EPS","BEST_FPERIOD_OVERRIDE","26Y")</f>
        <v/>
      </c>
    </row>
    <row r="94">
      <c r="A94" t="inlineStr">
        <is>
          <t>NVDA</t>
        </is>
      </c>
      <c r="B94" t="inlineStr">
        <is>
          <t>NVDA US Equity</t>
        </is>
      </c>
      <c r="C94" t="inlineStr">
        <is>
          <t>BEST_SALES</t>
        </is>
      </c>
      <c r="D94" t="inlineStr">
        <is>
          <t>26Y</t>
        </is>
      </c>
      <c r="E94" t="inlineStr">
        <is>
          <t>Revenue estimate FY2026</t>
        </is>
      </c>
      <c r="F94" s="53">
        <f>_xll.BDP("NVDA US Equity","BEST_SALES","BEST_FPERIOD_OVERRIDE","26Y")</f>
        <v/>
      </c>
    </row>
    <row r="95">
      <c r="A95" t="inlineStr">
        <is>
          <t>NVDA</t>
        </is>
      </c>
      <c r="B95" t="inlineStr">
        <is>
          <t>NVDA US Equity</t>
        </is>
      </c>
      <c r="C95" t="inlineStr">
        <is>
          <t>BEST_EBIT</t>
        </is>
      </c>
      <c r="D95" t="inlineStr">
        <is>
          <t>26Y</t>
        </is>
      </c>
      <c r="E95" t="inlineStr">
        <is>
          <t>EBIT estimate FY2026</t>
        </is>
      </c>
      <c r="F95" s="53">
        <f>_xll.BDP("NVDA US Equity","BEST_EBIT","BEST_FPERIOD_OVERRIDE","26Y")</f>
        <v/>
      </c>
    </row>
    <row r="96">
      <c r="A96" t="inlineStr">
        <is>
          <t>NVDA</t>
        </is>
      </c>
      <c r="B96" t="inlineStr">
        <is>
          <t>NVDA US Equity</t>
        </is>
      </c>
      <c r="C96" t="inlineStr">
        <is>
          <t>BEST_EPS</t>
        </is>
      </c>
      <c r="D96" t="inlineStr">
        <is>
          <t>27Y</t>
        </is>
      </c>
      <c r="E96" t="inlineStr">
        <is>
          <t>EPS estimate FY2027</t>
        </is>
      </c>
      <c r="F96" s="53">
        <f>_xll.BDP("NVDA US Equity","BEST_EPS","BEST_FPERIOD_OVERRIDE","27Y")</f>
        <v/>
      </c>
    </row>
    <row r="97">
      <c r="A97" t="inlineStr">
        <is>
          <t>NVDA</t>
        </is>
      </c>
      <c r="B97" t="inlineStr">
        <is>
          <t>NVDA US Equity</t>
        </is>
      </c>
      <c r="C97" t="inlineStr">
        <is>
          <t>BEST_SALES</t>
        </is>
      </c>
      <c r="D97" t="inlineStr">
        <is>
          <t>27Y</t>
        </is>
      </c>
      <c r="E97" t="inlineStr">
        <is>
          <t>Revenue estimate FY2027</t>
        </is>
      </c>
      <c r="F97" s="53">
        <f>_xll.BDP("NVDA US Equity","BEST_SALES","BEST_FPERIOD_OVERRIDE","27Y")</f>
        <v/>
      </c>
    </row>
    <row r="98">
      <c r="A98" t="inlineStr">
        <is>
          <t>NVDA</t>
        </is>
      </c>
      <c r="B98" t="inlineStr">
        <is>
          <t>NVDA US Equity</t>
        </is>
      </c>
      <c r="C98" t="inlineStr">
        <is>
          <t>BEST_EBIT</t>
        </is>
      </c>
      <c r="D98" t="inlineStr">
        <is>
          <t>27Y</t>
        </is>
      </c>
      <c r="E98" t="inlineStr">
        <is>
          <t>EBIT estimate FY2027</t>
        </is>
      </c>
      <c r="F98" s="53">
        <f>_xll.BDP("NVDA US Equity","BEST_EBIT","BEST_FPERIOD_OVERRIDE","27Y")</f>
        <v/>
      </c>
    </row>
    <row r="99">
      <c r="A99" t="inlineStr">
        <is>
          <t>NVDA</t>
        </is>
      </c>
      <c r="B99" t="inlineStr">
        <is>
          <t>NVDA US Equity</t>
        </is>
      </c>
      <c r="C99" t="inlineStr">
        <is>
          <t>BEST_EPS</t>
        </is>
      </c>
      <c r="D99" t="inlineStr">
        <is>
          <t>28Y</t>
        </is>
      </c>
      <c r="E99" t="inlineStr">
        <is>
          <t>EPS estimate FY2028</t>
        </is>
      </c>
      <c r="F99" s="53">
        <f>_xll.BDP("NVDA US Equity","BEST_EPS","BEST_FPERIOD_OVERRIDE","28Y")</f>
        <v/>
      </c>
    </row>
    <row r="100">
      <c r="A100" t="inlineStr">
        <is>
          <t>NVDA</t>
        </is>
      </c>
      <c r="B100" t="inlineStr">
        <is>
          <t>NVDA US Equity</t>
        </is>
      </c>
      <c r="C100" t="inlineStr">
        <is>
          <t>BEST_SALES</t>
        </is>
      </c>
      <c r="D100" t="inlineStr">
        <is>
          <t>28Y</t>
        </is>
      </c>
      <c r="E100" t="inlineStr">
        <is>
          <t>Revenue estimate FY2028</t>
        </is>
      </c>
      <c r="F100" s="53">
        <f>_xll.BDP("NVDA US Equity","BEST_SALES","BEST_FPERIOD_OVERRIDE","28Y")</f>
        <v/>
      </c>
    </row>
    <row r="101">
      <c r="A101" t="inlineStr">
        <is>
          <t>NVDA</t>
        </is>
      </c>
      <c r="B101" t="inlineStr">
        <is>
          <t>NVDA US Equity</t>
        </is>
      </c>
      <c r="C101" t="inlineStr">
        <is>
          <t>BEST_EBIT</t>
        </is>
      </c>
      <c r="D101" t="inlineStr">
        <is>
          <t>28Y</t>
        </is>
      </c>
      <c r="E101" t="inlineStr">
        <is>
          <t>EBIT estimate FY2028</t>
        </is>
      </c>
      <c r="F101" s="53">
        <f>_xll.BDP("NVDA US Equity","BEST_EBIT","BEST_FPERIOD_OVERRIDE","28Y")</f>
        <v/>
      </c>
    </row>
    <row r="102">
      <c r="A102" t="inlineStr">
        <is>
          <t>AVGO</t>
        </is>
      </c>
      <c r="B102" t="inlineStr">
        <is>
          <t>AVGO US Equity</t>
        </is>
      </c>
      <c r="C102" t="inlineStr">
        <is>
          <t>PX_LAST</t>
        </is>
      </c>
      <c r="E102" t="inlineStr">
        <is>
          <t>Last price</t>
        </is>
      </c>
      <c r="F102" s="53">
        <f>_xll.BDP("AVGO US Equity","PX_LAST")</f>
        <v/>
      </c>
    </row>
    <row r="103">
      <c r="A103" t="inlineStr">
        <is>
          <t>AVGO</t>
        </is>
      </c>
      <c r="B103" t="inlineStr">
        <is>
          <t>AVGO US Equity</t>
        </is>
      </c>
      <c r="C103" t="inlineStr">
        <is>
          <t>CUR_MKT_CAP</t>
        </is>
      </c>
      <c r="E103" t="inlineStr">
        <is>
          <t>Market cap (raw)</t>
        </is>
      </c>
      <c r="F103" s="53">
        <f>_xll.BDP("AVGO US Equity","CUR_MKT_CAP")</f>
        <v/>
      </c>
    </row>
    <row r="104">
      <c r="A104" t="inlineStr">
        <is>
          <t>AVGO</t>
        </is>
      </c>
      <c r="B104" t="inlineStr">
        <is>
          <t>AVGO US Equity</t>
        </is>
      </c>
      <c r="C104" t="inlineStr">
        <is>
          <t>CHG_PCT_YTD</t>
        </is>
      </c>
      <c r="E104" t="inlineStr">
        <is>
          <t>YTD price change %</t>
        </is>
      </c>
      <c r="F104" s="53">
        <f>_xll.BDP("AVGO US Equity","CHG_PCT_YTD")</f>
        <v/>
      </c>
    </row>
    <row r="105">
      <c r="A105" t="inlineStr">
        <is>
          <t>AVGO</t>
        </is>
      </c>
      <c r="B105" t="inlineStr">
        <is>
          <t>AVGO US Equity</t>
        </is>
      </c>
      <c r="C105" t="inlineStr">
        <is>
          <t>NET_DEBT_TO_EBITDA</t>
        </is>
      </c>
      <c r="E105" t="inlineStr">
        <is>
          <t>Net debt / EBITDA</t>
        </is>
      </c>
      <c r="F105" s="53">
        <f>_xll.BDP("AVGO US Equity","NET_DEBT_TO_EBITDA")</f>
        <v/>
      </c>
    </row>
    <row r="106">
      <c r="A106" t="inlineStr">
        <is>
          <t>AVGO</t>
        </is>
      </c>
      <c r="B106" t="inlineStr">
        <is>
          <t>AVGO US Equity</t>
        </is>
      </c>
      <c r="C106" t="inlineStr">
        <is>
          <t>RETURN_ON_INV_CAPITAL</t>
        </is>
      </c>
      <c r="E106" t="inlineStr">
        <is>
          <t>ROIC (LTM)</t>
        </is>
      </c>
      <c r="F106" s="53">
        <f>_xll.BDP("AVGO US Equity","RETURN_ON_INV_CAPITAL")</f>
        <v/>
      </c>
    </row>
    <row r="107">
      <c r="A107" t="inlineStr">
        <is>
          <t>AVGO</t>
        </is>
      </c>
      <c r="B107" t="inlineStr">
        <is>
          <t>AVGO US Equity</t>
        </is>
      </c>
      <c r="C107" t="inlineStr">
        <is>
          <t>TRAIL_12M_OPER_INC</t>
        </is>
      </c>
      <c r="E107" t="inlineStr">
        <is>
          <t>LTM operating income</t>
        </is>
      </c>
      <c r="F107" s="53">
        <f>_xll.BDP("AVGO US Equity","TRAIL_12M_OPER_INC")</f>
        <v/>
      </c>
    </row>
    <row r="108">
      <c r="A108" t="inlineStr">
        <is>
          <t>AVGO</t>
        </is>
      </c>
      <c r="B108" t="inlineStr">
        <is>
          <t>AVGO US Equity</t>
        </is>
      </c>
      <c r="C108" t="inlineStr">
        <is>
          <t>TRAIL_12M_EBITDA</t>
        </is>
      </c>
      <c r="E108" t="inlineStr">
        <is>
          <t>LTM EBITDA</t>
        </is>
      </c>
      <c r="F108" s="53">
        <f>_xll.BDP("AVGO US Equity","TRAIL_12M_EBITDA")</f>
        <v/>
      </c>
    </row>
    <row r="109">
      <c r="A109" t="inlineStr">
        <is>
          <t>AVGO</t>
        </is>
      </c>
      <c r="B109" t="inlineStr">
        <is>
          <t>AVGO US Equity</t>
        </is>
      </c>
      <c r="C109" t="inlineStr">
        <is>
          <t>SHORT_AND_LONG_TERM_DEBT</t>
        </is>
      </c>
      <c r="E109" t="inlineStr">
        <is>
          <t>Total debt</t>
        </is>
      </c>
      <c r="F109" s="53">
        <f>_xll.BDP("AVGO US Equity","SHORT_AND_LONG_TERM_DEBT")</f>
        <v/>
      </c>
    </row>
    <row r="110">
      <c r="A110" t="inlineStr">
        <is>
          <t>AVGO</t>
        </is>
      </c>
      <c r="B110" t="inlineStr">
        <is>
          <t>AVGO US Equity</t>
        </is>
      </c>
      <c r="C110" t="inlineStr">
        <is>
          <t>TOTAL_EQUITY</t>
        </is>
      </c>
      <c r="E110" t="inlineStr">
        <is>
          <t>Total equity</t>
        </is>
      </c>
      <c r="F110" s="53">
        <f>_xll.BDP("AVGO US Equity","TOTAL_EQUITY")</f>
        <v/>
      </c>
    </row>
    <row r="111">
      <c r="A111" t="inlineStr">
        <is>
          <t>AVGO</t>
        </is>
      </c>
      <c r="B111" t="inlineStr">
        <is>
          <t>AVGO US Equity</t>
        </is>
      </c>
      <c r="C111" t="inlineStr">
        <is>
          <t>BS_CASH_NEAR_CASH_ITEM</t>
        </is>
      </c>
      <c r="E111" t="inlineStr">
        <is>
          <t>Cash &amp; equivalents</t>
        </is>
      </c>
      <c r="F111" s="53">
        <f>_xll.BDP("AVGO US Equity","BS_CASH_NEAR_CASH_ITEM")</f>
        <v/>
      </c>
    </row>
    <row r="112">
      <c r="A112" t="inlineStr">
        <is>
          <t>AVGO</t>
        </is>
      </c>
      <c r="B112" t="inlineStr">
        <is>
          <t>AVGO US Equity</t>
        </is>
      </c>
      <c r="C112" t="inlineStr">
        <is>
          <t>BEST_EPS</t>
        </is>
      </c>
      <c r="D112" t="inlineStr">
        <is>
          <t>24Y</t>
        </is>
      </c>
      <c r="E112" t="inlineStr">
        <is>
          <t>EPS estimate FY2024</t>
        </is>
      </c>
      <c r="F112" s="53">
        <f>_xll.BDP("AVGO US Equity","BEST_EPS","BEST_FPERIOD_OVERRIDE","24Y")</f>
        <v/>
      </c>
    </row>
    <row r="113">
      <c r="A113" t="inlineStr">
        <is>
          <t>AVGO</t>
        </is>
      </c>
      <c r="B113" t="inlineStr">
        <is>
          <t>AVGO US Equity</t>
        </is>
      </c>
      <c r="C113" t="inlineStr">
        <is>
          <t>BEST_SALES</t>
        </is>
      </c>
      <c r="D113" t="inlineStr">
        <is>
          <t>24Y</t>
        </is>
      </c>
      <c r="E113" t="inlineStr">
        <is>
          <t>Revenue estimate FY2024</t>
        </is>
      </c>
      <c r="F113" s="53">
        <f>_xll.BDP("AVGO US Equity","BEST_SALES","BEST_FPERIOD_OVERRIDE","24Y")</f>
        <v/>
      </c>
    </row>
    <row r="114">
      <c r="A114" t="inlineStr">
        <is>
          <t>AVGO</t>
        </is>
      </c>
      <c r="B114" t="inlineStr">
        <is>
          <t>AVGO US Equity</t>
        </is>
      </c>
      <c r="C114" t="inlineStr">
        <is>
          <t>BEST_EBIT</t>
        </is>
      </c>
      <c r="D114" t="inlineStr">
        <is>
          <t>24Y</t>
        </is>
      </c>
      <c r="E114" t="inlineStr">
        <is>
          <t>EBIT estimate FY2024</t>
        </is>
      </c>
      <c r="F114" s="53">
        <f>_xll.BDP("AVGO US Equity","BEST_EBIT","BEST_FPERIOD_OVERRIDE","24Y")</f>
        <v/>
      </c>
    </row>
    <row r="115">
      <c r="A115" t="inlineStr">
        <is>
          <t>AVGO</t>
        </is>
      </c>
      <c r="B115" t="inlineStr">
        <is>
          <t>AVGO US Equity</t>
        </is>
      </c>
      <c r="C115" t="inlineStr">
        <is>
          <t>BEST_EPS</t>
        </is>
      </c>
      <c r="D115" t="inlineStr">
        <is>
          <t>25Y</t>
        </is>
      </c>
      <c r="E115" t="inlineStr">
        <is>
          <t>EPS estimate FY2025</t>
        </is>
      </c>
      <c r="F115" s="53">
        <f>_xll.BDP("AVGO US Equity","BEST_EPS","BEST_FPERIOD_OVERRIDE","25Y")</f>
        <v/>
      </c>
    </row>
    <row r="116">
      <c r="A116" t="inlineStr">
        <is>
          <t>AVGO</t>
        </is>
      </c>
      <c r="B116" t="inlineStr">
        <is>
          <t>AVGO US Equity</t>
        </is>
      </c>
      <c r="C116" t="inlineStr">
        <is>
          <t>BEST_SALES</t>
        </is>
      </c>
      <c r="D116" t="inlineStr">
        <is>
          <t>25Y</t>
        </is>
      </c>
      <c r="E116" t="inlineStr">
        <is>
          <t>Revenue estimate FY2025</t>
        </is>
      </c>
      <c r="F116" s="53">
        <f>_xll.BDP("AVGO US Equity","BEST_SALES","BEST_FPERIOD_OVERRIDE","25Y")</f>
        <v/>
      </c>
    </row>
    <row r="117">
      <c r="A117" t="inlineStr">
        <is>
          <t>AVGO</t>
        </is>
      </c>
      <c r="B117" t="inlineStr">
        <is>
          <t>AVGO US Equity</t>
        </is>
      </c>
      <c r="C117" t="inlineStr">
        <is>
          <t>BEST_EBIT</t>
        </is>
      </c>
      <c r="D117" t="inlineStr">
        <is>
          <t>25Y</t>
        </is>
      </c>
      <c r="E117" t="inlineStr">
        <is>
          <t>EBIT estimate FY2025</t>
        </is>
      </c>
      <c r="F117" s="53">
        <f>_xll.BDP("AVGO US Equity","BEST_EBIT","BEST_FPERIOD_OVERRIDE","25Y")</f>
        <v/>
      </c>
    </row>
    <row r="118">
      <c r="A118" t="inlineStr">
        <is>
          <t>AVGO</t>
        </is>
      </c>
      <c r="B118" t="inlineStr">
        <is>
          <t>AVGO US Equity</t>
        </is>
      </c>
      <c r="C118" t="inlineStr">
        <is>
          <t>BEST_EPS</t>
        </is>
      </c>
      <c r="D118" t="inlineStr">
        <is>
          <t>26Y</t>
        </is>
      </c>
      <c r="E118" t="inlineStr">
        <is>
          <t>EPS estimate FY2026</t>
        </is>
      </c>
      <c r="F118" s="53">
        <f>_xll.BDP("AVGO US Equity","BEST_EPS","BEST_FPERIOD_OVERRIDE","26Y")</f>
        <v/>
      </c>
    </row>
    <row r="119">
      <c r="A119" t="inlineStr">
        <is>
          <t>AVGO</t>
        </is>
      </c>
      <c r="B119" t="inlineStr">
        <is>
          <t>AVGO US Equity</t>
        </is>
      </c>
      <c r="C119" t="inlineStr">
        <is>
          <t>BEST_SALES</t>
        </is>
      </c>
      <c r="D119" t="inlineStr">
        <is>
          <t>26Y</t>
        </is>
      </c>
      <c r="E119" t="inlineStr">
        <is>
          <t>Revenue estimate FY2026</t>
        </is>
      </c>
      <c r="F119" s="53">
        <f>_xll.BDP("AVGO US Equity","BEST_SALES","BEST_FPERIOD_OVERRIDE","26Y")</f>
        <v/>
      </c>
    </row>
    <row r="120">
      <c r="A120" t="inlineStr">
        <is>
          <t>AVGO</t>
        </is>
      </c>
      <c r="B120" t="inlineStr">
        <is>
          <t>AVGO US Equity</t>
        </is>
      </c>
      <c r="C120" t="inlineStr">
        <is>
          <t>BEST_EBIT</t>
        </is>
      </c>
      <c r="D120" t="inlineStr">
        <is>
          <t>26Y</t>
        </is>
      </c>
      <c r="E120" t="inlineStr">
        <is>
          <t>EBIT estimate FY2026</t>
        </is>
      </c>
      <c r="F120" s="53">
        <f>_xll.BDP("AVGO US Equity","BEST_EBIT","BEST_FPERIOD_OVERRIDE","26Y")</f>
        <v/>
      </c>
    </row>
    <row r="121">
      <c r="A121" t="inlineStr">
        <is>
          <t>AVGO</t>
        </is>
      </c>
      <c r="B121" t="inlineStr">
        <is>
          <t>AVGO US Equity</t>
        </is>
      </c>
      <c r="C121" t="inlineStr">
        <is>
          <t>BEST_EPS</t>
        </is>
      </c>
      <c r="D121" t="inlineStr">
        <is>
          <t>27Y</t>
        </is>
      </c>
      <c r="E121" t="inlineStr">
        <is>
          <t>EPS estimate FY2027</t>
        </is>
      </c>
      <c r="F121" s="53">
        <f>_xll.BDP("AVGO US Equity","BEST_EPS","BEST_FPERIOD_OVERRIDE","27Y")</f>
        <v/>
      </c>
    </row>
    <row r="122">
      <c r="A122" t="inlineStr">
        <is>
          <t>AVGO</t>
        </is>
      </c>
      <c r="B122" t="inlineStr">
        <is>
          <t>AVGO US Equity</t>
        </is>
      </c>
      <c r="C122" t="inlineStr">
        <is>
          <t>BEST_SALES</t>
        </is>
      </c>
      <c r="D122" t="inlineStr">
        <is>
          <t>27Y</t>
        </is>
      </c>
      <c r="E122" t="inlineStr">
        <is>
          <t>Revenue estimate FY2027</t>
        </is>
      </c>
      <c r="F122" s="53">
        <f>_xll.BDP("AVGO US Equity","BEST_SALES","BEST_FPERIOD_OVERRIDE","27Y")</f>
        <v/>
      </c>
    </row>
    <row r="123">
      <c r="A123" t="inlineStr">
        <is>
          <t>AVGO</t>
        </is>
      </c>
      <c r="B123" t="inlineStr">
        <is>
          <t>AVGO US Equity</t>
        </is>
      </c>
      <c r="C123" t="inlineStr">
        <is>
          <t>BEST_EBIT</t>
        </is>
      </c>
      <c r="D123" t="inlineStr">
        <is>
          <t>27Y</t>
        </is>
      </c>
      <c r="E123" t="inlineStr">
        <is>
          <t>EBIT estimate FY2027</t>
        </is>
      </c>
      <c r="F123" s="53">
        <f>_xll.BDP("AVGO US Equity","BEST_EBIT","BEST_FPERIOD_OVERRIDE","27Y")</f>
        <v/>
      </c>
    </row>
    <row r="124">
      <c r="A124" t="inlineStr">
        <is>
          <t>AVGO</t>
        </is>
      </c>
      <c r="B124" t="inlineStr">
        <is>
          <t>AVGO US Equity</t>
        </is>
      </c>
      <c r="C124" t="inlineStr">
        <is>
          <t>BEST_EPS</t>
        </is>
      </c>
      <c r="D124" t="inlineStr">
        <is>
          <t>28Y</t>
        </is>
      </c>
      <c r="E124" t="inlineStr">
        <is>
          <t>EPS estimate FY2028</t>
        </is>
      </c>
      <c r="F124" s="53">
        <f>_xll.BDP("AVGO US Equity","BEST_EPS","BEST_FPERIOD_OVERRIDE","28Y")</f>
        <v/>
      </c>
    </row>
    <row r="125">
      <c r="A125" t="inlineStr">
        <is>
          <t>AVGO</t>
        </is>
      </c>
      <c r="B125" t="inlineStr">
        <is>
          <t>AVGO US Equity</t>
        </is>
      </c>
      <c r="C125" t="inlineStr">
        <is>
          <t>BEST_SALES</t>
        </is>
      </c>
      <c r="D125" t="inlineStr">
        <is>
          <t>28Y</t>
        </is>
      </c>
      <c r="E125" t="inlineStr">
        <is>
          <t>Revenue estimate FY2028</t>
        </is>
      </c>
      <c r="F125" s="53">
        <f>_xll.BDP("AVGO US Equity","BEST_SALES","BEST_FPERIOD_OVERRIDE","28Y")</f>
        <v/>
      </c>
    </row>
    <row r="126">
      <c r="A126" t="inlineStr">
        <is>
          <t>AVGO</t>
        </is>
      </c>
      <c r="B126" t="inlineStr">
        <is>
          <t>AVGO US Equity</t>
        </is>
      </c>
      <c r="C126" t="inlineStr">
        <is>
          <t>BEST_EBIT</t>
        </is>
      </c>
      <c r="D126" t="inlineStr">
        <is>
          <t>28Y</t>
        </is>
      </c>
      <c r="E126" t="inlineStr">
        <is>
          <t>EBIT estimate FY2028</t>
        </is>
      </c>
      <c r="F126" s="53">
        <f>_xll.BDP("AVGO US Equity","BEST_EBIT","BEST_FPERIOD_OVERRIDE","28Y")</f>
        <v/>
      </c>
    </row>
    <row r="127">
      <c r="A127" t="inlineStr">
        <is>
          <t>TDG</t>
        </is>
      </c>
      <c r="B127" t="inlineStr">
        <is>
          <t>TDG US Equity</t>
        </is>
      </c>
      <c r="C127" t="inlineStr">
        <is>
          <t>PX_LAST</t>
        </is>
      </c>
      <c r="E127" t="inlineStr">
        <is>
          <t>Last price</t>
        </is>
      </c>
      <c r="F127" s="53">
        <f>_xll.BDP("TDG US Equity","PX_LAST")</f>
        <v/>
      </c>
    </row>
    <row r="128">
      <c r="A128" t="inlineStr">
        <is>
          <t>TDG</t>
        </is>
      </c>
      <c r="B128" t="inlineStr">
        <is>
          <t>TDG US Equity</t>
        </is>
      </c>
      <c r="C128" t="inlineStr">
        <is>
          <t>CUR_MKT_CAP</t>
        </is>
      </c>
      <c r="E128" t="inlineStr">
        <is>
          <t>Market cap (raw)</t>
        </is>
      </c>
      <c r="F128" s="53">
        <f>_xll.BDP("TDG US Equity","CUR_MKT_CAP")</f>
        <v/>
      </c>
    </row>
    <row r="129">
      <c r="A129" t="inlineStr">
        <is>
          <t>TDG</t>
        </is>
      </c>
      <c r="B129" t="inlineStr">
        <is>
          <t>TDG US Equity</t>
        </is>
      </c>
      <c r="C129" t="inlineStr">
        <is>
          <t>CHG_PCT_YTD</t>
        </is>
      </c>
      <c r="E129" t="inlineStr">
        <is>
          <t>YTD price change %</t>
        </is>
      </c>
      <c r="F129" s="53">
        <f>_xll.BDP("TDG US Equity","CHG_PCT_YTD")</f>
        <v/>
      </c>
    </row>
    <row r="130">
      <c r="A130" t="inlineStr">
        <is>
          <t>TDG</t>
        </is>
      </c>
      <c r="B130" t="inlineStr">
        <is>
          <t>TDG US Equity</t>
        </is>
      </c>
      <c r="C130" t="inlineStr">
        <is>
          <t>NET_DEBT_TO_EBITDA</t>
        </is>
      </c>
      <c r="E130" t="inlineStr">
        <is>
          <t>Net debt / EBITDA</t>
        </is>
      </c>
      <c r="F130" s="53">
        <f>_xll.BDP("TDG US Equity","NET_DEBT_TO_EBITDA")</f>
        <v/>
      </c>
    </row>
    <row r="131">
      <c r="A131" t="inlineStr">
        <is>
          <t>TDG</t>
        </is>
      </c>
      <c r="B131" t="inlineStr">
        <is>
          <t>TDG US Equity</t>
        </is>
      </c>
      <c r="C131" t="inlineStr">
        <is>
          <t>RETURN_ON_INV_CAPITAL</t>
        </is>
      </c>
      <c r="E131" t="inlineStr">
        <is>
          <t>ROIC (LTM)</t>
        </is>
      </c>
      <c r="F131" s="53">
        <f>_xll.BDP("TDG US Equity","RETURN_ON_INV_CAPITAL")</f>
        <v/>
      </c>
    </row>
    <row r="132">
      <c r="A132" t="inlineStr">
        <is>
          <t>TDG</t>
        </is>
      </c>
      <c r="B132" t="inlineStr">
        <is>
          <t>TDG US Equity</t>
        </is>
      </c>
      <c r="C132" t="inlineStr">
        <is>
          <t>TRAIL_12M_OPER_INC</t>
        </is>
      </c>
      <c r="E132" t="inlineStr">
        <is>
          <t>LTM operating income</t>
        </is>
      </c>
      <c r="F132" s="53">
        <f>_xll.BDP("TDG US Equity","TRAIL_12M_OPER_INC")</f>
        <v/>
      </c>
    </row>
    <row r="133">
      <c r="A133" t="inlineStr">
        <is>
          <t>TDG</t>
        </is>
      </c>
      <c r="B133" t="inlineStr">
        <is>
          <t>TDG US Equity</t>
        </is>
      </c>
      <c r="C133" t="inlineStr">
        <is>
          <t>TRAIL_12M_EBITDA</t>
        </is>
      </c>
      <c r="E133" t="inlineStr">
        <is>
          <t>LTM EBITDA</t>
        </is>
      </c>
      <c r="F133" s="53">
        <f>_xll.BDP("TDG US Equity","TRAIL_12M_EBITDA")</f>
        <v/>
      </c>
    </row>
    <row r="134">
      <c r="A134" t="inlineStr">
        <is>
          <t>TDG</t>
        </is>
      </c>
      <c r="B134" t="inlineStr">
        <is>
          <t>TDG US Equity</t>
        </is>
      </c>
      <c r="C134" t="inlineStr">
        <is>
          <t>SHORT_AND_LONG_TERM_DEBT</t>
        </is>
      </c>
      <c r="E134" t="inlineStr">
        <is>
          <t>Total debt</t>
        </is>
      </c>
      <c r="F134" s="53">
        <f>_xll.BDP("TDG US Equity","SHORT_AND_LONG_TERM_DEBT")</f>
        <v/>
      </c>
    </row>
    <row r="135">
      <c r="A135" t="inlineStr">
        <is>
          <t>TDG</t>
        </is>
      </c>
      <c r="B135" t="inlineStr">
        <is>
          <t>TDG US Equity</t>
        </is>
      </c>
      <c r="C135" t="inlineStr">
        <is>
          <t>TOTAL_EQUITY</t>
        </is>
      </c>
      <c r="E135" t="inlineStr">
        <is>
          <t>Total equity</t>
        </is>
      </c>
      <c r="F135" s="53">
        <f>_xll.BDP("TDG US Equity","TOTAL_EQUITY")</f>
        <v/>
      </c>
    </row>
    <row r="136">
      <c r="A136" t="inlineStr">
        <is>
          <t>TDG</t>
        </is>
      </c>
      <c r="B136" t="inlineStr">
        <is>
          <t>TDG US Equity</t>
        </is>
      </c>
      <c r="C136" t="inlineStr">
        <is>
          <t>BS_CASH_NEAR_CASH_ITEM</t>
        </is>
      </c>
      <c r="E136" t="inlineStr">
        <is>
          <t>Cash &amp; equivalents</t>
        </is>
      </c>
      <c r="F136" s="53">
        <f>_xll.BDP("TDG US Equity","BS_CASH_NEAR_CASH_ITEM")</f>
        <v/>
      </c>
    </row>
    <row r="137">
      <c r="A137" t="inlineStr">
        <is>
          <t>TDG</t>
        </is>
      </c>
      <c r="B137" t="inlineStr">
        <is>
          <t>TDG US Equity</t>
        </is>
      </c>
      <c r="C137" t="inlineStr">
        <is>
          <t>BEST_EPS</t>
        </is>
      </c>
      <c r="D137" t="inlineStr">
        <is>
          <t>24Y</t>
        </is>
      </c>
      <c r="E137" t="inlineStr">
        <is>
          <t>EPS estimate FY2024</t>
        </is>
      </c>
      <c r="F137" s="53">
        <f>_xll.BDP("TDG US Equity","BEST_EPS","BEST_FPERIOD_OVERRIDE","24Y")</f>
        <v/>
      </c>
    </row>
    <row r="138">
      <c r="A138" t="inlineStr">
        <is>
          <t>TDG</t>
        </is>
      </c>
      <c r="B138" t="inlineStr">
        <is>
          <t>TDG US Equity</t>
        </is>
      </c>
      <c r="C138" t="inlineStr">
        <is>
          <t>BEST_SALES</t>
        </is>
      </c>
      <c r="D138" t="inlineStr">
        <is>
          <t>24Y</t>
        </is>
      </c>
      <c r="E138" t="inlineStr">
        <is>
          <t>Revenue estimate FY2024</t>
        </is>
      </c>
      <c r="F138" s="53">
        <f>_xll.BDP("TDG US Equity","BEST_SALES","BEST_FPERIOD_OVERRIDE","24Y")</f>
        <v/>
      </c>
    </row>
    <row r="139">
      <c r="A139" t="inlineStr">
        <is>
          <t>TDG</t>
        </is>
      </c>
      <c r="B139" t="inlineStr">
        <is>
          <t>TDG US Equity</t>
        </is>
      </c>
      <c r="C139" t="inlineStr">
        <is>
          <t>BEST_EBIT</t>
        </is>
      </c>
      <c r="D139" t="inlineStr">
        <is>
          <t>24Y</t>
        </is>
      </c>
      <c r="E139" t="inlineStr">
        <is>
          <t>EBIT estimate FY2024</t>
        </is>
      </c>
      <c r="F139" s="53">
        <f>_xll.BDP("TDG US Equity","BEST_EBIT","BEST_FPERIOD_OVERRIDE","24Y")</f>
        <v/>
      </c>
    </row>
    <row r="140">
      <c r="A140" t="inlineStr">
        <is>
          <t>TDG</t>
        </is>
      </c>
      <c r="B140" t="inlineStr">
        <is>
          <t>TDG US Equity</t>
        </is>
      </c>
      <c r="C140" t="inlineStr">
        <is>
          <t>BEST_EPS</t>
        </is>
      </c>
      <c r="D140" t="inlineStr">
        <is>
          <t>25Y</t>
        </is>
      </c>
      <c r="E140" t="inlineStr">
        <is>
          <t>EPS estimate FY2025</t>
        </is>
      </c>
      <c r="F140" s="53">
        <f>_xll.BDP("TDG US Equity","BEST_EPS","BEST_FPERIOD_OVERRIDE","25Y")</f>
        <v/>
      </c>
    </row>
    <row r="141">
      <c r="A141" t="inlineStr">
        <is>
          <t>TDG</t>
        </is>
      </c>
      <c r="B141" t="inlineStr">
        <is>
          <t>TDG US Equity</t>
        </is>
      </c>
      <c r="C141" t="inlineStr">
        <is>
          <t>BEST_SALES</t>
        </is>
      </c>
      <c r="D141" t="inlineStr">
        <is>
          <t>25Y</t>
        </is>
      </c>
      <c r="E141" t="inlineStr">
        <is>
          <t>Revenue estimate FY2025</t>
        </is>
      </c>
      <c r="F141" s="53">
        <f>_xll.BDP("TDG US Equity","BEST_SALES","BEST_FPERIOD_OVERRIDE","25Y")</f>
        <v/>
      </c>
    </row>
    <row r="142">
      <c r="A142" t="inlineStr">
        <is>
          <t>TDG</t>
        </is>
      </c>
      <c r="B142" t="inlineStr">
        <is>
          <t>TDG US Equity</t>
        </is>
      </c>
      <c r="C142" t="inlineStr">
        <is>
          <t>BEST_EBIT</t>
        </is>
      </c>
      <c r="D142" t="inlineStr">
        <is>
          <t>25Y</t>
        </is>
      </c>
      <c r="E142" t="inlineStr">
        <is>
          <t>EBIT estimate FY2025</t>
        </is>
      </c>
      <c r="F142" s="53">
        <f>_xll.BDP("TDG US Equity","BEST_EBIT","BEST_FPERIOD_OVERRIDE","25Y")</f>
        <v/>
      </c>
    </row>
    <row r="143">
      <c r="A143" t="inlineStr">
        <is>
          <t>TDG</t>
        </is>
      </c>
      <c r="B143" t="inlineStr">
        <is>
          <t>TDG US Equity</t>
        </is>
      </c>
      <c r="C143" t="inlineStr">
        <is>
          <t>BEST_EPS</t>
        </is>
      </c>
      <c r="D143" t="inlineStr">
        <is>
          <t>26Y</t>
        </is>
      </c>
      <c r="E143" t="inlineStr">
        <is>
          <t>EPS estimate FY2026</t>
        </is>
      </c>
      <c r="F143" s="53">
        <f>_xll.BDP("TDG US Equity","BEST_EPS","BEST_FPERIOD_OVERRIDE","26Y")</f>
        <v/>
      </c>
    </row>
    <row r="144">
      <c r="A144" t="inlineStr">
        <is>
          <t>TDG</t>
        </is>
      </c>
      <c r="B144" t="inlineStr">
        <is>
          <t>TDG US Equity</t>
        </is>
      </c>
      <c r="C144" t="inlineStr">
        <is>
          <t>BEST_SALES</t>
        </is>
      </c>
      <c r="D144" t="inlineStr">
        <is>
          <t>26Y</t>
        </is>
      </c>
      <c r="E144" t="inlineStr">
        <is>
          <t>Revenue estimate FY2026</t>
        </is>
      </c>
      <c r="F144" s="53">
        <f>_xll.BDP("TDG US Equity","BEST_SALES","BEST_FPERIOD_OVERRIDE","26Y")</f>
        <v/>
      </c>
    </row>
    <row r="145">
      <c r="A145" t="inlineStr">
        <is>
          <t>TDG</t>
        </is>
      </c>
      <c r="B145" t="inlineStr">
        <is>
          <t>TDG US Equity</t>
        </is>
      </c>
      <c r="C145" t="inlineStr">
        <is>
          <t>BEST_EBIT</t>
        </is>
      </c>
      <c r="D145" t="inlineStr">
        <is>
          <t>26Y</t>
        </is>
      </c>
      <c r="E145" t="inlineStr">
        <is>
          <t>EBIT estimate FY2026</t>
        </is>
      </c>
      <c r="F145" s="53">
        <f>_xll.BDP("TDG US Equity","BEST_EBIT","BEST_FPERIOD_OVERRIDE","26Y")</f>
        <v/>
      </c>
    </row>
    <row r="146">
      <c r="A146" t="inlineStr">
        <is>
          <t>TDG</t>
        </is>
      </c>
      <c r="B146" t="inlineStr">
        <is>
          <t>TDG US Equity</t>
        </is>
      </c>
      <c r="C146" t="inlineStr">
        <is>
          <t>BEST_EPS</t>
        </is>
      </c>
      <c r="D146" t="inlineStr">
        <is>
          <t>27Y</t>
        </is>
      </c>
      <c r="E146" t="inlineStr">
        <is>
          <t>EPS estimate FY2027</t>
        </is>
      </c>
      <c r="F146" s="53">
        <f>_xll.BDP("TDG US Equity","BEST_EPS","BEST_FPERIOD_OVERRIDE","27Y")</f>
        <v/>
      </c>
    </row>
    <row r="147">
      <c r="A147" t="inlineStr">
        <is>
          <t>TDG</t>
        </is>
      </c>
      <c r="B147" t="inlineStr">
        <is>
          <t>TDG US Equity</t>
        </is>
      </c>
      <c r="C147" t="inlineStr">
        <is>
          <t>BEST_SALES</t>
        </is>
      </c>
      <c r="D147" t="inlineStr">
        <is>
          <t>27Y</t>
        </is>
      </c>
      <c r="E147" t="inlineStr">
        <is>
          <t>Revenue estimate FY2027</t>
        </is>
      </c>
      <c r="F147" s="53">
        <f>_xll.BDP("TDG US Equity","BEST_SALES","BEST_FPERIOD_OVERRIDE","27Y")</f>
        <v/>
      </c>
    </row>
    <row r="148">
      <c r="A148" t="inlineStr">
        <is>
          <t>TDG</t>
        </is>
      </c>
      <c r="B148" t="inlineStr">
        <is>
          <t>TDG US Equity</t>
        </is>
      </c>
      <c r="C148" t="inlineStr">
        <is>
          <t>BEST_EBIT</t>
        </is>
      </c>
      <c r="D148" t="inlineStr">
        <is>
          <t>27Y</t>
        </is>
      </c>
      <c r="E148" t="inlineStr">
        <is>
          <t>EBIT estimate FY2027</t>
        </is>
      </c>
      <c r="F148" s="53">
        <f>_xll.BDP("TDG US Equity","BEST_EBIT","BEST_FPERIOD_OVERRIDE","27Y")</f>
        <v/>
      </c>
    </row>
    <row r="149">
      <c r="A149" t="inlineStr">
        <is>
          <t>TDG</t>
        </is>
      </c>
      <c r="B149" t="inlineStr">
        <is>
          <t>TDG US Equity</t>
        </is>
      </c>
      <c r="C149" t="inlineStr">
        <is>
          <t>BEST_EPS</t>
        </is>
      </c>
      <c r="D149" t="inlineStr">
        <is>
          <t>28Y</t>
        </is>
      </c>
      <c r="E149" t="inlineStr">
        <is>
          <t>EPS estimate FY2028</t>
        </is>
      </c>
      <c r="F149" s="53">
        <f>_xll.BDP("TDG US Equity","BEST_EPS","BEST_FPERIOD_OVERRIDE","28Y")</f>
        <v/>
      </c>
    </row>
    <row r="150">
      <c r="A150" t="inlineStr">
        <is>
          <t>TDG</t>
        </is>
      </c>
      <c r="B150" t="inlineStr">
        <is>
          <t>TDG US Equity</t>
        </is>
      </c>
      <c r="C150" t="inlineStr">
        <is>
          <t>BEST_SALES</t>
        </is>
      </c>
      <c r="D150" t="inlineStr">
        <is>
          <t>28Y</t>
        </is>
      </c>
      <c r="E150" t="inlineStr">
        <is>
          <t>Revenue estimate FY2028</t>
        </is>
      </c>
      <c r="F150" s="53">
        <f>_xll.BDP("TDG US Equity","BEST_SALES","BEST_FPERIOD_OVERRIDE","28Y")</f>
        <v/>
      </c>
    </row>
    <row r="151">
      <c r="A151" t="inlineStr">
        <is>
          <t>TDG</t>
        </is>
      </c>
      <c r="B151" t="inlineStr">
        <is>
          <t>TDG US Equity</t>
        </is>
      </c>
      <c r="C151" t="inlineStr">
        <is>
          <t>BEST_EBIT</t>
        </is>
      </c>
      <c r="D151" t="inlineStr">
        <is>
          <t>28Y</t>
        </is>
      </c>
      <c r="E151" t="inlineStr">
        <is>
          <t>EBIT estimate FY2028</t>
        </is>
      </c>
      <c r="F151" s="53">
        <f>_xll.BDP("TDG US Equity","BEST_EBIT","BEST_FPERIOD_OVERRIDE","28Y")</f>
        <v/>
      </c>
    </row>
    <row r="152">
      <c r="A152" t="inlineStr">
        <is>
          <t>MSFT</t>
        </is>
      </c>
      <c r="B152" t="inlineStr">
        <is>
          <t>MSFT US Equity</t>
        </is>
      </c>
      <c r="C152" t="inlineStr">
        <is>
          <t>PX_LAST</t>
        </is>
      </c>
      <c r="E152" t="inlineStr">
        <is>
          <t>Last price</t>
        </is>
      </c>
      <c r="F152" s="53">
        <f>_xll.BDP("MSFT US Equity","PX_LAST")</f>
        <v/>
      </c>
    </row>
    <row r="153">
      <c r="A153" t="inlineStr">
        <is>
          <t>MSFT</t>
        </is>
      </c>
      <c r="B153" t="inlineStr">
        <is>
          <t>MSFT US Equity</t>
        </is>
      </c>
      <c r="C153" t="inlineStr">
        <is>
          <t>CUR_MKT_CAP</t>
        </is>
      </c>
      <c r="E153" t="inlineStr">
        <is>
          <t>Market cap (raw)</t>
        </is>
      </c>
      <c r="F153" s="53">
        <f>_xll.BDP("MSFT US Equity","CUR_MKT_CAP")</f>
        <v/>
      </c>
    </row>
    <row r="154">
      <c r="A154" t="inlineStr">
        <is>
          <t>MSFT</t>
        </is>
      </c>
      <c r="B154" t="inlineStr">
        <is>
          <t>MSFT US Equity</t>
        </is>
      </c>
      <c r="C154" t="inlineStr">
        <is>
          <t>CHG_PCT_YTD</t>
        </is>
      </c>
      <c r="E154" t="inlineStr">
        <is>
          <t>YTD price change %</t>
        </is>
      </c>
      <c r="F154" s="53">
        <f>_xll.BDP("MSFT US Equity","CHG_PCT_YTD")</f>
        <v/>
      </c>
    </row>
    <row r="155">
      <c r="A155" t="inlineStr">
        <is>
          <t>MSFT</t>
        </is>
      </c>
      <c r="B155" t="inlineStr">
        <is>
          <t>MSFT US Equity</t>
        </is>
      </c>
      <c r="C155" t="inlineStr">
        <is>
          <t>NET_DEBT_TO_EBITDA</t>
        </is>
      </c>
      <c r="E155" t="inlineStr">
        <is>
          <t>Net debt / EBITDA</t>
        </is>
      </c>
      <c r="F155" s="53">
        <f>_xll.BDP("MSFT US Equity","NET_DEBT_TO_EBITDA")</f>
        <v/>
      </c>
    </row>
    <row r="156">
      <c r="A156" t="inlineStr">
        <is>
          <t>MSFT</t>
        </is>
      </c>
      <c r="B156" t="inlineStr">
        <is>
          <t>MSFT US Equity</t>
        </is>
      </c>
      <c r="C156" t="inlineStr">
        <is>
          <t>RETURN_ON_INV_CAPITAL</t>
        </is>
      </c>
      <c r="E156" t="inlineStr">
        <is>
          <t>ROIC (LTM)</t>
        </is>
      </c>
      <c r="F156" s="53">
        <f>_xll.BDP("MSFT US Equity","RETURN_ON_INV_CAPITAL")</f>
        <v/>
      </c>
    </row>
    <row r="157">
      <c r="A157" t="inlineStr">
        <is>
          <t>MSFT</t>
        </is>
      </c>
      <c r="B157" t="inlineStr">
        <is>
          <t>MSFT US Equity</t>
        </is>
      </c>
      <c r="C157" t="inlineStr">
        <is>
          <t>TRAIL_12M_OPER_INC</t>
        </is>
      </c>
      <c r="E157" t="inlineStr">
        <is>
          <t>LTM operating income</t>
        </is>
      </c>
      <c r="F157" s="53">
        <f>_xll.BDP("MSFT US Equity","TRAIL_12M_OPER_INC")</f>
        <v/>
      </c>
    </row>
    <row r="158">
      <c r="A158" t="inlineStr">
        <is>
          <t>MSFT</t>
        </is>
      </c>
      <c r="B158" t="inlineStr">
        <is>
          <t>MSFT US Equity</t>
        </is>
      </c>
      <c r="C158" t="inlineStr">
        <is>
          <t>TRAIL_12M_EBITDA</t>
        </is>
      </c>
      <c r="E158" t="inlineStr">
        <is>
          <t>LTM EBITDA</t>
        </is>
      </c>
      <c r="F158" s="53">
        <f>_xll.BDP("MSFT US Equity","TRAIL_12M_EBITDA")</f>
        <v/>
      </c>
    </row>
    <row r="159">
      <c r="A159" t="inlineStr">
        <is>
          <t>MSFT</t>
        </is>
      </c>
      <c r="B159" t="inlineStr">
        <is>
          <t>MSFT US Equity</t>
        </is>
      </c>
      <c r="C159" t="inlineStr">
        <is>
          <t>SHORT_AND_LONG_TERM_DEBT</t>
        </is>
      </c>
      <c r="E159" t="inlineStr">
        <is>
          <t>Total debt</t>
        </is>
      </c>
      <c r="F159" s="53">
        <f>_xll.BDP("MSFT US Equity","SHORT_AND_LONG_TERM_DEBT")</f>
        <v/>
      </c>
    </row>
    <row r="160">
      <c r="A160" t="inlineStr">
        <is>
          <t>MSFT</t>
        </is>
      </c>
      <c r="B160" t="inlineStr">
        <is>
          <t>MSFT US Equity</t>
        </is>
      </c>
      <c r="C160" t="inlineStr">
        <is>
          <t>TOTAL_EQUITY</t>
        </is>
      </c>
      <c r="E160" t="inlineStr">
        <is>
          <t>Total equity</t>
        </is>
      </c>
      <c r="F160" s="53">
        <f>_xll.BDP("MSFT US Equity","TOTAL_EQUITY")</f>
        <v/>
      </c>
    </row>
    <row r="161">
      <c r="A161" t="inlineStr">
        <is>
          <t>MSFT</t>
        </is>
      </c>
      <c r="B161" t="inlineStr">
        <is>
          <t>MSFT US Equity</t>
        </is>
      </c>
      <c r="C161" t="inlineStr">
        <is>
          <t>BS_CASH_NEAR_CASH_ITEM</t>
        </is>
      </c>
      <c r="E161" t="inlineStr">
        <is>
          <t>Cash &amp; equivalents</t>
        </is>
      </c>
      <c r="F161" s="53">
        <f>_xll.BDP("MSFT US Equity","BS_CASH_NEAR_CASH_ITEM")</f>
        <v/>
      </c>
    </row>
    <row r="162">
      <c r="A162" t="inlineStr">
        <is>
          <t>MSFT</t>
        </is>
      </c>
      <c r="B162" t="inlineStr">
        <is>
          <t>MSFT US Equity</t>
        </is>
      </c>
      <c r="C162" t="inlineStr">
        <is>
          <t>BEST_EPS</t>
        </is>
      </c>
      <c r="D162" t="inlineStr">
        <is>
          <t>24Y</t>
        </is>
      </c>
      <c r="E162" t="inlineStr">
        <is>
          <t>EPS estimate FY2024</t>
        </is>
      </c>
      <c r="F162" s="53">
        <f>_xll.BDP("MSFT US Equity","BEST_EPS","BEST_FPERIOD_OVERRIDE","24Y")</f>
        <v/>
      </c>
    </row>
    <row r="163">
      <c r="A163" t="inlineStr">
        <is>
          <t>MSFT</t>
        </is>
      </c>
      <c r="B163" t="inlineStr">
        <is>
          <t>MSFT US Equity</t>
        </is>
      </c>
      <c r="C163" t="inlineStr">
        <is>
          <t>BEST_SALES</t>
        </is>
      </c>
      <c r="D163" t="inlineStr">
        <is>
          <t>24Y</t>
        </is>
      </c>
      <c r="E163" t="inlineStr">
        <is>
          <t>Revenue estimate FY2024</t>
        </is>
      </c>
      <c r="F163" s="53">
        <f>_xll.BDP("MSFT US Equity","BEST_SALES","BEST_FPERIOD_OVERRIDE","24Y")</f>
        <v/>
      </c>
    </row>
    <row r="164">
      <c r="A164" t="inlineStr">
        <is>
          <t>MSFT</t>
        </is>
      </c>
      <c r="B164" t="inlineStr">
        <is>
          <t>MSFT US Equity</t>
        </is>
      </c>
      <c r="C164" t="inlineStr">
        <is>
          <t>BEST_EBIT</t>
        </is>
      </c>
      <c r="D164" t="inlineStr">
        <is>
          <t>24Y</t>
        </is>
      </c>
      <c r="E164" t="inlineStr">
        <is>
          <t>EBIT estimate FY2024</t>
        </is>
      </c>
      <c r="F164" s="53">
        <f>_xll.BDP("MSFT US Equity","BEST_EBIT","BEST_FPERIOD_OVERRIDE","24Y")</f>
        <v/>
      </c>
    </row>
    <row r="165">
      <c r="A165" t="inlineStr">
        <is>
          <t>MSFT</t>
        </is>
      </c>
      <c r="B165" t="inlineStr">
        <is>
          <t>MSFT US Equity</t>
        </is>
      </c>
      <c r="C165" t="inlineStr">
        <is>
          <t>BEST_EPS</t>
        </is>
      </c>
      <c r="D165" t="inlineStr">
        <is>
          <t>25Y</t>
        </is>
      </c>
      <c r="E165" t="inlineStr">
        <is>
          <t>EPS estimate FY2025</t>
        </is>
      </c>
      <c r="F165" s="53">
        <f>_xll.BDP("MSFT US Equity","BEST_EPS","BEST_FPERIOD_OVERRIDE","25Y")</f>
        <v/>
      </c>
    </row>
    <row r="166">
      <c r="A166" t="inlineStr">
        <is>
          <t>MSFT</t>
        </is>
      </c>
      <c r="B166" t="inlineStr">
        <is>
          <t>MSFT US Equity</t>
        </is>
      </c>
      <c r="C166" t="inlineStr">
        <is>
          <t>BEST_SALES</t>
        </is>
      </c>
      <c r="D166" t="inlineStr">
        <is>
          <t>25Y</t>
        </is>
      </c>
      <c r="E166" t="inlineStr">
        <is>
          <t>Revenue estimate FY2025</t>
        </is>
      </c>
      <c r="F166" s="53">
        <f>_xll.BDP("MSFT US Equity","BEST_SALES","BEST_FPERIOD_OVERRIDE","25Y")</f>
        <v/>
      </c>
    </row>
    <row r="167">
      <c r="A167" t="inlineStr">
        <is>
          <t>MSFT</t>
        </is>
      </c>
      <c r="B167" t="inlineStr">
        <is>
          <t>MSFT US Equity</t>
        </is>
      </c>
      <c r="C167" t="inlineStr">
        <is>
          <t>BEST_EBIT</t>
        </is>
      </c>
      <c r="D167" t="inlineStr">
        <is>
          <t>25Y</t>
        </is>
      </c>
      <c r="E167" t="inlineStr">
        <is>
          <t>EBIT estimate FY2025</t>
        </is>
      </c>
      <c r="F167" s="53">
        <f>_xll.BDP("MSFT US Equity","BEST_EBIT","BEST_FPERIOD_OVERRIDE","25Y")</f>
        <v/>
      </c>
    </row>
    <row r="168">
      <c r="A168" t="inlineStr">
        <is>
          <t>MSFT</t>
        </is>
      </c>
      <c r="B168" t="inlineStr">
        <is>
          <t>MSFT US Equity</t>
        </is>
      </c>
      <c r="C168" t="inlineStr">
        <is>
          <t>BEST_EPS</t>
        </is>
      </c>
      <c r="D168" t="inlineStr">
        <is>
          <t>26Y</t>
        </is>
      </c>
      <c r="E168" t="inlineStr">
        <is>
          <t>EPS estimate FY2026</t>
        </is>
      </c>
      <c r="F168" s="53">
        <f>_xll.BDP("MSFT US Equity","BEST_EPS","BEST_FPERIOD_OVERRIDE","26Y")</f>
        <v/>
      </c>
    </row>
    <row r="169">
      <c r="A169" t="inlineStr">
        <is>
          <t>MSFT</t>
        </is>
      </c>
      <c r="B169" t="inlineStr">
        <is>
          <t>MSFT US Equity</t>
        </is>
      </c>
      <c r="C169" t="inlineStr">
        <is>
          <t>BEST_SALES</t>
        </is>
      </c>
      <c r="D169" t="inlineStr">
        <is>
          <t>26Y</t>
        </is>
      </c>
      <c r="E169" t="inlineStr">
        <is>
          <t>Revenue estimate FY2026</t>
        </is>
      </c>
      <c r="F169" s="53">
        <f>_xll.BDP("MSFT US Equity","BEST_SALES","BEST_FPERIOD_OVERRIDE","26Y")</f>
        <v/>
      </c>
    </row>
    <row r="170">
      <c r="A170" t="inlineStr">
        <is>
          <t>MSFT</t>
        </is>
      </c>
      <c r="B170" t="inlineStr">
        <is>
          <t>MSFT US Equity</t>
        </is>
      </c>
      <c r="C170" t="inlineStr">
        <is>
          <t>BEST_EBIT</t>
        </is>
      </c>
      <c r="D170" t="inlineStr">
        <is>
          <t>26Y</t>
        </is>
      </c>
      <c r="E170" t="inlineStr">
        <is>
          <t>EBIT estimate FY2026</t>
        </is>
      </c>
      <c r="F170" s="53">
        <f>_xll.BDP("MSFT US Equity","BEST_EBIT","BEST_FPERIOD_OVERRIDE","26Y")</f>
        <v/>
      </c>
    </row>
    <row r="171">
      <c r="A171" t="inlineStr">
        <is>
          <t>MSFT</t>
        </is>
      </c>
      <c r="B171" t="inlineStr">
        <is>
          <t>MSFT US Equity</t>
        </is>
      </c>
      <c r="C171" t="inlineStr">
        <is>
          <t>BEST_EPS</t>
        </is>
      </c>
      <c r="D171" t="inlineStr">
        <is>
          <t>27Y</t>
        </is>
      </c>
      <c r="E171" t="inlineStr">
        <is>
          <t>EPS estimate FY2027</t>
        </is>
      </c>
      <c r="F171" s="53">
        <f>_xll.BDP("MSFT US Equity","BEST_EPS","BEST_FPERIOD_OVERRIDE","27Y")</f>
        <v/>
      </c>
    </row>
    <row r="172">
      <c r="A172" t="inlineStr">
        <is>
          <t>MSFT</t>
        </is>
      </c>
      <c r="B172" t="inlineStr">
        <is>
          <t>MSFT US Equity</t>
        </is>
      </c>
      <c r="C172" t="inlineStr">
        <is>
          <t>BEST_SALES</t>
        </is>
      </c>
      <c r="D172" t="inlineStr">
        <is>
          <t>27Y</t>
        </is>
      </c>
      <c r="E172" t="inlineStr">
        <is>
          <t>Revenue estimate FY2027</t>
        </is>
      </c>
      <c r="F172" s="53">
        <f>_xll.BDP("MSFT US Equity","BEST_SALES","BEST_FPERIOD_OVERRIDE","27Y")</f>
        <v/>
      </c>
    </row>
    <row r="173">
      <c r="A173" t="inlineStr">
        <is>
          <t>MSFT</t>
        </is>
      </c>
      <c r="B173" t="inlineStr">
        <is>
          <t>MSFT US Equity</t>
        </is>
      </c>
      <c r="C173" t="inlineStr">
        <is>
          <t>BEST_EBIT</t>
        </is>
      </c>
      <c r="D173" t="inlineStr">
        <is>
          <t>27Y</t>
        </is>
      </c>
      <c r="E173" t="inlineStr">
        <is>
          <t>EBIT estimate FY2027</t>
        </is>
      </c>
      <c r="F173" s="53">
        <f>_xll.BDP("MSFT US Equity","BEST_EBIT","BEST_FPERIOD_OVERRIDE","27Y")</f>
        <v/>
      </c>
    </row>
    <row r="174">
      <c r="A174" t="inlineStr">
        <is>
          <t>MSFT</t>
        </is>
      </c>
      <c r="B174" t="inlineStr">
        <is>
          <t>MSFT US Equity</t>
        </is>
      </c>
      <c r="C174" t="inlineStr">
        <is>
          <t>BEST_EPS</t>
        </is>
      </c>
      <c r="D174" t="inlineStr">
        <is>
          <t>28Y</t>
        </is>
      </c>
      <c r="E174" t="inlineStr">
        <is>
          <t>EPS estimate FY2028</t>
        </is>
      </c>
      <c r="F174" s="53">
        <f>_xll.BDP("MSFT US Equity","BEST_EPS","BEST_FPERIOD_OVERRIDE","28Y")</f>
        <v/>
      </c>
    </row>
    <row r="175">
      <c r="A175" t="inlineStr">
        <is>
          <t>MSFT</t>
        </is>
      </c>
      <c r="B175" t="inlineStr">
        <is>
          <t>MSFT US Equity</t>
        </is>
      </c>
      <c r="C175" t="inlineStr">
        <is>
          <t>BEST_SALES</t>
        </is>
      </c>
      <c r="D175" t="inlineStr">
        <is>
          <t>28Y</t>
        </is>
      </c>
      <c r="E175" t="inlineStr">
        <is>
          <t>Revenue estimate FY2028</t>
        </is>
      </c>
      <c r="F175" s="53">
        <f>_xll.BDP("MSFT US Equity","BEST_SALES","BEST_FPERIOD_OVERRIDE","28Y")</f>
        <v/>
      </c>
    </row>
    <row r="176">
      <c r="A176" t="inlineStr">
        <is>
          <t>MSFT</t>
        </is>
      </c>
      <c r="B176" t="inlineStr">
        <is>
          <t>MSFT US Equity</t>
        </is>
      </c>
      <c r="C176" t="inlineStr">
        <is>
          <t>BEST_EBIT</t>
        </is>
      </c>
      <c r="D176" t="inlineStr">
        <is>
          <t>28Y</t>
        </is>
      </c>
      <c r="E176" t="inlineStr">
        <is>
          <t>EBIT estimate FY2028</t>
        </is>
      </c>
      <c r="F176" s="53">
        <f>_xll.BDP("MSFT US Equity","BEST_EBIT","BEST_FPERIOD_OVERRIDE","28Y")</f>
        <v/>
      </c>
    </row>
    <row r="177">
      <c r="A177" t="inlineStr">
        <is>
          <t>V</t>
        </is>
      </c>
      <c r="B177" t="inlineStr">
        <is>
          <t>V US Equity</t>
        </is>
      </c>
      <c r="C177" t="inlineStr">
        <is>
          <t>PX_LAST</t>
        </is>
      </c>
      <c r="E177" t="inlineStr">
        <is>
          <t>Last price</t>
        </is>
      </c>
      <c r="F177" s="53">
        <f>_xll.BDP("V US Equity","PX_LAST")</f>
        <v/>
      </c>
    </row>
    <row r="178">
      <c r="A178" t="inlineStr">
        <is>
          <t>V</t>
        </is>
      </c>
      <c r="B178" t="inlineStr">
        <is>
          <t>V US Equity</t>
        </is>
      </c>
      <c r="C178" t="inlineStr">
        <is>
          <t>CUR_MKT_CAP</t>
        </is>
      </c>
      <c r="E178" t="inlineStr">
        <is>
          <t>Market cap (raw)</t>
        </is>
      </c>
      <c r="F178" s="53">
        <f>_xll.BDP("V US Equity","CUR_MKT_CAP")</f>
        <v/>
      </c>
    </row>
    <row r="179">
      <c r="A179" t="inlineStr">
        <is>
          <t>V</t>
        </is>
      </c>
      <c r="B179" t="inlineStr">
        <is>
          <t>V US Equity</t>
        </is>
      </c>
      <c r="C179" t="inlineStr">
        <is>
          <t>CHG_PCT_YTD</t>
        </is>
      </c>
      <c r="E179" t="inlineStr">
        <is>
          <t>YTD price change %</t>
        </is>
      </c>
      <c r="F179" s="53">
        <f>_xll.BDP("V US Equity","CHG_PCT_YTD")</f>
        <v/>
      </c>
    </row>
    <row r="180">
      <c r="A180" t="inlineStr">
        <is>
          <t>V</t>
        </is>
      </c>
      <c r="B180" t="inlineStr">
        <is>
          <t>V US Equity</t>
        </is>
      </c>
      <c r="C180" t="inlineStr">
        <is>
          <t>NET_DEBT_TO_EBITDA</t>
        </is>
      </c>
      <c r="E180" t="inlineStr">
        <is>
          <t>Net debt / EBITDA</t>
        </is>
      </c>
      <c r="F180" s="53">
        <f>_xll.BDP("V US Equity","NET_DEBT_TO_EBITDA")</f>
        <v/>
      </c>
    </row>
    <row r="181">
      <c r="A181" t="inlineStr">
        <is>
          <t>V</t>
        </is>
      </c>
      <c r="B181" t="inlineStr">
        <is>
          <t>V US Equity</t>
        </is>
      </c>
      <c r="C181" t="inlineStr">
        <is>
          <t>RETURN_ON_INV_CAPITAL</t>
        </is>
      </c>
      <c r="E181" t="inlineStr">
        <is>
          <t>ROIC (LTM)</t>
        </is>
      </c>
      <c r="F181" s="53">
        <f>_xll.BDP("V US Equity","RETURN_ON_INV_CAPITAL")</f>
        <v/>
      </c>
    </row>
    <row r="182">
      <c r="A182" t="inlineStr">
        <is>
          <t>V</t>
        </is>
      </c>
      <c r="B182" t="inlineStr">
        <is>
          <t>V US Equity</t>
        </is>
      </c>
      <c r="C182" t="inlineStr">
        <is>
          <t>TRAIL_12M_OPER_INC</t>
        </is>
      </c>
      <c r="E182" t="inlineStr">
        <is>
          <t>LTM operating income</t>
        </is>
      </c>
      <c r="F182" s="53">
        <f>_xll.BDP("V US Equity","TRAIL_12M_OPER_INC")</f>
        <v/>
      </c>
    </row>
    <row r="183">
      <c r="A183" t="inlineStr">
        <is>
          <t>V</t>
        </is>
      </c>
      <c r="B183" t="inlineStr">
        <is>
          <t>V US Equity</t>
        </is>
      </c>
      <c r="C183" t="inlineStr">
        <is>
          <t>TRAIL_12M_EBITDA</t>
        </is>
      </c>
      <c r="E183" t="inlineStr">
        <is>
          <t>LTM EBITDA</t>
        </is>
      </c>
      <c r="F183" s="53">
        <f>_xll.BDP("V US Equity","TRAIL_12M_EBITDA")</f>
        <v/>
      </c>
    </row>
    <row r="184">
      <c r="A184" t="inlineStr">
        <is>
          <t>V</t>
        </is>
      </c>
      <c r="B184" t="inlineStr">
        <is>
          <t>V US Equity</t>
        </is>
      </c>
      <c r="C184" t="inlineStr">
        <is>
          <t>SHORT_AND_LONG_TERM_DEBT</t>
        </is>
      </c>
      <c r="E184" t="inlineStr">
        <is>
          <t>Total debt</t>
        </is>
      </c>
      <c r="F184" s="53">
        <f>_xll.BDP("V US Equity","SHORT_AND_LONG_TERM_DEBT")</f>
        <v/>
      </c>
    </row>
    <row r="185">
      <c r="A185" t="inlineStr">
        <is>
          <t>V</t>
        </is>
      </c>
      <c r="B185" t="inlineStr">
        <is>
          <t>V US Equity</t>
        </is>
      </c>
      <c r="C185" t="inlineStr">
        <is>
          <t>TOTAL_EQUITY</t>
        </is>
      </c>
      <c r="E185" t="inlineStr">
        <is>
          <t>Total equity</t>
        </is>
      </c>
      <c r="F185" s="53">
        <f>_xll.BDP("V US Equity","TOTAL_EQUITY")</f>
        <v/>
      </c>
    </row>
    <row r="186">
      <c r="A186" t="inlineStr">
        <is>
          <t>V</t>
        </is>
      </c>
      <c r="B186" t="inlineStr">
        <is>
          <t>V US Equity</t>
        </is>
      </c>
      <c r="C186" t="inlineStr">
        <is>
          <t>BS_CASH_NEAR_CASH_ITEM</t>
        </is>
      </c>
      <c r="E186" t="inlineStr">
        <is>
          <t>Cash &amp; equivalents</t>
        </is>
      </c>
      <c r="F186" s="53">
        <f>_xll.BDP("V US Equity","BS_CASH_NEAR_CASH_ITEM")</f>
        <v/>
      </c>
    </row>
    <row r="187">
      <c r="A187" t="inlineStr">
        <is>
          <t>V</t>
        </is>
      </c>
      <c r="B187" t="inlineStr">
        <is>
          <t>V US Equity</t>
        </is>
      </c>
      <c r="C187" t="inlineStr">
        <is>
          <t>BEST_EPS</t>
        </is>
      </c>
      <c r="D187" t="inlineStr">
        <is>
          <t>24Y</t>
        </is>
      </c>
      <c r="E187" t="inlineStr">
        <is>
          <t>EPS estimate FY2024</t>
        </is>
      </c>
      <c r="F187" s="53">
        <f>_xll.BDP("V US Equity","BEST_EPS","BEST_FPERIOD_OVERRIDE","24Y")</f>
        <v/>
      </c>
    </row>
    <row r="188">
      <c r="A188" t="inlineStr">
        <is>
          <t>V</t>
        </is>
      </c>
      <c r="B188" t="inlineStr">
        <is>
          <t>V US Equity</t>
        </is>
      </c>
      <c r="C188" t="inlineStr">
        <is>
          <t>BEST_SALES</t>
        </is>
      </c>
      <c r="D188" t="inlineStr">
        <is>
          <t>24Y</t>
        </is>
      </c>
      <c r="E188" t="inlineStr">
        <is>
          <t>Revenue estimate FY2024</t>
        </is>
      </c>
      <c r="F188" s="53">
        <f>_xll.BDP("V US Equity","BEST_SALES","BEST_FPERIOD_OVERRIDE","24Y")</f>
        <v/>
      </c>
    </row>
    <row r="189">
      <c r="A189" t="inlineStr">
        <is>
          <t>V</t>
        </is>
      </c>
      <c r="B189" t="inlineStr">
        <is>
          <t>V US Equity</t>
        </is>
      </c>
      <c r="C189" t="inlineStr">
        <is>
          <t>BEST_EBIT</t>
        </is>
      </c>
      <c r="D189" t="inlineStr">
        <is>
          <t>24Y</t>
        </is>
      </c>
      <c r="E189" t="inlineStr">
        <is>
          <t>EBIT estimate FY2024</t>
        </is>
      </c>
      <c r="F189" s="53">
        <f>_xll.BDP("V US Equity","BEST_EBIT","BEST_FPERIOD_OVERRIDE","24Y")</f>
        <v/>
      </c>
    </row>
    <row r="190">
      <c r="A190" t="inlineStr">
        <is>
          <t>V</t>
        </is>
      </c>
      <c r="B190" t="inlineStr">
        <is>
          <t>V US Equity</t>
        </is>
      </c>
      <c r="C190" t="inlineStr">
        <is>
          <t>BEST_EPS</t>
        </is>
      </c>
      <c r="D190" t="inlineStr">
        <is>
          <t>25Y</t>
        </is>
      </c>
      <c r="E190" t="inlineStr">
        <is>
          <t>EPS estimate FY2025</t>
        </is>
      </c>
      <c r="F190" s="53">
        <f>_xll.BDP("V US Equity","BEST_EPS","BEST_FPERIOD_OVERRIDE","25Y")</f>
        <v/>
      </c>
    </row>
    <row r="191">
      <c r="A191" t="inlineStr">
        <is>
          <t>V</t>
        </is>
      </c>
      <c r="B191" t="inlineStr">
        <is>
          <t>V US Equity</t>
        </is>
      </c>
      <c r="C191" t="inlineStr">
        <is>
          <t>BEST_SALES</t>
        </is>
      </c>
      <c r="D191" t="inlineStr">
        <is>
          <t>25Y</t>
        </is>
      </c>
      <c r="E191" t="inlineStr">
        <is>
          <t>Revenue estimate FY2025</t>
        </is>
      </c>
      <c r="F191" s="53">
        <f>_xll.BDP("V US Equity","BEST_SALES","BEST_FPERIOD_OVERRIDE","25Y")</f>
        <v/>
      </c>
    </row>
    <row r="192">
      <c r="A192" t="inlineStr">
        <is>
          <t>V</t>
        </is>
      </c>
      <c r="B192" t="inlineStr">
        <is>
          <t>V US Equity</t>
        </is>
      </c>
      <c r="C192" t="inlineStr">
        <is>
          <t>BEST_EBIT</t>
        </is>
      </c>
      <c r="D192" t="inlineStr">
        <is>
          <t>25Y</t>
        </is>
      </c>
      <c r="E192" t="inlineStr">
        <is>
          <t>EBIT estimate FY2025</t>
        </is>
      </c>
      <c r="F192" s="53">
        <f>_xll.BDP("V US Equity","BEST_EBIT","BEST_FPERIOD_OVERRIDE","25Y")</f>
        <v/>
      </c>
    </row>
    <row r="193">
      <c r="A193" t="inlineStr">
        <is>
          <t>V</t>
        </is>
      </c>
      <c r="B193" t="inlineStr">
        <is>
          <t>V US Equity</t>
        </is>
      </c>
      <c r="C193" t="inlineStr">
        <is>
          <t>BEST_EPS</t>
        </is>
      </c>
      <c r="D193" t="inlineStr">
        <is>
          <t>26Y</t>
        </is>
      </c>
      <c r="E193" t="inlineStr">
        <is>
          <t>EPS estimate FY2026</t>
        </is>
      </c>
      <c r="F193" s="53">
        <f>_xll.BDP("V US Equity","BEST_EPS","BEST_FPERIOD_OVERRIDE","26Y")</f>
        <v/>
      </c>
    </row>
    <row r="194">
      <c r="A194" t="inlineStr">
        <is>
          <t>V</t>
        </is>
      </c>
      <c r="B194" t="inlineStr">
        <is>
          <t>V US Equity</t>
        </is>
      </c>
      <c r="C194" t="inlineStr">
        <is>
          <t>BEST_SALES</t>
        </is>
      </c>
      <c r="D194" t="inlineStr">
        <is>
          <t>26Y</t>
        </is>
      </c>
      <c r="E194" t="inlineStr">
        <is>
          <t>Revenue estimate FY2026</t>
        </is>
      </c>
      <c r="F194" s="53">
        <f>_xll.BDP("V US Equity","BEST_SALES","BEST_FPERIOD_OVERRIDE","26Y")</f>
        <v/>
      </c>
    </row>
    <row r="195">
      <c r="A195" t="inlineStr">
        <is>
          <t>V</t>
        </is>
      </c>
      <c r="B195" t="inlineStr">
        <is>
          <t>V US Equity</t>
        </is>
      </c>
      <c r="C195" t="inlineStr">
        <is>
          <t>BEST_EBIT</t>
        </is>
      </c>
      <c r="D195" t="inlineStr">
        <is>
          <t>26Y</t>
        </is>
      </c>
      <c r="E195" t="inlineStr">
        <is>
          <t>EBIT estimate FY2026</t>
        </is>
      </c>
      <c r="F195" s="53">
        <f>_xll.BDP("V US Equity","BEST_EBIT","BEST_FPERIOD_OVERRIDE","26Y")</f>
        <v/>
      </c>
    </row>
    <row r="196">
      <c r="A196" t="inlineStr">
        <is>
          <t>V</t>
        </is>
      </c>
      <c r="B196" t="inlineStr">
        <is>
          <t>V US Equity</t>
        </is>
      </c>
      <c r="C196" t="inlineStr">
        <is>
          <t>BEST_EPS</t>
        </is>
      </c>
      <c r="D196" t="inlineStr">
        <is>
          <t>27Y</t>
        </is>
      </c>
      <c r="E196" t="inlineStr">
        <is>
          <t>EPS estimate FY2027</t>
        </is>
      </c>
      <c r="F196" s="53">
        <f>_xll.BDP("V US Equity","BEST_EPS","BEST_FPERIOD_OVERRIDE","27Y")</f>
        <v/>
      </c>
    </row>
    <row r="197">
      <c r="A197" t="inlineStr">
        <is>
          <t>V</t>
        </is>
      </c>
      <c r="B197" t="inlineStr">
        <is>
          <t>V US Equity</t>
        </is>
      </c>
      <c r="C197" t="inlineStr">
        <is>
          <t>BEST_SALES</t>
        </is>
      </c>
      <c r="D197" t="inlineStr">
        <is>
          <t>27Y</t>
        </is>
      </c>
      <c r="E197" t="inlineStr">
        <is>
          <t>Revenue estimate FY2027</t>
        </is>
      </c>
      <c r="F197" s="53">
        <f>_xll.BDP("V US Equity","BEST_SALES","BEST_FPERIOD_OVERRIDE","27Y")</f>
        <v/>
      </c>
    </row>
    <row r="198">
      <c r="A198" t="inlineStr">
        <is>
          <t>V</t>
        </is>
      </c>
      <c r="B198" t="inlineStr">
        <is>
          <t>V US Equity</t>
        </is>
      </c>
      <c r="C198" t="inlineStr">
        <is>
          <t>BEST_EBIT</t>
        </is>
      </c>
      <c r="D198" t="inlineStr">
        <is>
          <t>27Y</t>
        </is>
      </c>
      <c r="E198" t="inlineStr">
        <is>
          <t>EBIT estimate FY2027</t>
        </is>
      </c>
      <c r="F198" s="53">
        <f>_xll.BDP("V US Equity","BEST_EBIT","BEST_FPERIOD_OVERRIDE","27Y")</f>
        <v/>
      </c>
    </row>
    <row r="199">
      <c r="A199" t="inlineStr">
        <is>
          <t>V</t>
        </is>
      </c>
      <c r="B199" t="inlineStr">
        <is>
          <t>V US Equity</t>
        </is>
      </c>
      <c r="C199" t="inlineStr">
        <is>
          <t>BEST_EPS</t>
        </is>
      </c>
      <c r="D199" t="inlineStr">
        <is>
          <t>28Y</t>
        </is>
      </c>
      <c r="E199" t="inlineStr">
        <is>
          <t>EPS estimate FY2028</t>
        </is>
      </c>
      <c r="F199" s="53">
        <f>_xll.BDP("V US Equity","BEST_EPS","BEST_FPERIOD_OVERRIDE","28Y")</f>
        <v/>
      </c>
    </row>
    <row r="200">
      <c r="A200" t="inlineStr">
        <is>
          <t>V</t>
        </is>
      </c>
      <c r="B200" t="inlineStr">
        <is>
          <t>V US Equity</t>
        </is>
      </c>
      <c r="C200" t="inlineStr">
        <is>
          <t>BEST_SALES</t>
        </is>
      </c>
      <c r="D200" t="inlineStr">
        <is>
          <t>28Y</t>
        </is>
      </c>
      <c r="E200" t="inlineStr">
        <is>
          <t>Revenue estimate FY2028</t>
        </is>
      </c>
      <c r="F200" s="53">
        <f>_xll.BDP("V US Equity","BEST_SALES","BEST_FPERIOD_OVERRIDE","28Y")</f>
        <v/>
      </c>
    </row>
    <row r="201">
      <c r="A201" t="inlineStr">
        <is>
          <t>V</t>
        </is>
      </c>
      <c r="B201" t="inlineStr">
        <is>
          <t>V US Equity</t>
        </is>
      </c>
      <c r="C201" t="inlineStr">
        <is>
          <t>BEST_EBIT</t>
        </is>
      </c>
      <c r="D201" t="inlineStr">
        <is>
          <t>28Y</t>
        </is>
      </c>
      <c r="E201" t="inlineStr">
        <is>
          <t>EBIT estimate FY2028</t>
        </is>
      </c>
      <c r="F201" s="53">
        <f>_xll.BDP("V US Equity","BEST_EBIT","BEST_FPERIOD_OVERRIDE","28Y")</f>
        <v/>
      </c>
    </row>
    <row r="202">
      <c r="A202" t="inlineStr">
        <is>
          <t>SPGI</t>
        </is>
      </c>
      <c r="B202" t="inlineStr">
        <is>
          <t>SPGI US Equity</t>
        </is>
      </c>
      <c r="C202" t="inlineStr">
        <is>
          <t>PX_LAST</t>
        </is>
      </c>
      <c r="E202" t="inlineStr">
        <is>
          <t>Last price</t>
        </is>
      </c>
      <c r="F202" s="53">
        <f>_xll.BDP("SPGI US Equity","PX_LAST")</f>
        <v/>
      </c>
    </row>
    <row r="203">
      <c r="A203" t="inlineStr">
        <is>
          <t>SPGI</t>
        </is>
      </c>
      <c r="B203" t="inlineStr">
        <is>
          <t>SPGI US Equity</t>
        </is>
      </c>
      <c r="C203" t="inlineStr">
        <is>
          <t>CUR_MKT_CAP</t>
        </is>
      </c>
      <c r="E203" t="inlineStr">
        <is>
          <t>Market cap (raw)</t>
        </is>
      </c>
      <c r="F203" s="53">
        <f>_xll.BDP("SPGI US Equity","CUR_MKT_CAP")</f>
        <v/>
      </c>
    </row>
    <row r="204">
      <c r="A204" t="inlineStr">
        <is>
          <t>SPGI</t>
        </is>
      </c>
      <c r="B204" t="inlineStr">
        <is>
          <t>SPGI US Equity</t>
        </is>
      </c>
      <c r="C204" t="inlineStr">
        <is>
          <t>CHG_PCT_YTD</t>
        </is>
      </c>
      <c r="E204" t="inlineStr">
        <is>
          <t>YTD price change %</t>
        </is>
      </c>
      <c r="F204" s="53">
        <f>_xll.BDP("SPGI US Equity","CHG_PCT_YTD")</f>
        <v/>
      </c>
    </row>
    <row r="205">
      <c r="A205" t="inlineStr">
        <is>
          <t>SPGI</t>
        </is>
      </c>
      <c r="B205" t="inlineStr">
        <is>
          <t>SPGI US Equity</t>
        </is>
      </c>
      <c r="C205" t="inlineStr">
        <is>
          <t>NET_DEBT_TO_EBITDA</t>
        </is>
      </c>
      <c r="E205" t="inlineStr">
        <is>
          <t>Net debt / EBITDA</t>
        </is>
      </c>
      <c r="F205" s="53">
        <f>_xll.BDP("SPGI US Equity","NET_DEBT_TO_EBITDA")</f>
        <v/>
      </c>
    </row>
    <row r="206">
      <c r="A206" t="inlineStr">
        <is>
          <t>SPGI</t>
        </is>
      </c>
      <c r="B206" t="inlineStr">
        <is>
          <t>SPGI US Equity</t>
        </is>
      </c>
      <c r="C206" t="inlineStr">
        <is>
          <t>RETURN_ON_INV_CAPITAL</t>
        </is>
      </c>
      <c r="E206" t="inlineStr">
        <is>
          <t>ROIC (LTM)</t>
        </is>
      </c>
      <c r="F206" s="53">
        <f>_xll.BDP("SPGI US Equity","RETURN_ON_INV_CAPITAL")</f>
        <v/>
      </c>
    </row>
    <row r="207">
      <c r="A207" t="inlineStr">
        <is>
          <t>SPGI</t>
        </is>
      </c>
      <c r="B207" t="inlineStr">
        <is>
          <t>SPGI US Equity</t>
        </is>
      </c>
      <c r="C207" t="inlineStr">
        <is>
          <t>TRAIL_12M_OPER_INC</t>
        </is>
      </c>
      <c r="E207" t="inlineStr">
        <is>
          <t>LTM operating income</t>
        </is>
      </c>
      <c r="F207" s="53">
        <f>_xll.BDP("SPGI US Equity","TRAIL_12M_OPER_INC")</f>
        <v/>
      </c>
    </row>
    <row r="208">
      <c r="A208" t="inlineStr">
        <is>
          <t>SPGI</t>
        </is>
      </c>
      <c r="B208" t="inlineStr">
        <is>
          <t>SPGI US Equity</t>
        </is>
      </c>
      <c r="C208" t="inlineStr">
        <is>
          <t>TRAIL_12M_EBITDA</t>
        </is>
      </c>
      <c r="E208" t="inlineStr">
        <is>
          <t>LTM EBITDA</t>
        </is>
      </c>
      <c r="F208" s="53">
        <f>_xll.BDP("SPGI US Equity","TRAIL_12M_EBITDA")</f>
        <v/>
      </c>
    </row>
    <row r="209">
      <c r="A209" t="inlineStr">
        <is>
          <t>SPGI</t>
        </is>
      </c>
      <c r="B209" t="inlineStr">
        <is>
          <t>SPGI US Equity</t>
        </is>
      </c>
      <c r="C209" t="inlineStr">
        <is>
          <t>SHORT_AND_LONG_TERM_DEBT</t>
        </is>
      </c>
      <c r="E209" t="inlineStr">
        <is>
          <t>Total debt</t>
        </is>
      </c>
      <c r="F209" s="53">
        <f>_xll.BDP("SPGI US Equity","SHORT_AND_LONG_TERM_DEBT")</f>
        <v/>
      </c>
    </row>
    <row r="210">
      <c r="A210" t="inlineStr">
        <is>
          <t>SPGI</t>
        </is>
      </c>
      <c r="B210" t="inlineStr">
        <is>
          <t>SPGI US Equity</t>
        </is>
      </c>
      <c r="C210" t="inlineStr">
        <is>
          <t>TOTAL_EQUITY</t>
        </is>
      </c>
      <c r="E210" t="inlineStr">
        <is>
          <t>Total equity</t>
        </is>
      </c>
      <c r="F210" s="53">
        <f>_xll.BDP("SPGI US Equity","TOTAL_EQUITY")</f>
        <v/>
      </c>
    </row>
    <row r="211">
      <c r="A211" t="inlineStr">
        <is>
          <t>SPGI</t>
        </is>
      </c>
      <c r="B211" t="inlineStr">
        <is>
          <t>SPGI US Equity</t>
        </is>
      </c>
      <c r="C211" t="inlineStr">
        <is>
          <t>BS_CASH_NEAR_CASH_ITEM</t>
        </is>
      </c>
      <c r="E211" t="inlineStr">
        <is>
          <t>Cash &amp; equivalents</t>
        </is>
      </c>
      <c r="F211" s="53">
        <f>_xll.BDP("SPGI US Equity","BS_CASH_NEAR_CASH_ITEM")</f>
        <v/>
      </c>
    </row>
    <row r="212">
      <c r="A212" t="inlineStr">
        <is>
          <t>SPGI</t>
        </is>
      </c>
      <c r="B212" t="inlineStr">
        <is>
          <t>SPGI US Equity</t>
        </is>
      </c>
      <c r="C212" t="inlineStr">
        <is>
          <t>BEST_EPS</t>
        </is>
      </c>
      <c r="D212" t="inlineStr">
        <is>
          <t>24Y</t>
        </is>
      </c>
      <c r="E212" t="inlineStr">
        <is>
          <t>EPS estimate FY2024</t>
        </is>
      </c>
      <c r="F212" s="53">
        <f>_xll.BDP("SPGI US Equity","BEST_EPS","BEST_FPERIOD_OVERRIDE","24Y")</f>
        <v/>
      </c>
    </row>
    <row r="213">
      <c r="A213" t="inlineStr">
        <is>
          <t>SPGI</t>
        </is>
      </c>
      <c r="B213" t="inlineStr">
        <is>
          <t>SPGI US Equity</t>
        </is>
      </c>
      <c r="C213" t="inlineStr">
        <is>
          <t>BEST_SALES</t>
        </is>
      </c>
      <c r="D213" t="inlineStr">
        <is>
          <t>24Y</t>
        </is>
      </c>
      <c r="E213" t="inlineStr">
        <is>
          <t>Revenue estimate FY2024</t>
        </is>
      </c>
      <c r="F213" s="53">
        <f>_xll.BDP("SPGI US Equity","BEST_SALES","BEST_FPERIOD_OVERRIDE","24Y")</f>
        <v/>
      </c>
    </row>
    <row r="214">
      <c r="A214" t="inlineStr">
        <is>
          <t>SPGI</t>
        </is>
      </c>
      <c r="B214" t="inlineStr">
        <is>
          <t>SPGI US Equity</t>
        </is>
      </c>
      <c r="C214" t="inlineStr">
        <is>
          <t>BEST_EBIT</t>
        </is>
      </c>
      <c r="D214" t="inlineStr">
        <is>
          <t>24Y</t>
        </is>
      </c>
      <c r="E214" t="inlineStr">
        <is>
          <t>EBIT estimate FY2024</t>
        </is>
      </c>
      <c r="F214" s="53">
        <f>_xll.BDP("SPGI US Equity","BEST_EBIT","BEST_FPERIOD_OVERRIDE","24Y")</f>
        <v/>
      </c>
    </row>
    <row r="215">
      <c r="A215" t="inlineStr">
        <is>
          <t>SPGI</t>
        </is>
      </c>
      <c r="B215" t="inlineStr">
        <is>
          <t>SPGI US Equity</t>
        </is>
      </c>
      <c r="C215" t="inlineStr">
        <is>
          <t>BEST_EPS</t>
        </is>
      </c>
      <c r="D215" t="inlineStr">
        <is>
          <t>25Y</t>
        </is>
      </c>
      <c r="E215" t="inlineStr">
        <is>
          <t>EPS estimate FY2025</t>
        </is>
      </c>
      <c r="F215" s="53">
        <f>_xll.BDP("SPGI US Equity","BEST_EPS","BEST_FPERIOD_OVERRIDE","25Y")</f>
        <v/>
      </c>
    </row>
    <row r="216">
      <c r="A216" t="inlineStr">
        <is>
          <t>SPGI</t>
        </is>
      </c>
      <c r="B216" t="inlineStr">
        <is>
          <t>SPGI US Equity</t>
        </is>
      </c>
      <c r="C216" t="inlineStr">
        <is>
          <t>BEST_SALES</t>
        </is>
      </c>
      <c r="D216" t="inlineStr">
        <is>
          <t>25Y</t>
        </is>
      </c>
      <c r="E216" t="inlineStr">
        <is>
          <t>Revenue estimate FY2025</t>
        </is>
      </c>
      <c r="F216" s="53">
        <f>_xll.BDP("SPGI US Equity","BEST_SALES","BEST_FPERIOD_OVERRIDE","25Y")</f>
        <v/>
      </c>
    </row>
    <row r="217">
      <c r="A217" t="inlineStr">
        <is>
          <t>SPGI</t>
        </is>
      </c>
      <c r="B217" t="inlineStr">
        <is>
          <t>SPGI US Equity</t>
        </is>
      </c>
      <c r="C217" t="inlineStr">
        <is>
          <t>BEST_EBIT</t>
        </is>
      </c>
      <c r="D217" t="inlineStr">
        <is>
          <t>25Y</t>
        </is>
      </c>
      <c r="E217" t="inlineStr">
        <is>
          <t>EBIT estimate FY2025</t>
        </is>
      </c>
      <c r="F217" s="53">
        <f>_xll.BDP("SPGI US Equity","BEST_EBIT","BEST_FPERIOD_OVERRIDE","25Y")</f>
        <v/>
      </c>
    </row>
    <row r="218">
      <c r="A218" t="inlineStr">
        <is>
          <t>SPGI</t>
        </is>
      </c>
      <c r="B218" t="inlineStr">
        <is>
          <t>SPGI US Equity</t>
        </is>
      </c>
      <c r="C218" t="inlineStr">
        <is>
          <t>BEST_EPS</t>
        </is>
      </c>
      <c r="D218" t="inlineStr">
        <is>
          <t>26Y</t>
        </is>
      </c>
      <c r="E218" t="inlineStr">
        <is>
          <t>EPS estimate FY2026</t>
        </is>
      </c>
      <c r="F218" s="53">
        <f>_xll.BDP("SPGI US Equity","BEST_EPS","BEST_FPERIOD_OVERRIDE","26Y")</f>
        <v/>
      </c>
    </row>
    <row r="219">
      <c r="A219" t="inlineStr">
        <is>
          <t>SPGI</t>
        </is>
      </c>
      <c r="B219" t="inlineStr">
        <is>
          <t>SPGI US Equity</t>
        </is>
      </c>
      <c r="C219" t="inlineStr">
        <is>
          <t>BEST_SALES</t>
        </is>
      </c>
      <c r="D219" t="inlineStr">
        <is>
          <t>26Y</t>
        </is>
      </c>
      <c r="E219" t="inlineStr">
        <is>
          <t>Revenue estimate FY2026</t>
        </is>
      </c>
      <c r="F219" s="53">
        <f>_xll.BDP("SPGI US Equity","BEST_SALES","BEST_FPERIOD_OVERRIDE","26Y")</f>
        <v/>
      </c>
    </row>
    <row r="220">
      <c r="A220" t="inlineStr">
        <is>
          <t>SPGI</t>
        </is>
      </c>
      <c r="B220" t="inlineStr">
        <is>
          <t>SPGI US Equity</t>
        </is>
      </c>
      <c r="C220" t="inlineStr">
        <is>
          <t>BEST_EBIT</t>
        </is>
      </c>
      <c r="D220" t="inlineStr">
        <is>
          <t>26Y</t>
        </is>
      </c>
      <c r="E220" t="inlineStr">
        <is>
          <t>EBIT estimate FY2026</t>
        </is>
      </c>
      <c r="F220" s="53">
        <f>_xll.BDP("SPGI US Equity","BEST_EBIT","BEST_FPERIOD_OVERRIDE","26Y")</f>
        <v/>
      </c>
    </row>
    <row r="221">
      <c r="A221" t="inlineStr">
        <is>
          <t>SPGI</t>
        </is>
      </c>
      <c r="B221" t="inlineStr">
        <is>
          <t>SPGI US Equity</t>
        </is>
      </c>
      <c r="C221" t="inlineStr">
        <is>
          <t>BEST_EPS</t>
        </is>
      </c>
      <c r="D221" t="inlineStr">
        <is>
          <t>27Y</t>
        </is>
      </c>
      <c r="E221" t="inlineStr">
        <is>
          <t>EPS estimate FY2027</t>
        </is>
      </c>
      <c r="F221" s="53">
        <f>_xll.BDP("SPGI US Equity","BEST_EPS","BEST_FPERIOD_OVERRIDE","27Y")</f>
        <v/>
      </c>
    </row>
    <row r="222">
      <c r="A222" t="inlineStr">
        <is>
          <t>SPGI</t>
        </is>
      </c>
      <c r="B222" t="inlineStr">
        <is>
          <t>SPGI US Equity</t>
        </is>
      </c>
      <c r="C222" t="inlineStr">
        <is>
          <t>BEST_SALES</t>
        </is>
      </c>
      <c r="D222" t="inlineStr">
        <is>
          <t>27Y</t>
        </is>
      </c>
      <c r="E222" t="inlineStr">
        <is>
          <t>Revenue estimate FY2027</t>
        </is>
      </c>
      <c r="F222" s="53">
        <f>_xll.BDP("SPGI US Equity","BEST_SALES","BEST_FPERIOD_OVERRIDE","27Y")</f>
        <v/>
      </c>
    </row>
    <row r="223">
      <c r="A223" t="inlineStr">
        <is>
          <t>SPGI</t>
        </is>
      </c>
      <c r="B223" t="inlineStr">
        <is>
          <t>SPGI US Equity</t>
        </is>
      </c>
      <c r="C223" t="inlineStr">
        <is>
          <t>BEST_EBIT</t>
        </is>
      </c>
      <c r="D223" t="inlineStr">
        <is>
          <t>27Y</t>
        </is>
      </c>
      <c r="E223" t="inlineStr">
        <is>
          <t>EBIT estimate FY2027</t>
        </is>
      </c>
      <c r="F223" s="53">
        <f>_xll.BDP("SPGI US Equity","BEST_EBIT","BEST_FPERIOD_OVERRIDE","27Y")</f>
        <v/>
      </c>
    </row>
    <row r="224">
      <c r="A224" t="inlineStr">
        <is>
          <t>SPGI</t>
        </is>
      </c>
      <c r="B224" t="inlineStr">
        <is>
          <t>SPGI US Equity</t>
        </is>
      </c>
      <c r="C224" t="inlineStr">
        <is>
          <t>BEST_EPS</t>
        </is>
      </c>
      <c r="D224" t="inlineStr">
        <is>
          <t>28Y</t>
        </is>
      </c>
      <c r="E224" t="inlineStr">
        <is>
          <t>EPS estimate FY2028</t>
        </is>
      </c>
      <c r="F224" s="53">
        <f>_xll.BDP("SPGI US Equity","BEST_EPS","BEST_FPERIOD_OVERRIDE","28Y")</f>
        <v/>
      </c>
    </row>
    <row r="225">
      <c r="A225" t="inlineStr">
        <is>
          <t>SPGI</t>
        </is>
      </c>
      <c r="B225" t="inlineStr">
        <is>
          <t>SPGI US Equity</t>
        </is>
      </c>
      <c r="C225" t="inlineStr">
        <is>
          <t>BEST_SALES</t>
        </is>
      </c>
      <c r="D225" t="inlineStr">
        <is>
          <t>28Y</t>
        </is>
      </c>
      <c r="E225" t="inlineStr">
        <is>
          <t>Revenue estimate FY2028</t>
        </is>
      </c>
      <c r="F225" s="53">
        <f>_xll.BDP("SPGI US Equity","BEST_SALES","BEST_FPERIOD_OVERRIDE","28Y")</f>
        <v/>
      </c>
    </row>
    <row r="226">
      <c r="A226" t="inlineStr">
        <is>
          <t>SPGI</t>
        </is>
      </c>
      <c r="B226" t="inlineStr">
        <is>
          <t>SPGI US Equity</t>
        </is>
      </c>
      <c r="C226" t="inlineStr">
        <is>
          <t>BEST_EBIT</t>
        </is>
      </c>
      <c r="D226" t="inlineStr">
        <is>
          <t>28Y</t>
        </is>
      </c>
      <c r="E226" t="inlineStr">
        <is>
          <t>EBIT estimate FY2028</t>
        </is>
      </c>
      <c r="F226" s="53">
        <f>_xll.BDP("SPGI US Equity","BEST_EBIT","BEST_FPERIOD_OVERRIDE","28Y")</f>
        <v/>
      </c>
    </row>
    <row r="227">
      <c r="A227" t="inlineStr">
        <is>
          <t>PG</t>
        </is>
      </c>
      <c r="B227" t="inlineStr">
        <is>
          <t>PG US Equity</t>
        </is>
      </c>
      <c r="C227" t="inlineStr">
        <is>
          <t>PX_LAST</t>
        </is>
      </c>
      <c r="E227" t="inlineStr">
        <is>
          <t>Last price</t>
        </is>
      </c>
      <c r="F227" s="53">
        <f>_xll.BDP("PG US Equity","PX_LAST")</f>
        <v/>
      </c>
    </row>
    <row r="228">
      <c r="A228" t="inlineStr">
        <is>
          <t>PG</t>
        </is>
      </c>
      <c r="B228" t="inlineStr">
        <is>
          <t>PG US Equity</t>
        </is>
      </c>
      <c r="C228" t="inlineStr">
        <is>
          <t>CUR_MKT_CAP</t>
        </is>
      </c>
      <c r="E228" t="inlineStr">
        <is>
          <t>Market cap (raw)</t>
        </is>
      </c>
      <c r="F228" s="53">
        <f>_xll.BDP("PG US Equity","CUR_MKT_CAP")</f>
        <v/>
      </c>
    </row>
    <row r="229">
      <c r="A229" t="inlineStr">
        <is>
          <t>PG</t>
        </is>
      </c>
      <c r="B229" t="inlineStr">
        <is>
          <t>PG US Equity</t>
        </is>
      </c>
      <c r="C229" t="inlineStr">
        <is>
          <t>CHG_PCT_YTD</t>
        </is>
      </c>
      <c r="E229" t="inlineStr">
        <is>
          <t>YTD price change %</t>
        </is>
      </c>
      <c r="F229" s="53">
        <f>_xll.BDP("PG US Equity","CHG_PCT_YTD")</f>
        <v/>
      </c>
    </row>
    <row r="230">
      <c r="A230" t="inlineStr">
        <is>
          <t>PG</t>
        </is>
      </c>
      <c r="B230" t="inlineStr">
        <is>
          <t>PG US Equity</t>
        </is>
      </c>
      <c r="C230" t="inlineStr">
        <is>
          <t>NET_DEBT_TO_EBITDA</t>
        </is>
      </c>
      <c r="E230" t="inlineStr">
        <is>
          <t>Net debt / EBITDA</t>
        </is>
      </c>
      <c r="F230" s="53">
        <f>_xll.BDP("PG US Equity","NET_DEBT_TO_EBITDA")</f>
        <v/>
      </c>
    </row>
    <row r="231">
      <c r="A231" t="inlineStr">
        <is>
          <t>PG</t>
        </is>
      </c>
      <c r="B231" t="inlineStr">
        <is>
          <t>PG US Equity</t>
        </is>
      </c>
      <c r="C231" t="inlineStr">
        <is>
          <t>RETURN_ON_INV_CAPITAL</t>
        </is>
      </c>
      <c r="E231" t="inlineStr">
        <is>
          <t>ROIC (LTM)</t>
        </is>
      </c>
      <c r="F231" s="53">
        <f>_xll.BDP("PG US Equity","RETURN_ON_INV_CAPITAL")</f>
        <v/>
      </c>
    </row>
    <row r="232">
      <c r="A232" t="inlineStr">
        <is>
          <t>PG</t>
        </is>
      </c>
      <c r="B232" t="inlineStr">
        <is>
          <t>PG US Equity</t>
        </is>
      </c>
      <c r="C232" t="inlineStr">
        <is>
          <t>TRAIL_12M_OPER_INC</t>
        </is>
      </c>
      <c r="E232" t="inlineStr">
        <is>
          <t>LTM operating income</t>
        </is>
      </c>
      <c r="F232" s="53">
        <f>_xll.BDP("PG US Equity","TRAIL_12M_OPER_INC")</f>
        <v/>
      </c>
    </row>
    <row r="233">
      <c r="A233" t="inlineStr">
        <is>
          <t>PG</t>
        </is>
      </c>
      <c r="B233" t="inlineStr">
        <is>
          <t>PG US Equity</t>
        </is>
      </c>
      <c r="C233" t="inlineStr">
        <is>
          <t>TRAIL_12M_EBITDA</t>
        </is>
      </c>
      <c r="E233" t="inlineStr">
        <is>
          <t>LTM EBITDA</t>
        </is>
      </c>
      <c r="F233" s="53">
        <f>_xll.BDP("PG US Equity","TRAIL_12M_EBITDA")</f>
        <v/>
      </c>
    </row>
    <row r="234">
      <c r="A234" t="inlineStr">
        <is>
          <t>PG</t>
        </is>
      </c>
      <c r="B234" t="inlineStr">
        <is>
          <t>PG US Equity</t>
        </is>
      </c>
      <c r="C234" t="inlineStr">
        <is>
          <t>SHORT_AND_LONG_TERM_DEBT</t>
        </is>
      </c>
      <c r="E234" t="inlineStr">
        <is>
          <t>Total debt</t>
        </is>
      </c>
      <c r="F234" s="53">
        <f>_xll.BDP("PG US Equity","SHORT_AND_LONG_TERM_DEBT")</f>
        <v/>
      </c>
    </row>
    <row r="235">
      <c r="A235" t="inlineStr">
        <is>
          <t>PG</t>
        </is>
      </c>
      <c r="B235" t="inlineStr">
        <is>
          <t>PG US Equity</t>
        </is>
      </c>
      <c r="C235" t="inlineStr">
        <is>
          <t>TOTAL_EQUITY</t>
        </is>
      </c>
      <c r="E235" t="inlineStr">
        <is>
          <t>Total equity</t>
        </is>
      </c>
      <c r="F235" s="53">
        <f>_xll.BDP("PG US Equity","TOTAL_EQUITY")</f>
        <v/>
      </c>
    </row>
    <row r="236">
      <c r="A236" t="inlineStr">
        <is>
          <t>PG</t>
        </is>
      </c>
      <c r="B236" t="inlineStr">
        <is>
          <t>PG US Equity</t>
        </is>
      </c>
      <c r="C236" t="inlineStr">
        <is>
          <t>BS_CASH_NEAR_CASH_ITEM</t>
        </is>
      </c>
      <c r="E236" t="inlineStr">
        <is>
          <t>Cash &amp; equivalents</t>
        </is>
      </c>
      <c r="F236" s="53">
        <f>_xll.BDP("PG US Equity","BS_CASH_NEAR_CASH_ITEM")</f>
        <v/>
      </c>
    </row>
    <row r="237">
      <c r="A237" t="inlineStr">
        <is>
          <t>PG</t>
        </is>
      </c>
      <c r="B237" t="inlineStr">
        <is>
          <t>PG US Equity</t>
        </is>
      </c>
      <c r="C237" t="inlineStr">
        <is>
          <t>BEST_EPS</t>
        </is>
      </c>
      <c r="D237" t="inlineStr">
        <is>
          <t>24Y</t>
        </is>
      </c>
      <c r="E237" t="inlineStr">
        <is>
          <t>EPS estimate FY2024</t>
        </is>
      </c>
      <c r="F237" s="53">
        <f>_xll.BDP("PG US Equity","BEST_EPS","BEST_FPERIOD_OVERRIDE","24Y")</f>
        <v/>
      </c>
    </row>
    <row r="238">
      <c r="A238" t="inlineStr">
        <is>
          <t>PG</t>
        </is>
      </c>
      <c r="B238" t="inlineStr">
        <is>
          <t>PG US Equity</t>
        </is>
      </c>
      <c r="C238" t="inlineStr">
        <is>
          <t>BEST_SALES</t>
        </is>
      </c>
      <c r="D238" t="inlineStr">
        <is>
          <t>24Y</t>
        </is>
      </c>
      <c r="E238" t="inlineStr">
        <is>
          <t>Revenue estimate FY2024</t>
        </is>
      </c>
      <c r="F238" s="53">
        <f>_xll.BDP("PG US Equity","BEST_SALES","BEST_FPERIOD_OVERRIDE","24Y")</f>
        <v/>
      </c>
    </row>
    <row r="239">
      <c r="A239" t="inlineStr">
        <is>
          <t>PG</t>
        </is>
      </c>
      <c r="B239" t="inlineStr">
        <is>
          <t>PG US Equity</t>
        </is>
      </c>
      <c r="C239" t="inlineStr">
        <is>
          <t>BEST_EBIT</t>
        </is>
      </c>
      <c r="D239" t="inlineStr">
        <is>
          <t>24Y</t>
        </is>
      </c>
      <c r="E239" t="inlineStr">
        <is>
          <t>EBIT estimate FY2024</t>
        </is>
      </c>
      <c r="F239" s="53">
        <f>_xll.BDP("PG US Equity","BEST_EBIT","BEST_FPERIOD_OVERRIDE","24Y")</f>
        <v/>
      </c>
    </row>
    <row r="240">
      <c r="A240" t="inlineStr">
        <is>
          <t>PG</t>
        </is>
      </c>
      <c r="B240" t="inlineStr">
        <is>
          <t>PG US Equity</t>
        </is>
      </c>
      <c r="C240" t="inlineStr">
        <is>
          <t>BEST_EPS</t>
        </is>
      </c>
      <c r="D240" t="inlineStr">
        <is>
          <t>25Y</t>
        </is>
      </c>
      <c r="E240" t="inlineStr">
        <is>
          <t>EPS estimate FY2025</t>
        </is>
      </c>
      <c r="F240" s="53">
        <f>_xll.BDP("PG US Equity","BEST_EPS","BEST_FPERIOD_OVERRIDE","25Y")</f>
        <v/>
      </c>
    </row>
    <row r="241">
      <c r="A241" t="inlineStr">
        <is>
          <t>PG</t>
        </is>
      </c>
      <c r="B241" t="inlineStr">
        <is>
          <t>PG US Equity</t>
        </is>
      </c>
      <c r="C241" t="inlineStr">
        <is>
          <t>BEST_SALES</t>
        </is>
      </c>
      <c r="D241" t="inlineStr">
        <is>
          <t>25Y</t>
        </is>
      </c>
      <c r="E241" t="inlineStr">
        <is>
          <t>Revenue estimate FY2025</t>
        </is>
      </c>
      <c r="F241" s="53">
        <f>_xll.BDP("PG US Equity","BEST_SALES","BEST_FPERIOD_OVERRIDE","25Y")</f>
        <v/>
      </c>
    </row>
    <row r="242">
      <c r="A242" t="inlineStr">
        <is>
          <t>PG</t>
        </is>
      </c>
      <c r="B242" t="inlineStr">
        <is>
          <t>PG US Equity</t>
        </is>
      </c>
      <c r="C242" t="inlineStr">
        <is>
          <t>BEST_EBIT</t>
        </is>
      </c>
      <c r="D242" t="inlineStr">
        <is>
          <t>25Y</t>
        </is>
      </c>
      <c r="E242" t="inlineStr">
        <is>
          <t>EBIT estimate FY2025</t>
        </is>
      </c>
      <c r="F242" s="53">
        <f>_xll.BDP("PG US Equity","BEST_EBIT","BEST_FPERIOD_OVERRIDE","25Y")</f>
        <v/>
      </c>
    </row>
    <row r="243">
      <c r="A243" t="inlineStr">
        <is>
          <t>PG</t>
        </is>
      </c>
      <c r="B243" t="inlineStr">
        <is>
          <t>PG US Equity</t>
        </is>
      </c>
      <c r="C243" t="inlineStr">
        <is>
          <t>BEST_EPS</t>
        </is>
      </c>
      <c r="D243" t="inlineStr">
        <is>
          <t>26Y</t>
        </is>
      </c>
      <c r="E243" t="inlineStr">
        <is>
          <t>EPS estimate FY2026</t>
        </is>
      </c>
      <c r="F243" s="53">
        <f>_xll.BDP("PG US Equity","BEST_EPS","BEST_FPERIOD_OVERRIDE","26Y")</f>
        <v/>
      </c>
    </row>
    <row r="244">
      <c r="A244" t="inlineStr">
        <is>
          <t>PG</t>
        </is>
      </c>
      <c r="B244" t="inlineStr">
        <is>
          <t>PG US Equity</t>
        </is>
      </c>
      <c r="C244" t="inlineStr">
        <is>
          <t>BEST_SALES</t>
        </is>
      </c>
      <c r="D244" t="inlineStr">
        <is>
          <t>26Y</t>
        </is>
      </c>
      <c r="E244" t="inlineStr">
        <is>
          <t>Revenue estimate FY2026</t>
        </is>
      </c>
      <c r="F244" s="53">
        <f>_xll.BDP("PG US Equity","BEST_SALES","BEST_FPERIOD_OVERRIDE","26Y")</f>
        <v/>
      </c>
    </row>
    <row r="245">
      <c r="A245" t="inlineStr">
        <is>
          <t>PG</t>
        </is>
      </c>
      <c r="B245" t="inlineStr">
        <is>
          <t>PG US Equity</t>
        </is>
      </c>
      <c r="C245" t="inlineStr">
        <is>
          <t>BEST_EBIT</t>
        </is>
      </c>
      <c r="D245" t="inlineStr">
        <is>
          <t>26Y</t>
        </is>
      </c>
      <c r="E245" t="inlineStr">
        <is>
          <t>EBIT estimate FY2026</t>
        </is>
      </c>
      <c r="F245" s="53">
        <f>_xll.BDP("PG US Equity","BEST_EBIT","BEST_FPERIOD_OVERRIDE","26Y")</f>
        <v/>
      </c>
    </row>
    <row r="246">
      <c r="A246" t="inlineStr">
        <is>
          <t>PG</t>
        </is>
      </c>
      <c r="B246" t="inlineStr">
        <is>
          <t>PG US Equity</t>
        </is>
      </c>
      <c r="C246" t="inlineStr">
        <is>
          <t>BEST_EPS</t>
        </is>
      </c>
      <c r="D246" t="inlineStr">
        <is>
          <t>27Y</t>
        </is>
      </c>
      <c r="E246" t="inlineStr">
        <is>
          <t>EPS estimate FY2027</t>
        </is>
      </c>
      <c r="F246" s="53">
        <f>_xll.BDP("PG US Equity","BEST_EPS","BEST_FPERIOD_OVERRIDE","27Y")</f>
        <v/>
      </c>
    </row>
    <row r="247">
      <c r="A247" t="inlineStr">
        <is>
          <t>PG</t>
        </is>
      </c>
      <c r="B247" t="inlineStr">
        <is>
          <t>PG US Equity</t>
        </is>
      </c>
      <c r="C247" t="inlineStr">
        <is>
          <t>BEST_SALES</t>
        </is>
      </c>
      <c r="D247" t="inlineStr">
        <is>
          <t>27Y</t>
        </is>
      </c>
      <c r="E247" t="inlineStr">
        <is>
          <t>Revenue estimate FY2027</t>
        </is>
      </c>
      <c r="F247" s="53">
        <f>_xll.BDP("PG US Equity","BEST_SALES","BEST_FPERIOD_OVERRIDE","27Y")</f>
        <v/>
      </c>
    </row>
    <row r="248">
      <c r="A248" t="inlineStr">
        <is>
          <t>PG</t>
        </is>
      </c>
      <c r="B248" t="inlineStr">
        <is>
          <t>PG US Equity</t>
        </is>
      </c>
      <c r="C248" t="inlineStr">
        <is>
          <t>BEST_EBIT</t>
        </is>
      </c>
      <c r="D248" t="inlineStr">
        <is>
          <t>27Y</t>
        </is>
      </c>
      <c r="E248" t="inlineStr">
        <is>
          <t>EBIT estimate FY2027</t>
        </is>
      </c>
      <c r="F248" s="53">
        <f>_xll.BDP("PG US Equity","BEST_EBIT","BEST_FPERIOD_OVERRIDE","27Y")</f>
        <v/>
      </c>
    </row>
    <row r="249">
      <c r="A249" t="inlineStr">
        <is>
          <t>PG</t>
        </is>
      </c>
      <c r="B249" t="inlineStr">
        <is>
          <t>PG US Equity</t>
        </is>
      </c>
      <c r="C249" t="inlineStr">
        <is>
          <t>BEST_EPS</t>
        </is>
      </c>
      <c r="D249" t="inlineStr">
        <is>
          <t>28Y</t>
        </is>
      </c>
      <c r="E249" t="inlineStr">
        <is>
          <t>EPS estimate FY2028</t>
        </is>
      </c>
      <c r="F249" s="53">
        <f>_xll.BDP("PG US Equity","BEST_EPS","BEST_FPERIOD_OVERRIDE","28Y")</f>
        <v/>
      </c>
    </row>
    <row r="250">
      <c r="A250" t="inlineStr">
        <is>
          <t>PG</t>
        </is>
      </c>
      <c r="B250" t="inlineStr">
        <is>
          <t>PG US Equity</t>
        </is>
      </c>
      <c r="C250" t="inlineStr">
        <is>
          <t>BEST_SALES</t>
        </is>
      </c>
      <c r="D250" t="inlineStr">
        <is>
          <t>28Y</t>
        </is>
      </c>
      <c r="E250" t="inlineStr">
        <is>
          <t>Revenue estimate FY2028</t>
        </is>
      </c>
      <c r="F250" s="53">
        <f>_xll.BDP("PG US Equity","BEST_SALES","BEST_FPERIOD_OVERRIDE","28Y")</f>
        <v/>
      </c>
    </row>
    <row r="251">
      <c r="A251" t="inlineStr">
        <is>
          <t>PG</t>
        </is>
      </c>
      <c r="B251" t="inlineStr">
        <is>
          <t>PG US Equity</t>
        </is>
      </c>
      <c r="C251" t="inlineStr">
        <is>
          <t>BEST_EBIT</t>
        </is>
      </c>
      <c r="D251" t="inlineStr">
        <is>
          <t>28Y</t>
        </is>
      </c>
      <c r="E251" t="inlineStr">
        <is>
          <t>EBIT estimate FY2028</t>
        </is>
      </c>
      <c r="F251" s="53">
        <f>_xll.BDP("PG US Equity","BEST_EBIT","BEST_FPERIOD_OVERRIDE","28Y")</f>
        <v/>
      </c>
    </row>
    <row r="252">
      <c r="A252" t="inlineStr">
        <is>
          <t>KO</t>
        </is>
      </c>
      <c r="B252" t="inlineStr">
        <is>
          <t>KO US Equity</t>
        </is>
      </c>
      <c r="C252" t="inlineStr">
        <is>
          <t>PX_LAST</t>
        </is>
      </c>
      <c r="E252" t="inlineStr">
        <is>
          <t>Last price</t>
        </is>
      </c>
      <c r="F252" s="53">
        <f>_xll.BDP("KO US Equity","PX_LAST")</f>
        <v/>
      </c>
    </row>
    <row r="253">
      <c r="A253" t="inlineStr">
        <is>
          <t>KO</t>
        </is>
      </c>
      <c r="B253" t="inlineStr">
        <is>
          <t>KO US Equity</t>
        </is>
      </c>
      <c r="C253" t="inlineStr">
        <is>
          <t>CUR_MKT_CAP</t>
        </is>
      </c>
      <c r="E253" t="inlineStr">
        <is>
          <t>Market cap (raw)</t>
        </is>
      </c>
      <c r="F253" s="53">
        <f>_xll.BDP("KO US Equity","CUR_MKT_CAP")</f>
        <v/>
      </c>
    </row>
    <row r="254">
      <c r="A254" t="inlineStr">
        <is>
          <t>KO</t>
        </is>
      </c>
      <c r="B254" t="inlineStr">
        <is>
          <t>KO US Equity</t>
        </is>
      </c>
      <c r="C254" t="inlineStr">
        <is>
          <t>CHG_PCT_YTD</t>
        </is>
      </c>
      <c r="E254" t="inlineStr">
        <is>
          <t>YTD price change %</t>
        </is>
      </c>
      <c r="F254" s="53">
        <f>_xll.BDP("KO US Equity","CHG_PCT_YTD")</f>
        <v/>
      </c>
    </row>
    <row r="255">
      <c r="A255" t="inlineStr">
        <is>
          <t>KO</t>
        </is>
      </c>
      <c r="B255" t="inlineStr">
        <is>
          <t>KO US Equity</t>
        </is>
      </c>
      <c r="C255" t="inlineStr">
        <is>
          <t>NET_DEBT_TO_EBITDA</t>
        </is>
      </c>
      <c r="E255" t="inlineStr">
        <is>
          <t>Net debt / EBITDA</t>
        </is>
      </c>
      <c r="F255" s="53">
        <f>_xll.BDP("KO US Equity","NET_DEBT_TO_EBITDA")</f>
        <v/>
      </c>
    </row>
    <row r="256">
      <c r="A256" t="inlineStr">
        <is>
          <t>KO</t>
        </is>
      </c>
      <c r="B256" t="inlineStr">
        <is>
          <t>KO US Equity</t>
        </is>
      </c>
      <c r="C256" t="inlineStr">
        <is>
          <t>RETURN_ON_INV_CAPITAL</t>
        </is>
      </c>
      <c r="E256" t="inlineStr">
        <is>
          <t>ROIC (LTM)</t>
        </is>
      </c>
      <c r="F256" s="53">
        <f>_xll.BDP("KO US Equity","RETURN_ON_INV_CAPITAL")</f>
        <v/>
      </c>
    </row>
    <row r="257">
      <c r="A257" t="inlineStr">
        <is>
          <t>KO</t>
        </is>
      </c>
      <c r="B257" t="inlineStr">
        <is>
          <t>KO US Equity</t>
        </is>
      </c>
      <c r="C257" t="inlineStr">
        <is>
          <t>TRAIL_12M_OPER_INC</t>
        </is>
      </c>
      <c r="E257" t="inlineStr">
        <is>
          <t>LTM operating income</t>
        </is>
      </c>
      <c r="F257" s="53">
        <f>_xll.BDP("KO US Equity","TRAIL_12M_OPER_INC")</f>
        <v/>
      </c>
    </row>
    <row r="258">
      <c r="A258" t="inlineStr">
        <is>
          <t>KO</t>
        </is>
      </c>
      <c r="B258" t="inlineStr">
        <is>
          <t>KO US Equity</t>
        </is>
      </c>
      <c r="C258" t="inlineStr">
        <is>
          <t>TRAIL_12M_EBITDA</t>
        </is>
      </c>
      <c r="E258" t="inlineStr">
        <is>
          <t>LTM EBITDA</t>
        </is>
      </c>
      <c r="F258" s="53">
        <f>_xll.BDP("KO US Equity","TRAIL_12M_EBITDA")</f>
        <v/>
      </c>
    </row>
    <row r="259">
      <c r="A259" t="inlineStr">
        <is>
          <t>KO</t>
        </is>
      </c>
      <c r="B259" t="inlineStr">
        <is>
          <t>KO US Equity</t>
        </is>
      </c>
      <c r="C259" t="inlineStr">
        <is>
          <t>SHORT_AND_LONG_TERM_DEBT</t>
        </is>
      </c>
      <c r="E259" t="inlineStr">
        <is>
          <t>Total debt</t>
        </is>
      </c>
      <c r="F259" s="53">
        <f>_xll.BDP("KO US Equity","SHORT_AND_LONG_TERM_DEBT")</f>
        <v/>
      </c>
    </row>
    <row r="260">
      <c r="A260" t="inlineStr">
        <is>
          <t>KO</t>
        </is>
      </c>
      <c r="B260" t="inlineStr">
        <is>
          <t>KO US Equity</t>
        </is>
      </c>
      <c r="C260" t="inlineStr">
        <is>
          <t>TOTAL_EQUITY</t>
        </is>
      </c>
      <c r="E260" t="inlineStr">
        <is>
          <t>Total equity</t>
        </is>
      </c>
      <c r="F260" s="53">
        <f>_xll.BDP("KO US Equity","TOTAL_EQUITY")</f>
        <v/>
      </c>
    </row>
    <row r="261">
      <c r="A261" t="inlineStr">
        <is>
          <t>KO</t>
        </is>
      </c>
      <c r="B261" t="inlineStr">
        <is>
          <t>KO US Equity</t>
        </is>
      </c>
      <c r="C261" t="inlineStr">
        <is>
          <t>BS_CASH_NEAR_CASH_ITEM</t>
        </is>
      </c>
      <c r="E261" t="inlineStr">
        <is>
          <t>Cash &amp; equivalents</t>
        </is>
      </c>
      <c r="F261" s="53">
        <f>_xll.BDP("KO US Equity","BS_CASH_NEAR_CASH_ITEM")</f>
        <v/>
      </c>
    </row>
    <row r="262">
      <c r="A262" t="inlineStr">
        <is>
          <t>KO</t>
        </is>
      </c>
      <c r="B262" t="inlineStr">
        <is>
          <t>KO US Equity</t>
        </is>
      </c>
      <c r="C262" t="inlineStr">
        <is>
          <t>BEST_EPS</t>
        </is>
      </c>
      <c r="D262" t="inlineStr">
        <is>
          <t>24Y</t>
        </is>
      </c>
      <c r="E262" t="inlineStr">
        <is>
          <t>EPS estimate FY2024</t>
        </is>
      </c>
      <c r="F262" s="53">
        <f>_xll.BDP("KO US Equity","BEST_EPS","BEST_FPERIOD_OVERRIDE","24Y")</f>
        <v/>
      </c>
    </row>
    <row r="263">
      <c r="A263" t="inlineStr">
        <is>
          <t>KO</t>
        </is>
      </c>
      <c r="B263" t="inlineStr">
        <is>
          <t>KO US Equity</t>
        </is>
      </c>
      <c r="C263" t="inlineStr">
        <is>
          <t>BEST_SALES</t>
        </is>
      </c>
      <c r="D263" t="inlineStr">
        <is>
          <t>24Y</t>
        </is>
      </c>
      <c r="E263" t="inlineStr">
        <is>
          <t>Revenue estimate FY2024</t>
        </is>
      </c>
      <c r="F263" s="53">
        <f>_xll.BDP("KO US Equity","BEST_SALES","BEST_FPERIOD_OVERRIDE","24Y")</f>
        <v/>
      </c>
    </row>
    <row r="264">
      <c r="A264" t="inlineStr">
        <is>
          <t>KO</t>
        </is>
      </c>
      <c r="B264" t="inlineStr">
        <is>
          <t>KO US Equity</t>
        </is>
      </c>
      <c r="C264" t="inlineStr">
        <is>
          <t>BEST_EBIT</t>
        </is>
      </c>
      <c r="D264" t="inlineStr">
        <is>
          <t>24Y</t>
        </is>
      </c>
      <c r="E264" t="inlineStr">
        <is>
          <t>EBIT estimate FY2024</t>
        </is>
      </c>
      <c r="F264" s="53">
        <f>_xll.BDP("KO US Equity","BEST_EBIT","BEST_FPERIOD_OVERRIDE","24Y")</f>
        <v/>
      </c>
    </row>
    <row r="265">
      <c r="A265" t="inlineStr">
        <is>
          <t>KO</t>
        </is>
      </c>
      <c r="B265" t="inlineStr">
        <is>
          <t>KO US Equity</t>
        </is>
      </c>
      <c r="C265" t="inlineStr">
        <is>
          <t>BEST_EPS</t>
        </is>
      </c>
      <c r="D265" t="inlineStr">
        <is>
          <t>25Y</t>
        </is>
      </c>
      <c r="E265" t="inlineStr">
        <is>
          <t>EPS estimate FY2025</t>
        </is>
      </c>
      <c r="F265" s="53">
        <f>_xll.BDP("KO US Equity","BEST_EPS","BEST_FPERIOD_OVERRIDE","25Y")</f>
        <v/>
      </c>
    </row>
    <row r="266">
      <c r="A266" t="inlineStr">
        <is>
          <t>KO</t>
        </is>
      </c>
      <c r="B266" t="inlineStr">
        <is>
          <t>KO US Equity</t>
        </is>
      </c>
      <c r="C266" t="inlineStr">
        <is>
          <t>BEST_SALES</t>
        </is>
      </c>
      <c r="D266" t="inlineStr">
        <is>
          <t>25Y</t>
        </is>
      </c>
      <c r="E266" t="inlineStr">
        <is>
          <t>Revenue estimate FY2025</t>
        </is>
      </c>
      <c r="F266" s="53">
        <f>_xll.BDP("KO US Equity","BEST_SALES","BEST_FPERIOD_OVERRIDE","25Y")</f>
        <v/>
      </c>
    </row>
    <row r="267">
      <c r="A267" t="inlineStr">
        <is>
          <t>KO</t>
        </is>
      </c>
      <c r="B267" t="inlineStr">
        <is>
          <t>KO US Equity</t>
        </is>
      </c>
      <c r="C267" t="inlineStr">
        <is>
          <t>BEST_EBIT</t>
        </is>
      </c>
      <c r="D267" t="inlineStr">
        <is>
          <t>25Y</t>
        </is>
      </c>
      <c r="E267" t="inlineStr">
        <is>
          <t>EBIT estimate FY2025</t>
        </is>
      </c>
      <c r="F267" s="53">
        <f>_xll.BDP("KO US Equity","BEST_EBIT","BEST_FPERIOD_OVERRIDE","25Y")</f>
        <v/>
      </c>
    </row>
    <row r="268">
      <c r="A268" t="inlineStr">
        <is>
          <t>KO</t>
        </is>
      </c>
      <c r="B268" t="inlineStr">
        <is>
          <t>KO US Equity</t>
        </is>
      </c>
      <c r="C268" t="inlineStr">
        <is>
          <t>BEST_EPS</t>
        </is>
      </c>
      <c r="D268" t="inlineStr">
        <is>
          <t>26Y</t>
        </is>
      </c>
      <c r="E268" t="inlineStr">
        <is>
          <t>EPS estimate FY2026</t>
        </is>
      </c>
      <c r="F268" s="53">
        <f>_xll.BDP("KO US Equity","BEST_EPS","BEST_FPERIOD_OVERRIDE","26Y")</f>
        <v/>
      </c>
    </row>
    <row r="269">
      <c r="A269" t="inlineStr">
        <is>
          <t>KO</t>
        </is>
      </c>
      <c r="B269" t="inlineStr">
        <is>
          <t>KO US Equity</t>
        </is>
      </c>
      <c r="C269" t="inlineStr">
        <is>
          <t>BEST_SALES</t>
        </is>
      </c>
      <c r="D269" t="inlineStr">
        <is>
          <t>26Y</t>
        </is>
      </c>
      <c r="E269" t="inlineStr">
        <is>
          <t>Revenue estimate FY2026</t>
        </is>
      </c>
      <c r="F269" s="53">
        <f>_xll.BDP("KO US Equity","BEST_SALES","BEST_FPERIOD_OVERRIDE","26Y")</f>
        <v/>
      </c>
    </row>
    <row r="270">
      <c r="A270" t="inlineStr">
        <is>
          <t>KO</t>
        </is>
      </c>
      <c r="B270" t="inlineStr">
        <is>
          <t>KO US Equity</t>
        </is>
      </c>
      <c r="C270" t="inlineStr">
        <is>
          <t>BEST_EBIT</t>
        </is>
      </c>
      <c r="D270" t="inlineStr">
        <is>
          <t>26Y</t>
        </is>
      </c>
      <c r="E270" t="inlineStr">
        <is>
          <t>EBIT estimate FY2026</t>
        </is>
      </c>
      <c r="F270" s="53">
        <f>_xll.BDP("KO US Equity","BEST_EBIT","BEST_FPERIOD_OVERRIDE","26Y")</f>
        <v/>
      </c>
    </row>
    <row r="271">
      <c r="A271" t="inlineStr">
        <is>
          <t>KO</t>
        </is>
      </c>
      <c r="B271" t="inlineStr">
        <is>
          <t>KO US Equity</t>
        </is>
      </c>
      <c r="C271" t="inlineStr">
        <is>
          <t>BEST_EPS</t>
        </is>
      </c>
      <c r="D271" t="inlineStr">
        <is>
          <t>27Y</t>
        </is>
      </c>
      <c r="E271" t="inlineStr">
        <is>
          <t>EPS estimate FY2027</t>
        </is>
      </c>
      <c r="F271" s="53">
        <f>_xll.BDP("KO US Equity","BEST_EPS","BEST_FPERIOD_OVERRIDE","27Y")</f>
        <v/>
      </c>
    </row>
    <row r="272">
      <c r="A272" t="inlineStr">
        <is>
          <t>KO</t>
        </is>
      </c>
      <c r="B272" t="inlineStr">
        <is>
          <t>KO US Equity</t>
        </is>
      </c>
      <c r="C272" t="inlineStr">
        <is>
          <t>BEST_SALES</t>
        </is>
      </c>
      <c r="D272" t="inlineStr">
        <is>
          <t>27Y</t>
        </is>
      </c>
      <c r="E272" t="inlineStr">
        <is>
          <t>Revenue estimate FY2027</t>
        </is>
      </c>
      <c r="F272" s="53">
        <f>_xll.BDP("KO US Equity","BEST_SALES","BEST_FPERIOD_OVERRIDE","27Y")</f>
        <v/>
      </c>
    </row>
    <row r="273">
      <c r="A273" t="inlineStr">
        <is>
          <t>KO</t>
        </is>
      </c>
      <c r="B273" t="inlineStr">
        <is>
          <t>KO US Equity</t>
        </is>
      </c>
      <c r="C273" t="inlineStr">
        <is>
          <t>BEST_EBIT</t>
        </is>
      </c>
      <c r="D273" t="inlineStr">
        <is>
          <t>27Y</t>
        </is>
      </c>
      <c r="E273" t="inlineStr">
        <is>
          <t>EBIT estimate FY2027</t>
        </is>
      </c>
      <c r="F273" s="53">
        <f>_xll.BDP("KO US Equity","BEST_EBIT","BEST_FPERIOD_OVERRIDE","27Y")</f>
        <v/>
      </c>
    </row>
    <row r="274">
      <c r="A274" t="inlineStr">
        <is>
          <t>KO</t>
        </is>
      </c>
      <c r="B274" t="inlineStr">
        <is>
          <t>KO US Equity</t>
        </is>
      </c>
      <c r="C274" t="inlineStr">
        <is>
          <t>BEST_EPS</t>
        </is>
      </c>
      <c r="D274" t="inlineStr">
        <is>
          <t>28Y</t>
        </is>
      </c>
      <c r="E274" t="inlineStr">
        <is>
          <t>EPS estimate FY2028</t>
        </is>
      </c>
      <c r="F274" s="53">
        <f>_xll.BDP("KO US Equity","BEST_EPS","BEST_FPERIOD_OVERRIDE","28Y")</f>
        <v/>
      </c>
    </row>
    <row r="275">
      <c r="A275" t="inlineStr">
        <is>
          <t>KO</t>
        </is>
      </c>
      <c r="B275" t="inlineStr">
        <is>
          <t>KO US Equity</t>
        </is>
      </c>
      <c r="C275" t="inlineStr">
        <is>
          <t>BEST_SALES</t>
        </is>
      </c>
      <c r="D275" t="inlineStr">
        <is>
          <t>28Y</t>
        </is>
      </c>
      <c r="E275" t="inlineStr">
        <is>
          <t>Revenue estimate FY2028</t>
        </is>
      </c>
      <c r="F275" s="53">
        <f>_xll.BDP("KO US Equity","BEST_SALES","BEST_FPERIOD_OVERRIDE","28Y")</f>
        <v/>
      </c>
    </row>
    <row r="276">
      <c r="A276" t="inlineStr">
        <is>
          <t>KO</t>
        </is>
      </c>
      <c r="B276" t="inlineStr">
        <is>
          <t>KO US Equity</t>
        </is>
      </c>
      <c r="C276" t="inlineStr">
        <is>
          <t>BEST_EBIT</t>
        </is>
      </c>
      <c r="D276" t="inlineStr">
        <is>
          <t>28Y</t>
        </is>
      </c>
      <c r="E276" t="inlineStr">
        <is>
          <t>EBIT estimate FY2028</t>
        </is>
      </c>
      <c r="F276" s="53">
        <f>_xll.BDP("KO US Equity","BEST_EBIT","BEST_FPERIOD_OVERRIDE","28Y")</f>
        <v/>
      </c>
    </row>
    <row r="277">
      <c r="A277" t="inlineStr">
        <is>
          <t>CHD</t>
        </is>
      </c>
      <c r="B277" t="inlineStr">
        <is>
          <t>CHD US Equity</t>
        </is>
      </c>
      <c r="C277" t="inlineStr">
        <is>
          <t>PX_LAST</t>
        </is>
      </c>
      <c r="E277" t="inlineStr">
        <is>
          <t>Last price</t>
        </is>
      </c>
      <c r="F277" s="53">
        <f>_xll.BDP("CHD US Equity","PX_LAST")</f>
        <v/>
      </c>
    </row>
    <row r="278">
      <c r="A278" t="inlineStr">
        <is>
          <t>CHD</t>
        </is>
      </c>
      <c r="B278" t="inlineStr">
        <is>
          <t>CHD US Equity</t>
        </is>
      </c>
      <c r="C278" t="inlineStr">
        <is>
          <t>CUR_MKT_CAP</t>
        </is>
      </c>
      <c r="E278" t="inlineStr">
        <is>
          <t>Market cap (raw)</t>
        </is>
      </c>
      <c r="F278" s="53">
        <f>_xll.BDP("CHD US Equity","CUR_MKT_CAP")</f>
        <v/>
      </c>
    </row>
    <row r="279">
      <c r="A279" t="inlineStr">
        <is>
          <t>CHD</t>
        </is>
      </c>
      <c r="B279" t="inlineStr">
        <is>
          <t>CHD US Equity</t>
        </is>
      </c>
      <c r="C279" t="inlineStr">
        <is>
          <t>CHG_PCT_YTD</t>
        </is>
      </c>
      <c r="E279" t="inlineStr">
        <is>
          <t>YTD price change %</t>
        </is>
      </c>
      <c r="F279" s="53">
        <f>_xll.BDP("CHD US Equity","CHG_PCT_YTD")</f>
        <v/>
      </c>
    </row>
    <row r="280">
      <c r="A280" t="inlineStr">
        <is>
          <t>CHD</t>
        </is>
      </c>
      <c r="B280" t="inlineStr">
        <is>
          <t>CHD US Equity</t>
        </is>
      </c>
      <c r="C280" t="inlineStr">
        <is>
          <t>NET_DEBT_TO_EBITDA</t>
        </is>
      </c>
      <c r="E280" t="inlineStr">
        <is>
          <t>Net debt / EBITDA</t>
        </is>
      </c>
      <c r="F280" s="53">
        <f>_xll.BDP("CHD US Equity","NET_DEBT_TO_EBITDA")</f>
        <v/>
      </c>
    </row>
    <row r="281">
      <c r="A281" t="inlineStr">
        <is>
          <t>CHD</t>
        </is>
      </c>
      <c r="B281" t="inlineStr">
        <is>
          <t>CHD US Equity</t>
        </is>
      </c>
      <c r="C281" t="inlineStr">
        <is>
          <t>RETURN_ON_INV_CAPITAL</t>
        </is>
      </c>
      <c r="E281" t="inlineStr">
        <is>
          <t>ROIC (LTM)</t>
        </is>
      </c>
      <c r="F281" s="53">
        <f>_xll.BDP("CHD US Equity","RETURN_ON_INV_CAPITAL")</f>
        <v/>
      </c>
    </row>
    <row r="282">
      <c r="A282" t="inlineStr">
        <is>
          <t>CHD</t>
        </is>
      </c>
      <c r="B282" t="inlineStr">
        <is>
          <t>CHD US Equity</t>
        </is>
      </c>
      <c r="C282" t="inlineStr">
        <is>
          <t>TRAIL_12M_OPER_INC</t>
        </is>
      </c>
      <c r="E282" t="inlineStr">
        <is>
          <t>LTM operating income</t>
        </is>
      </c>
      <c r="F282" s="53">
        <f>_xll.BDP("CHD US Equity","TRAIL_12M_OPER_INC")</f>
        <v/>
      </c>
    </row>
    <row r="283">
      <c r="A283" t="inlineStr">
        <is>
          <t>CHD</t>
        </is>
      </c>
      <c r="B283" t="inlineStr">
        <is>
          <t>CHD US Equity</t>
        </is>
      </c>
      <c r="C283" t="inlineStr">
        <is>
          <t>TRAIL_12M_EBITDA</t>
        </is>
      </c>
      <c r="E283" t="inlineStr">
        <is>
          <t>LTM EBITDA</t>
        </is>
      </c>
      <c r="F283" s="53">
        <f>_xll.BDP("CHD US Equity","TRAIL_12M_EBITDA")</f>
        <v/>
      </c>
    </row>
    <row r="284">
      <c r="A284" t="inlineStr">
        <is>
          <t>CHD</t>
        </is>
      </c>
      <c r="B284" t="inlineStr">
        <is>
          <t>CHD US Equity</t>
        </is>
      </c>
      <c r="C284" t="inlineStr">
        <is>
          <t>SHORT_AND_LONG_TERM_DEBT</t>
        </is>
      </c>
      <c r="E284" t="inlineStr">
        <is>
          <t>Total debt</t>
        </is>
      </c>
      <c r="F284" s="53">
        <f>_xll.BDP("CHD US Equity","SHORT_AND_LONG_TERM_DEBT")</f>
        <v/>
      </c>
    </row>
    <row r="285">
      <c r="A285" t="inlineStr">
        <is>
          <t>CHD</t>
        </is>
      </c>
      <c r="B285" t="inlineStr">
        <is>
          <t>CHD US Equity</t>
        </is>
      </c>
      <c r="C285" t="inlineStr">
        <is>
          <t>TOTAL_EQUITY</t>
        </is>
      </c>
      <c r="E285" t="inlineStr">
        <is>
          <t>Total equity</t>
        </is>
      </c>
      <c r="F285" s="53">
        <f>_xll.BDP("CHD US Equity","TOTAL_EQUITY")</f>
        <v/>
      </c>
    </row>
    <row r="286">
      <c r="A286" t="inlineStr">
        <is>
          <t>CHD</t>
        </is>
      </c>
      <c r="B286" t="inlineStr">
        <is>
          <t>CHD US Equity</t>
        </is>
      </c>
      <c r="C286" t="inlineStr">
        <is>
          <t>BS_CASH_NEAR_CASH_ITEM</t>
        </is>
      </c>
      <c r="E286" t="inlineStr">
        <is>
          <t>Cash &amp; equivalents</t>
        </is>
      </c>
      <c r="F286" s="53">
        <f>_xll.BDP("CHD US Equity","BS_CASH_NEAR_CASH_ITEM")</f>
        <v/>
      </c>
    </row>
    <row r="287">
      <c r="A287" t="inlineStr">
        <is>
          <t>CHD</t>
        </is>
      </c>
      <c r="B287" t="inlineStr">
        <is>
          <t>CHD US Equity</t>
        </is>
      </c>
      <c r="C287" t="inlineStr">
        <is>
          <t>BEST_EPS</t>
        </is>
      </c>
      <c r="D287" t="inlineStr">
        <is>
          <t>24Y</t>
        </is>
      </c>
      <c r="E287" t="inlineStr">
        <is>
          <t>EPS estimate FY2024</t>
        </is>
      </c>
      <c r="F287" s="53">
        <f>_xll.BDP("CHD US Equity","BEST_EPS","BEST_FPERIOD_OVERRIDE","24Y")</f>
        <v/>
      </c>
    </row>
    <row r="288">
      <c r="A288" t="inlineStr">
        <is>
          <t>CHD</t>
        </is>
      </c>
      <c r="B288" t="inlineStr">
        <is>
          <t>CHD US Equity</t>
        </is>
      </c>
      <c r="C288" t="inlineStr">
        <is>
          <t>BEST_SALES</t>
        </is>
      </c>
      <c r="D288" t="inlineStr">
        <is>
          <t>24Y</t>
        </is>
      </c>
      <c r="E288" t="inlineStr">
        <is>
          <t>Revenue estimate FY2024</t>
        </is>
      </c>
      <c r="F288" s="53">
        <f>_xll.BDP("CHD US Equity","BEST_SALES","BEST_FPERIOD_OVERRIDE","24Y")</f>
        <v/>
      </c>
    </row>
    <row r="289">
      <c r="A289" t="inlineStr">
        <is>
          <t>CHD</t>
        </is>
      </c>
      <c r="B289" t="inlineStr">
        <is>
          <t>CHD US Equity</t>
        </is>
      </c>
      <c r="C289" t="inlineStr">
        <is>
          <t>BEST_EBIT</t>
        </is>
      </c>
      <c r="D289" t="inlineStr">
        <is>
          <t>24Y</t>
        </is>
      </c>
      <c r="E289" t="inlineStr">
        <is>
          <t>EBIT estimate FY2024</t>
        </is>
      </c>
      <c r="F289" s="53">
        <f>_xll.BDP("CHD US Equity","BEST_EBIT","BEST_FPERIOD_OVERRIDE","24Y")</f>
        <v/>
      </c>
    </row>
    <row r="290">
      <c r="A290" t="inlineStr">
        <is>
          <t>CHD</t>
        </is>
      </c>
      <c r="B290" t="inlineStr">
        <is>
          <t>CHD US Equity</t>
        </is>
      </c>
      <c r="C290" t="inlineStr">
        <is>
          <t>BEST_EPS</t>
        </is>
      </c>
      <c r="D290" t="inlineStr">
        <is>
          <t>25Y</t>
        </is>
      </c>
      <c r="E290" t="inlineStr">
        <is>
          <t>EPS estimate FY2025</t>
        </is>
      </c>
      <c r="F290" s="53">
        <f>_xll.BDP("CHD US Equity","BEST_EPS","BEST_FPERIOD_OVERRIDE","25Y")</f>
        <v/>
      </c>
    </row>
    <row r="291">
      <c r="A291" t="inlineStr">
        <is>
          <t>CHD</t>
        </is>
      </c>
      <c r="B291" t="inlineStr">
        <is>
          <t>CHD US Equity</t>
        </is>
      </c>
      <c r="C291" t="inlineStr">
        <is>
          <t>BEST_SALES</t>
        </is>
      </c>
      <c r="D291" t="inlineStr">
        <is>
          <t>25Y</t>
        </is>
      </c>
      <c r="E291" t="inlineStr">
        <is>
          <t>Revenue estimate FY2025</t>
        </is>
      </c>
      <c r="F291" s="53">
        <f>_xll.BDP("CHD US Equity","BEST_SALES","BEST_FPERIOD_OVERRIDE","25Y")</f>
        <v/>
      </c>
    </row>
    <row r="292">
      <c r="A292" t="inlineStr">
        <is>
          <t>CHD</t>
        </is>
      </c>
      <c r="B292" t="inlineStr">
        <is>
          <t>CHD US Equity</t>
        </is>
      </c>
      <c r="C292" t="inlineStr">
        <is>
          <t>BEST_EBIT</t>
        </is>
      </c>
      <c r="D292" t="inlineStr">
        <is>
          <t>25Y</t>
        </is>
      </c>
      <c r="E292" t="inlineStr">
        <is>
          <t>EBIT estimate FY2025</t>
        </is>
      </c>
      <c r="F292" s="53">
        <f>_xll.BDP("CHD US Equity","BEST_EBIT","BEST_FPERIOD_OVERRIDE","25Y")</f>
        <v/>
      </c>
    </row>
    <row r="293">
      <c r="A293" t="inlineStr">
        <is>
          <t>CHD</t>
        </is>
      </c>
      <c r="B293" t="inlineStr">
        <is>
          <t>CHD US Equity</t>
        </is>
      </c>
      <c r="C293" t="inlineStr">
        <is>
          <t>BEST_EPS</t>
        </is>
      </c>
      <c r="D293" t="inlineStr">
        <is>
          <t>26Y</t>
        </is>
      </c>
      <c r="E293" t="inlineStr">
        <is>
          <t>EPS estimate FY2026</t>
        </is>
      </c>
      <c r="F293" s="53">
        <f>_xll.BDP("CHD US Equity","BEST_EPS","BEST_FPERIOD_OVERRIDE","26Y")</f>
        <v/>
      </c>
    </row>
    <row r="294">
      <c r="A294" t="inlineStr">
        <is>
          <t>CHD</t>
        </is>
      </c>
      <c r="B294" t="inlineStr">
        <is>
          <t>CHD US Equity</t>
        </is>
      </c>
      <c r="C294" t="inlineStr">
        <is>
          <t>BEST_SALES</t>
        </is>
      </c>
      <c r="D294" t="inlineStr">
        <is>
          <t>26Y</t>
        </is>
      </c>
      <c r="E294" t="inlineStr">
        <is>
          <t>Revenue estimate FY2026</t>
        </is>
      </c>
      <c r="F294" s="53">
        <f>_xll.BDP("CHD US Equity","BEST_SALES","BEST_FPERIOD_OVERRIDE","26Y")</f>
        <v/>
      </c>
    </row>
    <row r="295">
      <c r="A295" t="inlineStr">
        <is>
          <t>CHD</t>
        </is>
      </c>
      <c r="B295" t="inlineStr">
        <is>
          <t>CHD US Equity</t>
        </is>
      </c>
      <c r="C295" t="inlineStr">
        <is>
          <t>BEST_EBIT</t>
        </is>
      </c>
      <c r="D295" t="inlineStr">
        <is>
          <t>26Y</t>
        </is>
      </c>
      <c r="E295" t="inlineStr">
        <is>
          <t>EBIT estimate FY2026</t>
        </is>
      </c>
      <c r="F295" s="53">
        <f>_xll.BDP("CHD US Equity","BEST_EBIT","BEST_FPERIOD_OVERRIDE","26Y")</f>
        <v/>
      </c>
    </row>
    <row r="296">
      <c r="A296" t="inlineStr">
        <is>
          <t>CHD</t>
        </is>
      </c>
      <c r="B296" t="inlineStr">
        <is>
          <t>CHD US Equity</t>
        </is>
      </c>
      <c r="C296" t="inlineStr">
        <is>
          <t>BEST_EPS</t>
        </is>
      </c>
      <c r="D296" t="inlineStr">
        <is>
          <t>27Y</t>
        </is>
      </c>
      <c r="E296" t="inlineStr">
        <is>
          <t>EPS estimate FY2027</t>
        </is>
      </c>
      <c r="F296" s="53">
        <f>_xll.BDP("CHD US Equity","BEST_EPS","BEST_FPERIOD_OVERRIDE","27Y")</f>
        <v/>
      </c>
    </row>
    <row r="297">
      <c r="A297" t="inlineStr">
        <is>
          <t>CHD</t>
        </is>
      </c>
      <c r="B297" t="inlineStr">
        <is>
          <t>CHD US Equity</t>
        </is>
      </c>
      <c r="C297" t="inlineStr">
        <is>
          <t>BEST_SALES</t>
        </is>
      </c>
      <c r="D297" t="inlineStr">
        <is>
          <t>27Y</t>
        </is>
      </c>
      <c r="E297" t="inlineStr">
        <is>
          <t>Revenue estimate FY2027</t>
        </is>
      </c>
      <c r="F297" s="53">
        <f>_xll.BDP("CHD US Equity","BEST_SALES","BEST_FPERIOD_OVERRIDE","27Y")</f>
        <v/>
      </c>
    </row>
    <row r="298">
      <c r="A298" t="inlineStr">
        <is>
          <t>CHD</t>
        </is>
      </c>
      <c r="B298" t="inlineStr">
        <is>
          <t>CHD US Equity</t>
        </is>
      </c>
      <c r="C298" t="inlineStr">
        <is>
          <t>BEST_EBIT</t>
        </is>
      </c>
      <c r="D298" t="inlineStr">
        <is>
          <t>27Y</t>
        </is>
      </c>
      <c r="E298" t="inlineStr">
        <is>
          <t>EBIT estimate FY2027</t>
        </is>
      </c>
      <c r="F298" s="53">
        <f>_xll.BDP("CHD US Equity","BEST_EBIT","BEST_FPERIOD_OVERRIDE","27Y")</f>
        <v/>
      </c>
    </row>
    <row r="299">
      <c r="A299" t="inlineStr">
        <is>
          <t>CHD</t>
        </is>
      </c>
      <c r="B299" t="inlineStr">
        <is>
          <t>CHD US Equity</t>
        </is>
      </c>
      <c r="C299" t="inlineStr">
        <is>
          <t>BEST_EPS</t>
        </is>
      </c>
      <c r="D299" t="inlineStr">
        <is>
          <t>28Y</t>
        </is>
      </c>
      <c r="E299" t="inlineStr">
        <is>
          <t>EPS estimate FY2028</t>
        </is>
      </c>
      <c r="F299" s="53">
        <f>_xll.BDP("CHD US Equity","BEST_EPS","BEST_FPERIOD_OVERRIDE","28Y")</f>
        <v/>
      </c>
    </row>
    <row r="300">
      <c r="A300" t="inlineStr">
        <is>
          <t>CHD</t>
        </is>
      </c>
      <c r="B300" t="inlineStr">
        <is>
          <t>CHD US Equity</t>
        </is>
      </c>
      <c r="C300" t="inlineStr">
        <is>
          <t>BEST_SALES</t>
        </is>
      </c>
      <c r="D300" t="inlineStr">
        <is>
          <t>28Y</t>
        </is>
      </c>
      <c r="E300" t="inlineStr">
        <is>
          <t>Revenue estimate FY2028</t>
        </is>
      </c>
      <c r="F300" s="53">
        <f>_xll.BDP("CHD US Equity","BEST_SALES","BEST_FPERIOD_OVERRIDE","28Y")</f>
        <v/>
      </c>
    </row>
    <row r="301">
      <c r="A301" t="inlineStr">
        <is>
          <t>CHD</t>
        </is>
      </c>
      <c r="B301" t="inlineStr">
        <is>
          <t>CHD US Equity</t>
        </is>
      </c>
      <c r="C301" t="inlineStr">
        <is>
          <t>BEST_EBIT</t>
        </is>
      </c>
      <c r="D301" t="inlineStr">
        <is>
          <t>28Y</t>
        </is>
      </c>
      <c r="E301" t="inlineStr">
        <is>
          <t>EBIT estimate FY2028</t>
        </is>
      </c>
      <c r="F301" s="53">
        <f>_xll.BDP("CHD US Equity","BEST_EBIT","BEST_FPERIOD_OVERRIDE","28Y")</f>
        <v/>
      </c>
    </row>
    <row r="302">
      <c r="A302" t="inlineStr">
        <is>
          <t>CL</t>
        </is>
      </c>
      <c r="B302" t="inlineStr">
        <is>
          <t>CL US Equity</t>
        </is>
      </c>
      <c r="C302" t="inlineStr">
        <is>
          <t>PX_LAST</t>
        </is>
      </c>
      <c r="E302" t="inlineStr">
        <is>
          <t>Last price</t>
        </is>
      </c>
      <c r="F302" s="53">
        <f>_xll.BDP("CL US Equity","PX_LAST")</f>
        <v/>
      </c>
    </row>
    <row r="303">
      <c r="A303" t="inlineStr">
        <is>
          <t>CL</t>
        </is>
      </c>
      <c r="B303" t="inlineStr">
        <is>
          <t>CL US Equity</t>
        </is>
      </c>
      <c r="C303" t="inlineStr">
        <is>
          <t>CUR_MKT_CAP</t>
        </is>
      </c>
      <c r="E303" t="inlineStr">
        <is>
          <t>Market cap (raw)</t>
        </is>
      </c>
      <c r="F303" s="53">
        <f>_xll.BDP("CL US Equity","CUR_MKT_CAP")</f>
        <v/>
      </c>
    </row>
    <row r="304">
      <c r="A304" t="inlineStr">
        <is>
          <t>CL</t>
        </is>
      </c>
      <c r="B304" t="inlineStr">
        <is>
          <t>CL US Equity</t>
        </is>
      </c>
      <c r="C304" t="inlineStr">
        <is>
          <t>CHG_PCT_YTD</t>
        </is>
      </c>
      <c r="E304" t="inlineStr">
        <is>
          <t>YTD price change %</t>
        </is>
      </c>
      <c r="F304" s="53">
        <f>_xll.BDP("CL US Equity","CHG_PCT_YTD")</f>
        <v/>
      </c>
    </row>
    <row r="305">
      <c r="A305" t="inlineStr">
        <is>
          <t>CL</t>
        </is>
      </c>
      <c r="B305" t="inlineStr">
        <is>
          <t>CL US Equity</t>
        </is>
      </c>
      <c r="C305" t="inlineStr">
        <is>
          <t>NET_DEBT_TO_EBITDA</t>
        </is>
      </c>
      <c r="E305" t="inlineStr">
        <is>
          <t>Net debt / EBITDA</t>
        </is>
      </c>
      <c r="F305" s="53">
        <f>_xll.BDP("CL US Equity","NET_DEBT_TO_EBITDA")</f>
        <v/>
      </c>
    </row>
    <row r="306">
      <c r="A306" t="inlineStr">
        <is>
          <t>CL</t>
        </is>
      </c>
      <c r="B306" t="inlineStr">
        <is>
          <t>CL US Equity</t>
        </is>
      </c>
      <c r="C306" t="inlineStr">
        <is>
          <t>RETURN_ON_INV_CAPITAL</t>
        </is>
      </c>
      <c r="E306" t="inlineStr">
        <is>
          <t>ROIC (LTM)</t>
        </is>
      </c>
      <c r="F306" s="53">
        <f>_xll.BDP("CL US Equity","RETURN_ON_INV_CAPITAL")</f>
        <v/>
      </c>
    </row>
    <row r="307">
      <c r="A307" t="inlineStr">
        <is>
          <t>CL</t>
        </is>
      </c>
      <c r="B307" t="inlineStr">
        <is>
          <t>CL US Equity</t>
        </is>
      </c>
      <c r="C307" t="inlineStr">
        <is>
          <t>TRAIL_12M_OPER_INC</t>
        </is>
      </c>
      <c r="E307" t="inlineStr">
        <is>
          <t>LTM operating income</t>
        </is>
      </c>
      <c r="F307" s="53">
        <f>_xll.BDP("CL US Equity","TRAIL_12M_OPER_INC")</f>
        <v/>
      </c>
    </row>
    <row r="308">
      <c r="A308" t="inlineStr">
        <is>
          <t>CL</t>
        </is>
      </c>
      <c r="B308" t="inlineStr">
        <is>
          <t>CL US Equity</t>
        </is>
      </c>
      <c r="C308" t="inlineStr">
        <is>
          <t>TRAIL_12M_EBITDA</t>
        </is>
      </c>
      <c r="E308" t="inlineStr">
        <is>
          <t>LTM EBITDA</t>
        </is>
      </c>
      <c r="F308" s="53">
        <f>_xll.BDP("CL US Equity","TRAIL_12M_EBITDA")</f>
        <v/>
      </c>
    </row>
    <row r="309">
      <c r="A309" t="inlineStr">
        <is>
          <t>CL</t>
        </is>
      </c>
      <c r="B309" t="inlineStr">
        <is>
          <t>CL US Equity</t>
        </is>
      </c>
      <c r="C309" t="inlineStr">
        <is>
          <t>SHORT_AND_LONG_TERM_DEBT</t>
        </is>
      </c>
      <c r="E309" t="inlineStr">
        <is>
          <t>Total debt</t>
        </is>
      </c>
      <c r="F309" s="53">
        <f>_xll.BDP("CL US Equity","SHORT_AND_LONG_TERM_DEBT")</f>
        <v/>
      </c>
    </row>
    <row r="310">
      <c r="A310" t="inlineStr">
        <is>
          <t>CL</t>
        </is>
      </c>
      <c r="B310" t="inlineStr">
        <is>
          <t>CL US Equity</t>
        </is>
      </c>
      <c r="C310" t="inlineStr">
        <is>
          <t>TOTAL_EQUITY</t>
        </is>
      </c>
      <c r="E310" t="inlineStr">
        <is>
          <t>Total equity</t>
        </is>
      </c>
      <c r="F310" s="53">
        <f>_xll.BDP("CL US Equity","TOTAL_EQUITY")</f>
        <v/>
      </c>
    </row>
    <row r="311">
      <c r="A311" t="inlineStr">
        <is>
          <t>CL</t>
        </is>
      </c>
      <c r="B311" t="inlineStr">
        <is>
          <t>CL US Equity</t>
        </is>
      </c>
      <c r="C311" t="inlineStr">
        <is>
          <t>BS_CASH_NEAR_CASH_ITEM</t>
        </is>
      </c>
      <c r="E311" t="inlineStr">
        <is>
          <t>Cash &amp; equivalents</t>
        </is>
      </c>
      <c r="F311" s="53">
        <f>_xll.BDP("CL US Equity","BS_CASH_NEAR_CASH_ITEM")</f>
        <v/>
      </c>
    </row>
    <row r="312">
      <c r="A312" t="inlineStr">
        <is>
          <t>CL</t>
        </is>
      </c>
      <c r="B312" t="inlineStr">
        <is>
          <t>CL US Equity</t>
        </is>
      </c>
      <c r="C312" t="inlineStr">
        <is>
          <t>BEST_EPS</t>
        </is>
      </c>
      <c r="D312" t="inlineStr">
        <is>
          <t>24Y</t>
        </is>
      </c>
      <c r="E312" t="inlineStr">
        <is>
          <t>EPS estimate FY2024</t>
        </is>
      </c>
      <c r="F312" s="53">
        <f>_xll.BDP("CL US Equity","BEST_EPS","BEST_FPERIOD_OVERRIDE","24Y")</f>
        <v/>
      </c>
    </row>
    <row r="313">
      <c r="A313" t="inlineStr">
        <is>
          <t>CL</t>
        </is>
      </c>
      <c r="B313" t="inlineStr">
        <is>
          <t>CL US Equity</t>
        </is>
      </c>
      <c r="C313" t="inlineStr">
        <is>
          <t>BEST_SALES</t>
        </is>
      </c>
      <c r="D313" t="inlineStr">
        <is>
          <t>24Y</t>
        </is>
      </c>
      <c r="E313" t="inlineStr">
        <is>
          <t>Revenue estimate FY2024</t>
        </is>
      </c>
      <c r="F313" s="53">
        <f>_xll.BDP("CL US Equity","BEST_SALES","BEST_FPERIOD_OVERRIDE","24Y")</f>
        <v/>
      </c>
    </row>
    <row r="314">
      <c r="A314" t="inlineStr">
        <is>
          <t>CL</t>
        </is>
      </c>
      <c r="B314" t="inlineStr">
        <is>
          <t>CL US Equity</t>
        </is>
      </c>
      <c r="C314" t="inlineStr">
        <is>
          <t>BEST_EBIT</t>
        </is>
      </c>
      <c r="D314" t="inlineStr">
        <is>
          <t>24Y</t>
        </is>
      </c>
      <c r="E314" t="inlineStr">
        <is>
          <t>EBIT estimate FY2024</t>
        </is>
      </c>
      <c r="F314" s="53">
        <f>_xll.BDP("CL US Equity","BEST_EBIT","BEST_FPERIOD_OVERRIDE","24Y")</f>
        <v/>
      </c>
    </row>
    <row r="315">
      <c r="A315" t="inlineStr">
        <is>
          <t>CL</t>
        </is>
      </c>
      <c r="B315" t="inlineStr">
        <is>
          <t>CL US Equity</t>
        </is>
      </c>
      <c r="C315" t="inlineStr">
        <is>
          <t>BEST_EPS</t>
        </is>
      </c>
      <c r="D315" t="inlineStr">
        <is>
          <t>25Y</t>
        </is>
      </c>
      <c r="E315" t="inlineStr">
        <is>
          <t>EPS estimate FY2025</t>
        </is>
      </c>
      <c r="F315" s="53">
        <f>_xll.BDP("CL US Equity","BEST_EPS","BEST_FPERIOD_OVERRIDE","25Y")</f>
        <v/>
      </c>
    </row>
    <row r="316">
      <c r="A316" t="inlineStr">
        <is>
          <t>CL</t>
        </is>
      </c>
      <c r="B316" t="inlineStr">
        <is>
          <t>CL US Equity</t>
        </is>
      </c>
      <c r="C316" t="inlineStr">
        <is>
          <t>BEST_SALES</t>
        </is>
      </c>
      <c r="D316" t="inlineStr">
        <is>
          <t>25Y</t>
        </is>
      </c>
      <c r="E316" t="inlineStr">
        <is>
          <t>Revenue estimate FY2025</t>
        </is>
      </c>
      <c r="F316" s="53">
        <f>_xll.BDP("CL US Equity","BEST_SALES","BEST_FPERIOD_OVERRIDE","25Y")</f>
        <v/>
      </c>
    </row>
    <row r="317">
      <c r="A317" t="inlineStr">
        <is>
          <t>CL</t>
        </is>
      </c>
      <c r="B317" t="inlineStr">
        <is>
          <t>CL US Equity</t>
        </is>
      </c>
      <c r="C317" t="inlineStr">
        <is>
          <t>BEST_EBIT</t>
        </is>
      </c>
      <c r="D317" t="inlineStr">
        <is>
          <t>25Y</t>
        </is>
      </c>
      <c r="E317" t="inlineStr">
        <is>
          <t>EBIT estimate FY2025</t>
        </is>
      </c>
      <c r="F317" s="53">
        <f>_xll.BDP("CL US Equity","BEST_EBIT","BEST_FPERIOD_OVERRIDE","25Y")</f>
        <v/>
      </c>
    </row>
    <row r="318">
      <c r="A318" t="inlineStr">
        <is>
          <t>CL</t>
        </is>
      </c>
      <c r="B318" t="inlineStr">
        <is>
          <t>CL US Equity</t>
        </is>
      </c>
      <c r="C318" t="inlineStr">
        <is>
          <t>BEST_EPS</t>
        </is>
      </c>
      <c r="D318" t="inlineStr">
        <is>
          <t>26Y</t>
        </is>
      </c>
      <c r="E318" t="inlineStr">
        <is>
          <t>EPS estimate FY2026</t>
        </is>
      </c>
      <c r="F318" s="53">
        <f>_xll.BDP("CL US Equity","BEST_EPS","BEST_FPERIOD_OVERRIDE","26Y")</f>
        <v/>
      </c>
    </row>
    <row r="319">
      <c r="A319" t="inlineStr">
        <is>
          <t>CL</t>
        </is>
      </c>
      <c r="B319" t="inlineStr">
        <is>
          <t>CL US Equity</t>
        </is>
      </c>
      <c r="C319" t="inlineStr">
        <is>
          <t>BEST_SALES</t>
        </is>
      </c>
      <c r="D319" t="inlineStr">
        <is>
          <t>26Y</t>
        </is>
      </c>
      <c r="E319" t="inlineStr">
        <is>
          <t>Revenue estimate FY2026</t>
        </is>
      </c>
      <c r="F319" s="53">
        <f>_xll.BDP("CL US Equity","BEST_SALES","BEST_FPERIOD_OVERRIDE","26Y")</f>
        <v/>
      </c>
    </row>
    <row r="320">
      <c r="A320" t="inlineStr">
        <is>
          <t>CL</t>
        </is>
      </c>
      <c r="B320" t="inlineStr">
        <is>
          <t>CL US Equity</t>
        </is>
      </c>
      <c r="C320" t="inlineStr">
        <is>
          <t>BEST_EBIT</t>
        </is>
      </c>
      <c r="D320" t="inlineStr">
        <is>
          <t>26Y</t>
        </is>
      </c>
      <c r="E320" t="inlineStr">
        <is>
          <t>EBIT estimate FY2026</t>
        </is>
      </c>
      <c r="F320" s="53">
        <f>_xll.BDP("CL US Equity","BEST_EBIT","BEST_FPERIOD_OVERRIDE","26Y")</f>
        <v/>
      </c>
    </row>
    <row r="321">
      <c r="A321" t="inlineStr">
        <is>
          <t>CL</t>
        </is>
      </c>
      <c r="B321" t="inlineStr">
        <is>
          <t>CL US Equity</t>
        </is>
      </c>
      <c r="C321" t="inlineStr">
        <is>
          <t>BEST_EPS</t>
        </is>
      </c>
      <c r="D321" t="inlineStr">
        <is>
          <t>27Y</t>
        </is>
      </c>
      <c r="E321" t="inlineStr">
        <is>
          <t>EPS estimate FY2027</t>
        </is>
      </c>
      <c r="F321" s="53">
        <f>_xll.BDP("CL US Equity","BEST_EPS","BEST_FPERIOD_OVERRIDE","27Y")</f>
        <v/>
      </c>
    </row>
    <row r="322">
      <c r="A322" t="inlineStr">
        <is>
          <t>CL</t>
        </is>
      </c>
      <c r="B322" t="inlineStr">
        <is>
          <t>CL US Equity</t>
        </is>
      </c>
      <c r="C322" t="inlineStr">
        <is>
          <t>BEST_SALES</t>
        </is>
      </c>
      <c r="D322" t="inlineStr">
        <is>
          <t>27Y</t>
        </is>
      </c>
      <c r="E322" t="inlineStr">
        <is>
          <t>Revenue estimate FY2027</t>
        </is>
      </c>
      <c r="F322" s="53">
        <f>_xll.BDP("CL US Equity","BEST_SALES","BEST_FPERIOD_OVERRIDE","27Y")</f>
        <v/>
      </c>
    </row>
    <row r="323">
      <c r="A323" t="inlineStr">
        <is>
          <t>CL</t>
        </is>
      </c>
      <c r="B323" t="inlineStr">
        <is>
          <t>CL US Equity</t>
        </is>
      </c>
      <c r="C323" t="inlineStr">
        <is>
          <t>BEST_EBIT</t>
        </is>
      </c>
      <c r="D323" t="inlineStr">
        <is>
          <t>27Y</t>
        </is>
      </c>
      <c r="E323" t="inlineStr">
        <is>
          <t>EBIT estimate FY2027</t>
        </is>
      </c>
      <c r="F323" s="53">
        <f>_xll.BDP("CL US Equity","BEST_EBIT","BEST_FPERIOD_OVERRIDE","27Y")</f>
        <v/>
      </c>
    </row>
    <row r="324">
      <c r="A324" t="inlineStr">
        <is>
          <t>CL</t>
        </is>
      </c>
      <c r="B324" t="inlineStr">
        <is>
          <t>CL US Equity</t>
        </is>
      </c>
      <c r="C324" t="inlineStr">
        <is>
          <t>BEST_EPS</t>
        </is>
      </c>
      <c r="D324" t="inlineStr">
        <is>
          <t>28Y</t>
        </is>
      </c>
      <c r="E324" t="inlineStr">
        <is>
          <t>EPS estimate FY2028</t>
        </is>
      </c>
      <c r="F324" s="53">
        <f>_xll.BDP("CL US Equity","BEST_EPS","BEST_FPERIOD_OVERRIDE","28Y")</f>
        <v/>
      </c>
    </row>
    <row r="325">
      <c r="A325" t="inlineStr">
        <is>
          <t>CL</t>
        </is>
      </c>
      <c r="B325" t="inlineStr">
        <is>
          <t>CL US Equity</t>
        </is>
      </c>
      <c r="C325" t="inlineStr">
        <is>
          <t>BEST_SALES</t>
        </is>
      </c>
      <c r="D325" t="inlineStr">
        <is>
          <t>28Y</t>
        </is>
      </c>
      <c r="E325" t="inlineStr">
        <is>
          <t>Revenue estimate FY2028</t>
        </is>
      </c>
      <c r="F325" s="53">
        <f>_xll.BDP("CL US Equity","BEST_SALES","BEST_FPERIOD_OVERRIDE","28Y")</f>
        <v/>
      </c>
    </row>
    <row r="326">
      <c r="A326" t="inlineStr">
        <is>
          <t>CL</t>
        </is>
      </c>
      <c r="B326" t="inlineStr">
        <is>
          <t>CL US Equity</t>
        </is>
      </c>
      <c r="C326" t="inlineStr">
        <is>
          <t>BEST_EBIT</t>
        </is>
      </c>
      <c r="D326" t="inlineStr">
        <is>
          <t>28Y</t>
        </is>
      </c>
      <c r="E326" t="inlineStr">
        <is>
          <t>EBIT estimate FY2028</t>
        </is>
      </c>
      <c r="F326" s="53">
        <f>_xll.BDP("CL US Equity","BEST_EBIT","BEST_FPERIOD_OVERRIDE","28Y")</f>
        <v/>
      </c>
    </row>
    <row r="327">
      <c r="A327" t="inlineStr">
        <is>
          <t>CLX</t>
        </is>
      </c>
      <c r="B327" t="inlineStr">
        <is>
          <t>CLX US Equity</t>
        </is>
      </c>
      <c r="C327" t="inlineStr">
        <is>
          <t>PX_LAST</t>
        </is>
      </c>
      <c r="E327" t="inlineStr">
        <is>
          <t>Last price</t>
        </is>
      </c>
      <c r="F327" s="53">
        <f>_xll.BDP("CLX US Equity","PX_LAST")</f>
        <v/>
      </c>
    </row>
    <row r="328">
      <c r="A328" t="inlineStr">
        <is>
          <t>CLX</t>
        </is>
      </c>
      <c r="B328" t="inlineStr">
        <is>
          <t>CLX US Equity</t>
        </is>
      </c>
      <c r="C328" t="inlineStr">
        <is>
          <t>CUR_MKT_CAP</t>
        </is>
      </c>
      <c r="E328" t="inlineStr">
        <is>
          <t>Market cap (raw)</t>
        </is>
      </c>
      <c r="F328" s="53">
        <f>_xll.BDP("CLX US Equity","CUR_MKT_CAP")</f>
        <v/>
      </c>
    </row>
    <row r="329">
      <c r="A329" t="inlineStr">
        <is>
          <t>CLX</t>
        </is>
      </c>
      <c r="B329" t="inlineStr">
        <is>
          <t>CLX US Equity</t>
        </is>
      </c>
      <c r="C329" t="inlineStr">
        <is>
          <t>CHG_PCT_YTD</t>
        </is>
      </c>
      <c r="E329" t="inlineStr">
        <is>
          <t>YTD price change %</t>
        </is>
      </c>
      <c r="F329" s="53">
        <f>_xll.BDP("CLX US Equity","CHG_PCT_YTD")</f>
        <v/>
      </c>
    </row>
    <row r="330">
      <c r="A330" t="inlineStr">
        <is>
          <t>CLX</t>
        </is>
      </c>
      <c r="B330" t="inlineStr">
        <is>
          <t>CLX US Equity</t>
        </is>
      </c>
      <c r="C330" t="inlineStr">
        <is>
          <t>NET_DEBT_TO_EBITDA</t>
        </is>
      </c>
      <c r="E330" t="inlineStr">
        <is>
          <t>Net debt / EBITDA</t>
        </is>
      </c>
      <c r="F330" s="53">
        <f>_xll.BDP("CLX US Equity","NET_DEBT_TO_EBITDA")</f>
        <v/>
      </c>
    </row>
    <row r="331">
      <c r="A331" t="inlineStr">
        <is>
          <t>CLX</t>
        </is>
      </c>
      <c r="B331" t="inlineStr">
        <is>
          <t>CLX US Equity</t>
        </is>
      </c>
      <c r="C331" t="inlineStr">
        <is>
          <t>RETURN_ON_INV_CAPITAL</t>
        </is>
      </c>
      <c r="E331" t="inlineStr">
        <is>
          <t>ROIC (LTM)</t>
        </is>
      </c>
      <c r="F331" s="53">
        <f>_xll.BDP("CLX US Equity","RETURN_ON_INV_CAPITAL")</f>
        <v/>
      </c>
    </row>
    <row r="332">
      <c r="A332" t="inlineStr">
        <is>
          <t>CLX</t>
        </is>
      </c>
      <c r="B332" t="inlineStr">
        <is>
          <t>CLX US Equity</t>
        </is>
      </c>
      <c r="C332" t="inlineStr">
        <is>
          <t>TRAIL_12M_OPER_INC</t>
        </is>
      </c>
      <c r="E332" t="inlineStr">
        <is>
          <t>LTM operating income</t>
        </is>
      </c>
      <c r="F332" s="53">
        <f>_xll.BDP("CLX US Equity","TRAIL_12M_OPER_INC")</f>
        <v/>
      </c>
    </row>
    <row r="333">
      <c r="A333" t="inlineStr">
        <is>
          <t>CLX</t>
        </is>
      </c>
      <c r="B333" t="inlineStr">
        <is>
          <t>CLX US Equity</t>
        </is>
      </c>
      <c r="C333" t="inlineStr">
        <is>
          <t>TRAIL_12M_EBITDA</t>
        </is>
      </c>
      <c r="E333" t="inlineStr">
        <is>
          <t>LTM EBITDA</t>
        </is>
      </c>
      <c r="F333" s="53">
        <f>_xll.BDP("CLX US Equity","TRAIL_12M_EBITDA")</f>
        <v/>
      </c>
    </row>
    <row r="334">
      <c r="A334" t="inlineStr">
        <is>
          <t>CLX</t>
        </is>
      </c>
      <c r="B334" t="inlineStr">
        <is>
          <t>CLX US Equity</t>
        </is>
      </c>
      <c r="C334" t="inlineStr">
        <is>
          <t>SHORT_AND_LONG_TERM_DEBT</t>
        </is>
      </c>
      <c r="E334" t="inlineStr">
        <is>
          <t>Total debt</t>
        </is>
      </c>
      <c r="F334" s="53">
        <f>_xll.BDP("CLX US Equity","SHORT_AND_LONG_TERM_DEBT")</f>
        <v/>
      </c>
    </row>
    <row r="335">
      <c r="A335" t="inlineStr">
        <is>
          <t>CLX</t>
        </is>
      </c>
      <c r="B335" t="inlineStr">
        <is>
          <t>CLX US Equity</t>
        </is>
      </c>
      <c r="C335" t="inlineStr">
        <is>
          <t>TOTAL_EQUITY</t>
        </is>
      </c>
      <c r="E335" t="inlineStr">
        <is>
          <t>Total equity</t>
        </is>
      </c>
      <c r="F335" s="53">
        <f>_xll.BDP("CLX US Equity","TOTAL_EQUITY")</f>
        <v/>
      </c>
    </row>
    <row r="336">
      <c r="A336" t="inlineStr">
        <is>
          <t>CLX</t>
        </is>
      </c>
      <c r="B336" t="inlineStr">
        <is>
          <t>CLX US Equity</t>
        </is>
      </c>
      <c r="C336" t="inlineStr">
        <is>
          <t>BS_CASH_NEAR_CASH_ITEM</t>
        </is>
      </c>
      <c r="E336" t="inlineStr">
        <is>
          <t>Cash &amp; equivalents</t>
        </is>
      </c>
      <c r="F336" s="53">
        <f>_xll.BDP("CLX US Equity","BS_CASH_NEAR_CASH_ITEM")</f>
        <v/>
      </c>
    </row>
    <row r="337">
      <c r="A337" t="inlineStr">
        <is>
          <t>CLX</t>
        </is>
      </c>
      <c r="B337" t="inlineStr">
        <is>
          <t>CLX US Equity</t>
        </is>
      </c>
      <c r="C337" t="inlineStr">
        <is>
          <t>BEST_EPS</t>
        </is>
      </c>
      <c r="D337" t="inlineStr">
        <is>
          <t>24Y</t>
        </is>
      </c>
      <c r="E337" t="inlineStr">
        <is>
          <t>EPS estimate FY2024</t>
        </is>
      </c>
      <c r="F337" s="53">
        <f>_xll.BDP("CLX US Equity","BEST_EPS","BEST_FPERIOD_OVERRIDE","24Y")</f>
        <v/>
      </c>
    </row>
    <row r="338">
      <c r="A338" t="inlineStr">
        <is>
          <t>CLX</t>
        </is>
      </c>
      <c r="B338" t="inlineStr">
        <is>
          <t>CLX US Equity</t>
        </is>
      </c>
      <c r="C338" t="inlineStr">
        <is>
          <t>BEST_SALES</t>
        </is>
      </c>
      <c r="D338" t="inlineStr">
        <is>
          <t>24Y</t>
        </is>
      </c>
      <c r="E338" t="inlineStr">
        <is>
          <t>Revenue estimate FY2024</t>
        </is>
      </c>
      <c r="F338" s="53">
        <f>_xll.BDP("CLX US Equity","BEST_SALES","BEST_FPERIOD_OVERRIDE","24Y")</f>
        <v/>
      </c>
    </row>
    <row r="339">
      <c r="A339" t="inlineStr">
        <is>
          <t>CLX</t>
        </is>
      </c>
      <c r="B339" t="inlineStr">
        <is>
          <t>CLX US Equity</t>
        </is>
      </c>
      <c r="C339" t="inlineStr">
        <is>
          <t>BEST_EBIT</t>
        </is>
      </c>
      <c r="D339" t="inlineStr">
        <is>
          <t>24Y</t>
        </is>
      </c>
      <c r="E339" t="inlineStr">
        <is>
          <t>EBIT estimate FY2024</t>
        </is>
      </c>
      <c r="F339" s="53">
        <f>_xll.BDP("CLX US Equity","BEST_EBIT","BEST_FPERIOD_OVERRIDE","24Y")</f>
        <v/>
      </c>
    </row>
    <row r="340">
      <c r="A340" t="inlineStr">
        <is>
          <t>CLX</t>
        </is>
      </c>
      <c r="B340" t="inlineStr">
        <is>
          <t>CLX US Equity</t>
        </is>
      </c>
      <c r="C340" t="inlineStr">
        <is>
          <t>BEST_EPS</t>
        </is>
      </c>
      <c r="D340" t="inlineStr">
        <is>
          <t>25Y</t>
        </is>
      </c>
      <c r="E340" t="inlineStr">
        <is>
          <t>EPS estimate FY2025</t>
        </is>
      </c>
      <c r="F340" s="53">
        <f>_xll.BDP("CLX US Equity","BEST_EPS","BEST_FPERIOD_OVERRIDE","25Y")</f>
        <v/>
      </c>
    </row>
    <row r="341">
      <c r="A341" t="inlineStr">
        <is>
          <t>CLX</t>
        </is>
      </c>
      <c r="B341" t="inlineStr">
        <is>
          <t>CLX US Equity</t>
        </is>
      </c>
      <c r="C341" t="inlineStr">
        <is>
          <t>BEST_SALES</t>
        </is>
      </c>
      <c r="D341" t="inlineStr">
        <is>
          <t>25Y</t>
        </is>
      </c>
      <c r="E341" t="inlineStr">
        <is>
          <t>Revenue estimate FY2025</t>
        </is>
      </c>
      <c r="F341" s="53">
        <f>_xll.BDP("CLX US Equity","BEST_SALES","BEST_FPERIOD_OVERRIDE","25Y")</f>
        <v/>
      </c>
    </row>
    <row r="342">
      <c r="A342" t="inlineStr">
        <is>
          <t>CLX</t>
        </is>
      </c>
      <c r="B342" t="inlineStr">
        <is>
          <t>CLX US Equity</t>
        </is>
      </c>
      <c r="C342" t="inlineStr">
        <is>
          <t>BEST_EBIT</t>
        </is>
      </c>
      <c r="D342" t="inlineStr">
        <is>
          <t>25Y</t>
        </is>
      </c>
      <c r="E342" t="inlineStr">
        <is>
          <t>EBIT estimate FY2025</t>
        </is>
      </c>
      <c r="F342" s="53">
        <f>_xll.BDP("CLX US Equity","BEST_EBIT","BEST_FPERIOD_OVERRIDE","25Y")</f>
        <v/>
      </c>
    </row>
    <row r="343">
      <c r="A343" t="inlineStr">
        <is>
          <t>CLX</t>
        </is>
      </c>
      <c r="B343" t="inlineStr">
        <is>
          <t>CLX US Equity</t>
        </is>
      </c>
      <c r="C343" t="inlineStr">
        <is>
          <t>BEST_EPS</t>
        </is>
      </c>
      <c r="D343" t="inlineStr">
        <is>
          <t>26Y</t>
        </is>
      </c>
      <c r="E343" t="inlineStr">
        <is>
          <t>EPS estimate FY2026</t>
        </is>
      </c>
      <c r="F343" s="53">
        <f>_xll.BDP("CLX US Equity","BEST_EPS","BEST_FPERIOD_OVERRIDE","26Y")</f>
        <v/>
      </c>
    </row>
    <row r="344">
      <c r="A344" t="inlineStr">
        <is>
          <t>CLX</t>
        </is>
      </c>
      <c r="B344" t="inlineStr">
        <is>
          <t>CLX US Equity</t>
        </is>
      </c>
      <c r="C344" t="inlineStr">
        <is>
          <t>BEST_SALES</t>
        </is>
      </c>
      <c r="D344" t="inlineStr">
        <is>
          <t>26Y</t>
        </is>
      </c>
      <c r="E344" t="inlineStr">
        <is>
          <t>Revenue estimate FY2026</t>
        </is>
      </c>
      <c r="F344" s="53">
        <f>_xll.BDP("CLX US Equity","BEST_SALES","BEST_FPERIOD_OVERRIDE","26Y")</f>
        <v/>
      </c>
    </row>
    <row r="345">
      <c r="A345" t="inlineStr">
        <is>
          <t>CLX</t>
        </is>
      </c>
      <c r="B345" t="inlineStr">
        <is>
          <t>CLX US Equity</t>
        </is>
      </c>
      <c r="C345" t="inlineStr">
        <is>
          <t>BEST_EBIT</t>
        </is>
      </c>
      <c r="D345" t="inlineStr">
        <is>
          <t>26Y</t>
        </is>
      </c>
      <c r="E345" t="inlineStr">
        <is>
          <t>EBIT estimate FY2026</t>
        </is>
      </c>
      <c r="F345" s="53">
        <f>_xll.BDP("CLX US Equity","BEST_EBIT","BEST_FPERIOD_OVERRIDE","26Y")</f>
        <v/>
      </c>
    </row>
    <row r="346">
      <c r="A346" t="inlineStr">
        <is>
          <t>CLX</t>
        </is>
      </c>
      <c r="B346" t="inlineStr">
        <is>
          <t>CLX US Equity</t>
        </is>
      </c>
      <c r="C346" t="inlineStr">
        <is>
          <t>BEST_EPS</t>
        </is>
      </c>
      <c r="D346" t="inlineStr">
        <is>
          <t>27Y</t>
        </is>
      </c>
      <c r="E346" t="inlineStr">
        <is>
          <t>EPS estimate FY2027</t>
        </is>
      </c>
      <c r="F346" s="53">
        <f>_xll.BDP("CLX US Equity","BEST_EPS","BEST_FPERIOD_OVERRIDE","27Y")</f>
        <v/>
      </c>
    </row>
    <row r="347">
      <c r="A347" t="inlineStr">
        <is>
          <t>CLX</t>
        </is>
      </c>
      <c r="B347" t="inlineStr">
        <is>
          <t>CLX US Equity</t>
        </is>
      </c>
      <c r="C347" t="inlineStr">
        <is>
          <t>BEST_SALES</t>
        </is>
      </c>
      <c r="D347" t="inlineStr">
        <is>
          <t>27Y</t>
        </is>
      </c>
      <c r="E347" t="inlineStr">
        <is>
          <t>Revenue estimate FY2027</t>
        </is>
      </c>
      <c r="F347" s="53">
        <f>_xll.BDP("CLX US Equity","BEST_SALES","BEST_FPERIOD_OVERRIDE","27Y")</f>
        <v/>
      </c>
    </row>
    <row r="348">
      <c r="A348" t="inlineStr">
        <is>
          <t>CLX</t>
        </is>
      </c>
      <c r="B348" t="inlineStr">
        <is>
          <t>CLX US Equity</t>
        </is>
      </c>
      <c r="C348" t="inlineStr">
        <is>
          <t>BEST_EBIT</t>
        </is>
      </c>
      <c r="D348" t="inlineStr">
        <is>
          <t>27Y</t>
        </is>
      </c>
      <c r="E348" t="inlineStr">
        <is>
          <t>EBIT estimate FY2027</t>
        </is>
      </c>
      <c r="F348" s="53">
        <f>_xll.BDP("CLX US Equity","BEST_EBIT","BEST_FPERIOD_OVERRIDE","27Y")</f>
        <v/>
      </c>
    </row>
    <row r="349">
      <c r="A349" t="inlineStr">
        <is>
          <t>CLX</t>
        </is>
      </c>
      <c r="B349" t="inlineStr">
        <is>
          <t>CLX US Equity</t>
        </is>
      </c>
      <c r="C349" t="inlineStr">
        <is>
          <t>BEST_EPS</t>
        </is>
      </c>
      <c r="D349" t="inlineStr">
        <is>
          <t>28Y</t>
        </is>
      </c>
      <c r="E349" t="inlineStr">
        <is>
          <t>EPS estimate FY2028</t>
        </is>
      </c>
      <c r="F349" s="53">
        <f>_xll.BDP("CLX US Equity","BEST_EPS","BEST_FPERIOD_OVERRIDE","28Y")</f>
        <v/>
      </c>
    </row>
    <row r="350">
      <c r="A350" t="inlineStr">
        <is>
          <t>CLX</t>
        </is>
      </c>
      <c r="B350" t="inlineStr">
        <is>
          <t>CLX US Equity</t>
        </is>
      </c>
      <c r="C350" t="inlineStr">
        <is>
          <t>BEST_SALES</t>
        </is>
      </c>
      <c r="D350" t="inlineStr">
        <is>
          <t>28Y</t>
        </is>
      </c>
      <c r="E350" t="inlineStr">
        <is>
          <t>Revenue estimate FY2028</t>
        </is>
      </c>
      <c r="F350" s="53">
        <f>_xll.BDP("CLX US Equity","BEST_SALES","BEST_FPERIOD_OVERRIDE","28Y")</f>
        <v/>
      </c>
    </row>
    <row r="351">
      <c r="A351" t="inlineStr">
        <is>
          <t>CLX</t>
        </is>
      </c>
      <c r="B351" t="inlineStr">
        <is>
          <t>CLX US Equity</t>
        </is>
      </c>
      <c r="C351" t="inlineStr">
        <is>
          <t>BEST_EBIT</t>
        </is>
      </c>
      <c r="D351" t="inlineStr">
        <is>
          <t>28Y</t>
        </is>
      </c>
      <c r="E351" t="inlineStr">
        <is>
          <t>EBIT estimate FY2028</t>
        </is>
      </c>
      <c r="F351" s="53">
        <f>_xll.BDP("CLX US Equity","BEST_EBIT","BEST_FPERIOD_OVERRIDE","28Y")</f>
        <v/>
      </c>
    </row>
    <row r="352">
      <c r="A352" t="inlineStr">
        <is>
          <t>KMB</t>
        </is>
      </c>
      <c r="B352" t="inlineStr">
        <is>
          <t>KMB US Equity</t>
        </is>
      </c>
      <c r="C352" t="inlineStr">
        <is>
          <t>PX_LAST</t>
        </is>
      </c>
      <c r="E352" t="inlineStr">
        <is>
          <t>Last price</t>
        </is>
      </c>
      <c r="F352" s="53">
        <f>_xll.BDP("KMB US Equity","PX_LAST")</f>
        <v/>
      </c>
    </row>
    <row r="353">
      <c r="A353" t="inlineStr">
        <is>
          <t>KMB</t>
        </is>
      </c>
      <c r="B353" t="inlineStr">
        <is>
          <t>KMB US Equity</t>
        </is>
      </c>
      <c r="C353" t="inlineStr">
        <is>
          <t>CUR_MKT_CAP</t>
        </is>
      </c>
      <c r="E353" t="inlineStr">
        <is>
          <t>Market cap (raw)</t>
        </is>
      </c>
      <c r="F353" s="53">
        <f>_xll.BDP("KMB US Equity","CUR_MKT_CAP")</f>
        <v/>
      </c>
    </row>
    <row r="354">
      <c r="A354" t="inlineStr">
        <is>
          <t>KMB</t>
        </is>
      </c>
      <c r="B354" t="inlineStr">
        <is>
          <t>KMB US Equity</t>
        </is>
      </c>
      <c r="C354" t="inlineStr">
        <is>
          <t>CHG_PCT_YTD</t>
        </is>
      </c>
      <c r="E354" t="inlineStr">
        <is>
          <t>YTD price change %</t>
        </is>
      </c>
      <c r="F354" s="53">
        <f>_xll.BDP("KMB US Equity","CHG_PCT_YTD")</f>
        <v/>
      </c>
    </row>
    <row r="355">
      <c r="A355" t="inlineStr">
        <is>
          <t>KMB</t>
        </is>
      </c>
      <c r="B355" t="inlineStr">
        <is>
          <t>KMB US Equity</t>
        </is>
      </c>
      <c r="C355" t="inlineStr">
        <is>
          <t>NET_DEBT_TO_EBITDA</t>
        </is>
      </c>
      <c r="E355" t="inlineStr">
        <is>
          <t>Net debt / EBITDA</t>
        </is>
      </c>
      <c r="F355" s="53">
        <f>_xll.BDP("KMB US Equity","NET_DEBT_TO_EBITDA")</f>
        <v/>
      </c>
    </row>
    <row r="356">
      <c r="A356" t="inlineStr">
        <is>
          <t>KMB</t>
        </is>
      </c>
      <c r="B356" t="inlineStr">
        <is>
          <t>KMB US Equity</t>
        </is>
      </c>
      <c r="C356" t="inlineStr">
        <is>
          <t>RETURN_ON_INV_CAPITAL</t>
        </is>
      </c>
      <c r="E356" t="inlineStr">
        <is>
          <t>ROIC (LTM)</t>
        </is>
      </c>
      <c r="F356" s="53">
        <f>_xll.BDP("KMB US Equity","RETURN_ON_INV_CAPITAL")</f>
        <v/>
      </c>
    </row>
    <row r="357">
      <c r="A357" t="inlineStr">
        <is>
          <t>KMB</t>
        </is>
      </c>
      <c r="B357" t="inlineStr">
        <is>
          <t>KMB US Equity</t>
        </is>
      </c>
      <c r="C357" t="inlineStr">
        <is>
          <t>TRAIL_12M_OPER_INC</t>
        </is>
      </c>
      <c r="E357" t="inlineStr">
        <is>
          <t>LTM operating income</t>
        </is>
      </c>
      <c r="F357" s="53">
        <f>_xll.BDP("KMB US Equity","TRAIL_12M_OPER_INC")</f>
        <v/>
      </c>
    </row>
    <row r="358">
      <c r="A358" t="inlineStr">
        <is>
          <t>KMB</t>
        </is>
      </c>
      <c r="B358" t="inlineStr">
        <is>
          <t>KMB US Equity</t>
        </is>
      </c>
      <c r="C358" t="inlineStr">
        <is>
          <t>TRAIL_12M_EBITDA</t>
        </is>
      </c>
      <c r="E358" t="inlineStr">
        <is>
          <t>LTM EBITDA</t>
        </is>
      </c>
      <c r="F358" s="53">
        <f>_xll.BDP("KMB US Equity","TRAIL_12M_EBITDA")</f>
        <v/>
      </c>
    </row>
    <row r="359">
      <c r="A359" t="inlineStr">
        <is>
          <t>KMB</t>
        </is>
      </c>
      <c r="B359" t="inlineStr">
        <is>
          <t>KMB US Equity</t>
        </is>
      </c>
      <c r="C359" t="inlineStr">
        <is>
          <t>SHORT_AND_LONG_TERM_DEBT</t>
        </is>
      </c>
      <c r="E359" t="inlineStr">
        <is>
          <t>Total debt</t>
        </is>
      </c>
      <c r="F359" s="53">
        <f>_xll.BDP("KMB US Equity","SHORT_AND_LONG_TERM_DEBT")</f>
        <v/>
      </c>
    </row>
    <row r="360">
      <c r="A360" t="inlineStr">
        <is>
          <t>KMB</t>
        </is>
      </c>
      <c r="B360" t="inlineStr">
        <is>
          <t>KMB US Equity</t>
        </is>
      </c>
      <c r="C360" t="inlineStr">
        <is>
          <t>TOTAL_EQUITY</t>
        </is>
      </c>
      <c r="E360" t="inlineStr">
        <is>
          <t>Total equity</t>
        </is>
      </c>
      <c r="F360" s="53">
        <f>_xll.BDP("KMB US Equity","TOTAL_EQUITY")</f>
        <v/>
      </c>
    </row>
    <row r="361">
      <c r="A361" t="inlineStr">
        <is>
          <t>KMB</t>
        </is>
      </c>
      <c r="B361" t="inlineStr">
        <is>
          <t>KMB US Equity</t>
        </is>
      </c>
      <c r="C361" t="inlineStr">
        <is>
          <t>BS_CASH_NEAR_CASH_ITEM</t>
        </is>
      </c>
      <c r="E361" t="inlineStr">
        <is>
          <t>Cash &amp; equivalents</t>
        </is>
      </c>
      <c r="F361" s="53">
        <f>_xll.BDP("KMB US Equity","BS_CASH_NEAR_CASH_ITEM")</f>
        <v/>
      </c>
    </row>
    <row r="362">
      <c r="A362" t="inlineStr">
        <is>
          <t>KMB</t>
        </is>
      </c>
      <c r="B362" t="inlineStr">
        <is>
          <t>KMB US Equity</t>
        </is>
      </c>
      <c r="C362" t="inlineStr">
        <is>
          <t>BEST_EPS</t>
        </is>
      </c>
      <c r="D362" t="inlineStr">
        <is>
          <t>24Y</t>
        </is>
      </c>
      <c r="E362" t="inlineStr">
        <is>
          <t>EPS estimate FY2024</t>
        </is>
      </c>
      <c r="F362" s="53">
        <f>_xll.BDP("KMB US Equity","BEST_EPS","BEST_FPERIOD_OVERRIDE","24Y")</f>
        <v/>
      </c>
    </row>
    <row r="363">
      <c r="A363" t="inlineStr">
        <is>
          <t>KMB</t>
        </is>
      </c>
      <c r="B363" t="inlineStr">
        <is>
          <t>KMB US Equity</t>
        </is>
      </c>
      <c r="C363" t="inlineStr">
        <is>
          <t>BEST_SALES</t>
        </is>
      </c>
      <c r="D363" t="inlineStr">
        <is>
          <t>24Y</t>
        </is>
      </c>
      <c r="E363" t="inlineStr">
        <is>
          <t>Revenue estimate FY2024</t>
        </is>
      </c>
      <c r="F363" s="53">
        <f>_xll.BDP("KMB US Equity","BEST_SALES","BEST_FPERIOD_OVERRIDE","24Y")</f>
        <v/>
      </c>
    </row>
    <row r="364">
      <c r="A364" t="inlineStr">
        <is>
          <t>KMB</t>
        </is>
      </c>
      <c r="B364" t="inlineStr">
        <is>
          <t>KMB US Equity</t>
        </is>
      </c>
      <c r="C364" t="inlineStr">
        <is>
          <t>BEST_EBIT</t>
        </is>
      </c>
      <c r="D364" t="inlineStr">
        <is>
          <t>24Y</t>
        </is>
      </c>
      <c r="E364" t="inlineStr">
        <is>
          <t>EBIT estimate FY2024</t>
        </is>
      </c>
      <c r="F364" s="53">
        <f>_xll.BDP("KMB US Equity","BEST_EBIT","BEST_FPERIOD_OVERRIDE","24Y")</f>
        <v/>
      </c>
    </row>
    <row r="365">
      <c r="A365" t="inlineStr">
        <is>
          <t>KMB</t>
        </is>
      </c>
      <c r="B365" t="inlineStr">
        <is>
          <t>KMB US Equity</t>
        </is>
      </c>
      <c r="C365" t="inlineStr">
        <is>
          <t>BEST_EPS</t>
        </is>
      </c>
      <c r="D365" t="inlineStr">
        <is>
          <t>25Y</t>
        </is>
      </c>
      <c r="E365" t="inlineStr">
        <is>
          <t>EPS estimate FY2025</t>
        </is>
      </c>
      <c r="F365" s="53">
        <f>_xll.BDP("KMB US Equity","BEST_EPS","BEST_FPERIOD_OVERRIDE","25Y")</f>
        <v/>
      </c>
    </row>
    <row r="366">
      <c r="A366" t="inlineStr">
        <is>
          <t>KMB</t>
        </is>
      </c>
      <c r="B366" t="inlineStr">
        <is>
          <t>KMB US Equity</t>
        </is>
      </c>
      <c r="C366" t="inlineStr">
        <is>
          <t>BEST_SALES</t>
        </is>
      </c>
      <c r="D366" t="inlineStr">
        <is>
          <t>25Y</t>
        </is>
      </c>
      <c r="E366" t="inlineStr">
        <is>
          <t>Revenue estimate FY2025</t>
        </is>
      </c>
      <c r="F366" s="53">
        <f>_xll.BDP("KMB US Equity","BEST_SALES","BEST_FPERIOD_OVERRIDE","25Y")</f>
        <v/>
      </c>
    </row>
    <row r="367">
      <c r="A367" t="inlineStr">
        <is>
          <t>KMB</t>
        </is>
      </c>
      <c r="B367" t="inlineStr">
        <is>
          <t>KMB US Equity</t>
        </is>
      </c>
      <c r="C367" t="inlineStr">
        <is>
          <t>BEST_EBIT</t>
        </is>
      </c>
      <c r="D367" t="inlineStr">
        <is>
          <t>25Y</t>
        </is>
      </c>
      <c r="E367" t="inlineStr">
        <is>
          <t>EBIT estimate FY2025</t>
        </is>
      </c>
      <c r="F367" s="53">
        <f>_xll.BDP("KMB US Equity","BEST_EBIT","BEST_FPERIOD_OVERRIDE","25Y")</f>
        <v/>
      </c>
    </row>
    <row r="368">
      <c r="A368" t="inlineStr">
        <is>
          <t>KMB</t>
        </is>
      </c>
      <c r="B368" t="inlineStr">
        <is>
          <t>KMB US Equity</t>
        </is>
      </c>
      <c r="C368" t="inlineStr">
        <is>
          <t>BEST_EPS</t>
        </is>
      </c>
      <c r="D368" t="inlineStr">
        <is>
          <t>26Y</t>
        </is>
      </c>
      <c r="E368" t="inlineStr">
        <is>
          <t>EPS estimate FY2026</t>
        </is>
      </c>
      <c r="F368" s="53">
        <f>_xll.BDP("KMB US Equity","BEST_EPS","BEST_FPERIOD_OVERRIDE","26Y")</f>
        <v/>
      </c>
    </row>
    <row r="369">
      <c r="A369" t="inlineStr">
        <is>
          <t>KMB</t>
        </is>
      </c>
      <c r="B369" t="inlineStr">
        <is>
          <t>KMB US Equity</t>
        </is>
      </c>
      <c r="C369" t="inlineStr">
        <is>
          <t>BEST_SALES</t>
        </is>
      </c>
      <c r="D369" t="inlineStr">
        <is>
          <t>26Y</t>
        </is>
      </c>
      <c r="E369" t="inlineStr">
        <is>
          <t>Revenue estimate FY2026</t>
        </is>
      </c>
      <c r="F369" s="53">
        <f>_xll.BDP("KMB US Equity","BEST_SALES","BEST_FPERIOD_OVERRIDE","26Y")</f>
        <v/>
      </c>
    </row>
    <row r="370">
      <c r="A370" t="inlineStr">
        <is>
          <t>KMB</t>
        </is>
      </c>
      <c r="B370" t="inlineStr">
        <is>
          <t>KMB US Equity</t>
        </is>
      </c>
      <c r="C370" t="inlineStr">
        <is>
          <t>BEST_EBIT</t>
        </is>
      </c>
      <c r="D370" t="inlineStr">
        <is>
          <t>26Y</t>
        </is>
      </c>
      <c r="E370" t="inlineStr">
        <is>
          <t>EBIT estimate FY2026</t>
        </is>
      </c>
      <c r="F370" s="53">
        <f>_xll.BDP("KMB US Equity","BEST_EBIT","BEST_FPERIOD_OVERRIDE","26Y")</f>
        <v/>
      </c>
    </row>
    <row r="371">
      <c r="A371" t="inlineStr">
        <is>
          <t>KMB</t>
        </is>
      </c>
      <c r="B371" t="inlineStr">
        <is>
          <t>KMB US Equity</t>
        </is>
      </c>
      <c r="C371" t="inlineStr">
        <is>
          <t>BEST_EPS</t>
        </is>
      </c>
      <c r="D371" t="inlineStr">
        <is>
          <t>27Y</t>
        </is>
      </c>
      <c r="E371" t="inlineStr">
        <is>
          <t>EPS estimate FY2027</t>
        </is>
      </c>
      <c r="F371" s="53">
        <f>_xll.BDP("KMB US Equity","BEST_EPS","BEST_FPERIOD_OVERRIDE","27Y")</f>
        <v/>
      </c>
    </row>
    <row r="372">
      <c r="A372" t="inlineStr">
        <is>
          <t>KMB</t>
        </is>
      </c>
      <c r="B372" t="inlineStr">
        <is>
          <t>KMB US Equity</t>
        </is>
      </c>
      <c r="C372" t="inlineStr">
        <is>
          <t>BEST_SALES</t>
        </is>
      </c>
      <c r="D372" t="inlineStr">
        <is>
          <t>27Y</t>
        </is>
      </c>
      <c r="E372" t="inlineStr">
        <is>
          <t>Revenue estimate FY2027</t>
        </is>
      </c>
      <c r="F372" s="53">
        <f>_xll.BDP("KMB US Equity","BEST_SALES","BEST_FPERIOD_OVERRIDE","27Y")</f>
        <v/>
      </c>
    </row>
    <row r="373">
      <c r="A373" t="inlineStr">
        <is>
          <t>KMB</t>
        </is>
      </c>
      <c r="B373" t="inlineStr">
        <is>
          <t>KMB US Equity</t>
        </is>
      </c>
      <c r="C373" t="inlineStr">
        <is>
          <t>BEST_EBIT</t>
        </is>
      </c>
      <c r="D373" t="inlineStr">
        <is>
          <t>27Y</t>
        </is>
      </c>
      <c r="E373" t="inlineStr">
        <is>
          <t>EBIT estimate FY2027</t>
        </is>
      </c>
      <c r="F373" s="53">
        <f>_xll.BDP("KMB US Equity","BEST_EBIT","BEST_FPERIOD_OVERRIDE","27Y")</f>
        <v/>
      </c>
    </row>
    <row r="374">
      <c r="A374" t="inlineStr">
        <is>
          <t>KMB</t>
        </is>
      </c>
      <c r="B374" t="inlineStr">
        <is>
          <t>KMB US Equity</t>
        </is>
      </c>
      <c r="C374" t="inlineStr">
        <is>
          <t>BEST_EPS</t>
        </is>
      </c>
      <c r="D374" t="inlineStr">
        <is>
          <t>28Y</t>
        </is>
      </c>
      <c r="E374" t="inlineStr">
        <is>
          <t>EPS estimate FY2028</t>
        </is>
      </c>
      <c r="F374" s="53">
        <f>_xll.BDP("KMB US Equity","BEST_EPS","BEST_FPERIOD_OVERRIDE","28Y")</f>
        <v/>
      </c>
    </row>
    <row r="375">
      <c r="A375" t="inlineStr">
        <is>
          <t>KMB</t>
        </is>
      </c>
      <c r="B375" t="inlineStr">
        <is>
          <t>KMB US Equity</t>
        </is>
      </c>
      <c r="C375" t="inlineStr">
        <is>
          <t>BEST_SALES</t>
        </is>
      </c>
      <c r="D375" t="inlineStr">
        <is>
          <t>28Y</t>
        </is>
      </c>
      <c r="E375" t="inlineStr">
        <is>
          <t>Revenue estimate FY2028</t>
        </is>
      </c>
      <c r="F375" s="53">
        <f>_xll.BDP("KMB US Equity","BEST_SALES","BEST_FPERIOD_OVERRIDE","28Y")</f>
        <v/>
      </c>
    </row>
    <row r="376">
      <c r="A376" t="inlineStr">
        <is>
          <t>KMB</t>
        </is>
      </c>
      <c r="B376" t="inlineStr">
        <is>
          <t>KMB US Equity</t>
        </is>
      </c>
      <c r="C376" t="inlineStr">
        <is>
          <t>BEST_EBIT</t>
        </is>
      </c>
      <c r="D376" t="inlineStr">
        <is>
          <t>28Y</t>
        </is>
      </c>
      <c r="E376" t="inlineStr">
        <is>
          <t>EBIT estimate FY2028</t>
        </is>
      </c>
      <c r="F376" s="53">
        <f>_xll.BDP("KMB US Equity","BEST_EBIT","BEST_FPERIOD_OVERRIDE","28Y")</f>
        <v/>
      </c>
    </row>
    <row r="377">
      <c r="A377" t="inlineStr">
        <is>
          <t>HD</t>
        </is>
      </c>
      <c r="B377" t="inlineStr">
        <is>
          <t>HD US Equity</t>
        </is>
      </c>
      <c r="C377" t="inlineStr">
        <is>
          <t>PX_LAST</t>
        </is>
      </c>
      <c r="E377" t="inlineStr">
        <is>
          <t>Last price</t>
        </is>
      </c>
      <c r="F377" s="53">
        <f>_xll.BDP("HD US Equity","PX_LAST")</f>
        <v/>
      </c>
    </row>
    <row r="378">
      <c r="A378" t="inlineStr">
        <is>
          <t>HD</t>
        </is>
      </c>
      <c r="B378" t="inlineStr">
        <is>
          <t>HD US Equity</t>
        </is>
      </c>
      <c r="C378" t="inlineStr">
        <is>
          <t>CUR_MKT_CAP</t>
        </is>
      </c>
      <c r="E378" t="inlineStr">
        <is>
          <t>Market cap (raw)</t>
        </is>
      </c>
      <c r="F378" s="53">
        <f>_xll.BDP("HD US Equity","CUR_MKT_CAP")</f>
        <v/>
      </c>
    </row>
    <row r="379">
      <c r="A379" t="inlineStr">
        <is>
          <t>HD</t>
        </is>
      </c>
      <c r="B379" t="inlineStr">
        <is>
          <t>HD US Equity</t>
        </is>
      </c>
      <c r="C379" t="inlineStr">
        <is>
          <t>CHG_PCT_YTD</t>
        </is>
      </c>
      <c r="E379" t="inlineStr">
        <is>
          <t>YTD price change %</t>
        </is>
      </c>
      <c r="F379" s="53">
        <f>_xll.BDP("HD US Equity","CHG_PCT_YTD")</f>
        <v/>
      </c>
    </row>
    <row r="380">
      <c r="A380" t="inlineStr">
        <is>
          <t>HD</t>
        </is>
      </c>
      <c r="B380" t="inlineStr">
        <is>
          <t>HD US Equity</t>
        </is>
      </c>
      <c r="C380" t="inlineStr">
        <is>
          <t>NET_DEBT_TO_EBITDA</t>
        </is>
      </c>
      <c r="E380" t="inlineStr">
        <is>
          <t>Net debt / EBITDA</t>
        </is>
      </c>
      <c r="F380" s="53">
        <f>_xll.BDP("HD US Equity","NET_DEBT_TO_EBITDA")</f>
        <v/>
      </c>
    </row>
    <row r="381">
      <c r="A381" t="inlineStr">
        <is>
          <t>HD</t>
        </is>
      </c>
      <c r="B381" t="inlineStr">
        <is>
          <t>HD US Equity</t>
        </is>
      </c>
      <c r="C381" t="inlineStr">
        <is>
          <t>RETURN_ON_INV_CAPITAL</t>
        </is>
      </c>
      <c r="E381" t="inlineStr">
        <is>
          <t>ROIC (LTM)</t>
        </is>
      </c>
      <c r="F381" s="53">
        <f>_xll.BDP("HD US Equity","RETURN_ON_INV_CAPITAL")</f>
        <v/>
      </c>
    </row>
    <row r="382">
      <c r="A382" t="inlineStr">
        <is>
          <t>HD</t>
        </is>
      </c>
      <c r="B382" t="inlineStr">
        <is>
          <t>HD US Equity</t>
        </is>
      </c>
      <c r="C382" t="inlineStr">
        <is>
          <t>TRAIL_12M_OPER_INC</t>
        </is>
      </c>
      <c r="E382" t="inlineStr">
        <is>
          <t>LTM operating income</t>
        </is>
      </c>
      <c r="F382" s="53">
        <f>_xll.BDP("HD US Equity","TRAIL_12M_OPER_INC")</f>
        <v/>
      </c>
    </row>
    <row r="383">
      <c r="A383" t="inlineStr">
        <is>
          <t>HD</t>
        </is>
      </c>
      <c r="B383" t="inlineStr">
        <is>
          <t>HD US Equity</t>
        </is>
      </c>
      <c r="C383" t="inlineStr">
        <is>
          <t>TRAIL_12M_EBITDA</t>
        </is>
      </c>
      <c r="E383" t="inlineStr">
        <is>
          <t>LTM EBITDA</t>
        </is>
      </c>
      <c r="F383" s="53">
        <f>_xll.BDP("HD US Equity","TRAIL_12M_EBITDA")</f>
        <v/>
      </c>
    </row>
    <row r="384">
      <c r="A384" t="inlineStr">
        <is>
          <t>HD</t>
        </is>
      </c>
      <c r="B384" t="inlineStr">
        <is>
          <t>HD US Equity</t>
        </is>
      </c>
      <c r="C384" t="inlineStr">
        <is>
          <t>SHORT_AND_LONG_TERM_DEBT</t>
        </is>
      </c>
      <c r="E384" t="inlineStr">
        <is>
          <t>Total debt</t>
        </is>
      </c>
      <c r="F384" s="53">
        <f>_xll.BDP("HD US Equity","SHORT_AND_LONG_TERM_DEBT")</f>
        <v/>
      </c>
    </row>
    <row r="385">
      <c r="A385" t="inlineStr">
        <is>
          <t>HD</t>
        </is>
      </c>
      <c r="B385" t="inlineStr">
        <is>
          <t>HD US Equity</t>
        </is>
      </c>
      <c r="C385" t="inlineStr">
        <is>
          <t>TOTAL_EQUITY</t>
        </is>
      </c>
      <c r="E385" t="inlineStr">
        <is>
          <t>Total equity</t>
        </is>
      </c>
      <c r="F385" s="53">
        <f>_xll.BDP("HD US Equity","TOTAL_EQUITY")</f>
        <v/>
      </c>
    </row>
    <row r="386">
      <c r="A386" t="inlineStr">
        <is>
          <t>HD</t>
        </is>
      </c>
      <c r="B386" t="inlineStr">
        <is>
          <t>HD US Equity</t>
        </is>
      </c>
      <c r="C386" t="inlineStr">
        <is>
          <t>BS_CASH_NEAR_CASH_ITEM</t>
        </is>
      </c>
      <c r="E386" t="inlineStr">
        <is>
          <t>Cash &amp; equivalents</t>
        </is>
      </c>
      <c r="F386" s="53">
        <f>_xll.BDP("HD US Equity","BS_CASH_NEAR_CASH_ITEM")</f>
        <v/>
      </c>
    </row>
    <row r="387">
      <c r="A387" t="inlineStr">
        <is>
          <t>HD</t>
        </is>
      </c>
      <c r="B387" t="inlineStr">
        <is>
          <t>HD US Equity</t>
        </is>
      </c>
      <c r="C387" t="inlineStr">
        <is>
          <t>BEST_EPS</t>
        </is>
      </c>
      <c r="D387" t="inlineStr">
        <is>
          <t>24Y</t>
        </is>
      </c>
      <c r="E387" t="inlineStr">
        <is>
          <t>EPS estimate FY2024</t>
        </is>
      </c>
      <c r="F387" s="53">
        <f>_xll.BDP("HD US Equity","BEST_EPS","BEST_FPERIOD_OVERRIDE","24Y")</f>
        <v/>
      </c>
    </row>
    <row r="388">
      <c r="A388" t="inlineStr">
        <is>
          <t>HD</t>
        </is>
      </c>
      <c r="B388" t="inlineStr">
        <is>
          <t>HD US Equity</t>
        </is>
      </c>
      <c r="C388" t="inlineStr">
        <is>
          <t>BEST_SALES</t>
        </is>
      </c>
      <c r="D388" t="inlineStr">
        <is>
          <t>24Y</t>
        </is>
      </c>
      <c r="E388" t="inlineStr">
        <is>
          <t>Revenue estimate FY2024</t>
        </is>
      </c>
      <c r="F388" s="53">
        <f>_xll.BDP("HD US Equity","BEST_SALES","BEST_FPERIOD_OVERRIDE","24Y")</f>
        <v/>
      </c>
    </row>
    <row r="389">
      <c r="A389" t="inlineStr">
        <is>
          <t>HD</t>
        </is>
      </c>
      <c r="B389" t="inlineStr">
        <is>
          <t>HD US Equity</t>
        </is>
      </c>
      <c r="C389" t="inlineStr">
        <is>
          <t>BEST_EBIT</t>
        </is>
      </c>
      <c r="D389" t="inlineStr">
        <is>
          <t>24Y</t>
        </is>
      </c>
      <c r="E389" t="inlineStr">
        <is>
          <t>EBIT estimate FY2024</t>
        </is>
      </c>
      <c r="F389" s="53">
        <f>_xll.BDP("HD US Equity","BEST_EBIT","BEST_FPERIOD_OVERRIDE","24Y")</f>
        <v/>
      </c>
    </row>
    <row r="390">
      <c r="A390" t="inlineStr">
        <is>
          <t>HD</t>
        </is>
      </c>
      <c r="B390" t="inlineStr">
        <is>
          <t>HD US Equity</t>
        </is>
      </c>
      <c r="C390" t="inlineStr">
        <is>
          <t>BEST_EPS</t>
        </is>
      </c>
      <c r="D390" t="inlineStr">
        <is>
          <t>25Y</t>
        </is>
      </c>
      <c r="E390" t="inlineStr">
        <is>
          <t>EPS estimate FY2025</t>
        </is>
      </c>
      <c r="F390" s="53">
        <f>_xll.BDP("HD US Equity","BEST_EPS","BEST_FPERIOD_OVERRIDE","25Y")</f>
        <v/>
      </c>
    </row>
    <row r="391">
      <c r="A391" t="inlineStr">
        <is>
          <t>HD</t>
        </is>
      </c>
      <c r="B391" t="inlineStr">
        <is>
          <t>HD US Equity</t>
        </is>
      </c>
      <c r="C391" t="inlineStr">
        <is>
          <t>BEST_SALES</t>
        </is>
      </c>
      <c r="D391" t="inlineStr">
        <is>
          <t>25Y</t>
        </is>
      </c>
      <c r="E391" t="inlineStr">
        <is>
          <t>Revenue estimate FY2025</t>
        </is>
      </c>
      <c r="F391" s="53">
        <f>_xll.BDP("HD US Equity","BEST_SALES","BEST_FPERIOD_OVERRIDE","25Y")</f>
        <v/>
      </c>
    </row>
    <row r="392">
      <c r="A392" t="inlineStr">
        <is>
          <t>HD</t>
        </is>
      </c>
      <c r="B392" t="inlineStr">
        <is>
          <t>HD US Equity</t>
        </is>
      </c>
      <c r="C392" t="inlineStr">
        <is>
          <t>BEST_EBIT</t>
        </is>
      </c>
      <c r="D392" t="inlineStr">
        <is>
          <t>25Y</t>
        </is>
      </c>
      <c r="E392" t="inlineStr">
        <is>
          <t>EBIT estimate FY2025</t>
        </is>
      </c>
      <c r="F392" s="53">
        <f>_xll.BDP("HD US Equity","BEST_EBIT","BEST_FPERIOD_OVERRIDE","25Y")</f>
        <v/>
      </c>
    </row>
    <row r="393">
      <c r="A393" t="inlineStr">
        <is>
          <t>HD</t>
        </is>
      </c>
      <c r="B393" t="inlineStr">
        <is>
          <t>HD US Equity</t>
        </is>
      </c>
      <c r="C393" t="inlineStr">
        <is>
          <t>BEST_EPS</t>
        </is>
      </c>
      <c r="D393" t="inlineStr">
        <is>
          <t>26Y</t>
        </is>
      </c>
      <c r="E393" t="inlineStr">
        <is>
          <t>EPS estimate FY2026</t>
        </is>
      </c>
      <c r="F393" s="53">
        <f>_xll.BDP("HD US Equity","BEST_EPS","BEST_FPERIOD_OVERRIDE","26Y")</f>
        <v/>
      </c>
    </row>
    <row r="394">
      <c r="A394" t="inlineStr">
        <is>
          <t>HD</t>
        </is>
      </c>
      <c r="B394" t="inlineStr">
        <is>
          <t>HD US Equity</t>
        </is>
      </c>
      <c r="C394" t="inlineStr">
        <is>
          <t>BEST_SALES</t>
        </is>
      </c>
      <c r="D394" t="inlineStr">
        <is>
          <t>26Y</t>
        </is>
      </c>
      <c r="E394" t="inlineStr">
        <is>
          <t>Revenue estimate FY2026</t>
        </is>
      </c>
      <c r="F394" s="53">
        <f>_xll.BDP("HD US Equity","BEST_SALES","BEST_FPERIOD_OVERRIDE","26Y")</f>
        <v/>
      </c>
    </row>
    <row r="395">
      <c r="A395" t="inlineStr">
        <is>
          <t>HD</t>
        </is>
      </c>
      <c r="B395" t="inlineStr">
        <is>
          <t>HD US Equity</t>
        </is>
      </c>
      <c r="C395" t="inlineStr">
        <is>
          <t>BEST_EBIT</t>
        </is>
      </c>
      <c r="D395" t="inlineStr">
        <is>
          <t>26Y</t>
        </is>
      </c>
      <c r="E395" t="inlineStr">
        <is>
          <t>EBIT estimate FY2026</t>
        </is>
      </c>
      <c r="F395" s="53">
        <f>_xll.BDP("HD US Equity","BEST_EBIT","BEST_FPERIOD_OVERRIDE","26Y")</f>
        <v/>
      </c>
    </row>
    <row r="396">
      <c r="A396" t="inlineStr">
        <is>
          <t>HD</t>
        </is>
      </c>
      <c r="B396" t="inlineStr">
        <is>
          <t>HD US Equity</t>
        </is>
      </c>
      <c r="C396" t="inlineStr">
        <is>
          <t>BEST_EPS</t>
        </is>
      </c>
      <c r="D396" t="inlineStr">
        <is>
          <t>27Y</t>
        </is>
      </c>
      <c r="E396" t="inlineStr">
        <is>
          <t>EPS estimate FY2027</t>
        </is>
      </c>
      <c r="F396" s="53">
        <f>_xll.BDP("HD US Equity","BEST_EPS","BEST_FPERIOD_OVERRIDE","27Y")</f>
        <v/>
      </c>
    </row>
    <row r="397">
      <c r="A397" t="inlineStr">
        <is>
          <t>HD</t>
        </is>
      </c>
      <c r="B397" t="inlineStr">
        <is>
          <t>HD US Equity</t>
        </is>
      </c>
      <c r="C397" t="inlineStr">
        <is>
          <t>BEST_SALES</t>
        </is>
      </c>
      <c r="D397" t="inlineStr">
        <is>
          <t>27Y</t>
        </is>
      </c>
      <c r="E397" t="inlineStr">
        <is>
          <t>Revenue estimate FY2027</t>
        </is>
      </c>
      <c r="F397" s="53">
        <f>_xll.BDP("HD US Equity","BEST_SALES","BEST_FPERIOD_OVERRIDE","27Y")</f>
        <v/>
      </c>
    </row>
    <row r="398">
      <c r="A398" t="inlineStr">
        <is>
          <t>HD</t>
        </is>
      </c>
      <c r="B398" t="inlineStr">
        <is>
          <t>HD US Equity</t>
        </is>
      </c>
      <c r="C398" t="inlineStr">
        <is>
          <t>BEST_EBIT</t>
        </is>
      </c>
      <c r="D398" t="inlineStr">
        <is>
          <t>27Y</t>
        </is>
      </c>
      <c r="E398" t="inlineStr">
        <is>
          <t>EBIT estimate FY2027</t>
        </is>
      </c>
      <c r="F398" s="53">
        <f>_xll.BDP("HD US Equity","BEST_EBIT","BEST_FPERIOD_OVERRIDE","27Y")</f>
        <v/>
      </c>
    </row>
    <row r="399">
      <c r="A399" t="inlineStr">
        <is>
          <t>HD</t>
        </is>
      </c>
      <c r="B399" t="inlineStr">
        <is>
          <t>HD US Equity</t>
        </is>
      </c>
      <c r="C399" t="inlineStr">
        <is>
          <t>BEST_EPS</t>
        </is>
      </c>
      <c r="D399" t="inlineStr">
        <is>
          <t>28Y</t>
        </is>
      </c>
      <c r="E399" t="inlineStr">
        <is>
          <t>EPS estimate FY2028</t>
        </is>
      </c>
      <c r="F399" s="53">
        <f>_xll.BDP("HD US Equity","BEST_EPS","BEST_FPERIOD_OVERRIDE","28Y")</f>
        <v/>
      </c>
    </row>
    <row r="400">
      <c r="A400" t="inlineStr">
        <is>
          <t>HD</t>
        </is>
      </c>
      <c r="B400" t="inlineStr">
        <is>
          <t>HD US Equity</t>
        </is>
      </c>
      <c r="C400" t="inlineStr">
        <is>
          <t>BEST_SALES</t>
        </is>
      </c>
      <c r="D400" t="inlineStr">
        <is>
          <t>28Y</t>
        </is>
      </c>
      <c r="E400" t="inlineStr">
        <is>
          <t>Revenue estimate FY2028</t>
        </is>
      </c>
      <c r="F400" s="53">
        <f>_xll.BDP("HD US Equity","BEST_SALES","BEST_FPERIOD_OVERRIDE","28Y")</f>
        <v/>
      </c>
    </row>
    <row r="401">
      <c r="A401" t="inlineStr">
        <is>
          <t>HD</t>
        </is>
      </c>
      <c r="B401" t="inlineStr">
        <is>
          <t>HD US Equity</t>
        </is>
      </c>
      <c r="C401" t="inlineStr">
        <is>
          <t>BEST_EBIT</t>
        </is>
      </c>
      <c r="D401" t="inlineStr">
        <is>
          <t>28Y</t>
        </is>
      </c>
      <c r="E401" t="inlineStr">
        <is>
          <t>EBIT estimate FY2028</t>
        </is>
      </c>
      <c r="F401" s="53">
        <f>_xll.BDP("HD US Equity","BEST_EBIT","BEST_FPERIOD_OVERRIDE","28Y")</f>
        <v/>
      </c>
    </row>
    <row r="402">
      <c r="A402" t="inlineStr">
        <is>
          <t>WMT</t>
        </is>
      </c>
      <c r="B402" t="inlineStr">
        <is>
          <t>WMT US Equity</t>
        </is>
      </c>
      <c r="C402" t="inlineStr">
        <is>
          <t>PX_LAST</t>
        </is>
      </c>
      <c r="E402" t="inlineStr">
        <is>
          <t>Last price</t>
        </is>
      </c>
      <c r="F402" s="53">
        <f>_xll.BDP("WMT US Equity","PX_LAST")</f>
        <v/>
      </c>
    </row>
    <row r="403">
      <c r="A403" t="inlineStr">
        <is>
          <t>WMT</t>
        </is>
      </c>
      <c r="B403" t="inlineStr">
        <is>
          <t>WMT US Equity</t>
        </is>
      </c>
      <c r="C403" t="inlineStr">
        <is>
          <t>CUR_MKT_CAP</t>
        </is>
      </c>
      <c r="E403" t="inlineStr">
        <is>
          <t>Market cap (raw)</t>
        </is>
      </c>
      <c r="F403" s="53">
        <f>_xll.BDP("WMT US Equity","CUR_MKT_CAP")</f>
        <v/>
      </c>
    </row>
    <row r="404">
      <c r="A404" t="inlineStr">
        <is>
          <t>WMT</t>
        </is>
      </c>
      <c r="B404" t="inlineStr">
        <is>
          <t>WMT US Equity</t>
        </is>
      </c>
      <c r="C404" t="inlineStr">
        <is>
          <t>CHG_PCT_YTD</t>
        </is>
      </c>
      <c r="E404" t="inlineStr">
        <is>
          <t>YTD price change %</t>
        </is>
      </c>
      <c r="F404" s="53">
        <f>_xll.BDP("WMT US Equity","CHG_PCT_YTD")</f>
        <v/>
      </c>
    </row>
    <row r="405">
      <c r="A405" t="inlineStr">
        <is>
          <t>WMT</t>
        </is>
      </c>
      <c r="B405" t="inlineStr">
        <is>
          <t>WMT US Equity</t>
        </is>
      </c>
      <c r="C405" t="inlineStr">
        <is>
          <t>NET_DEBT_TO_EBITDA</t>
        </is>
      </c>
      <c r="E405" t="inlineStr">
        <is>
          <t>Net debt / EBITDA</t>
        </is>
      </c>
      <c r="F405" s="53">
        <f>_xll.BDP("WMT US Equity","NET_DEBT_TO_EBITDA")</f>
        <v/>
      </c>
    </row>
    <row r="406">
      <c r="A406" t="inlineStr">
        <is>
          <t>WMT</t>
        </is>
      </c>
      <c r="B406" t="inlineStr">
        <is>
          <t>WMT US Equity</t>
        </is>
      </c>
      <c r="C406" t="inlineStr">
        <is>
          <t>RETURN_ON_INV_CAPITAL</t>
        </is>
      </c>
      <c r="E406" t="inlineStr">
        <is>
          <t>ROIC (LTM)</t>
        </is>
      </c>
      <c r="F406" s="53">
        <f>_xll.BDP("WMT US Equity","RETURN_ON_INV_CAPITAL")</f>
        <v/>
      </c>
    </row>
    <row r="407">
      <c r="A407" t="inlineStr">
        <is>
          <t>WMT</t>
        </is>
      </c>
      <c r="B407" t="inlineStr">
        <is>
          <t>WMT US Equity</t>
        </is>
      </c>
      <c r="C407" t="inlineStr">
        <is>
          <t>TRAIL_12M_OPER_INC</t>
        </is>
      </c>
      <c r="E407" t="inlineStr">
        <is>
          <t>LTM operating income</t>
        </is>
      </c>
      <c r="F407" s="53">
        <f>_xll.BDP("WMT US Equity","TRAIL_12M_OPER_INC")</f>
        <v/>
      </c>
    </row>
    <row r="408">
      <c r="A408" t="inlineStr">
        <is>
          <t>WMT</t>
        </is>
      </c>
      <c r="B408" t="inlineStr">
        <is>
          <t>WMT US Equity</t>
        </is>
      </c>
      <c r="C408" t="inlineStr">
        <is>
          <t>TRAIL_12M_EBITDA</t>
        </is>
      </c>
      <c r="E408" t="inlineStr">
        <is>
          <t>LTM EBITDA</t>
        </is>
      </c>
      <c r="F408" s="53">
        <f>_xll.BDP("WMT US Equity","TRAIL_12M_EBITDA")</f>
        <v/>
      </c>
    </row>
    <row r="409">
      <c r="A409" t="inlineStr">
        <is>
          <t>WMT</t>
        </is>
      </c>
      <c r="B409" t="inlineStr">
        <is>
          <t>WMT US Equity</t>
        </is>
      </c>
      <c r="C409" t="inlineStr">
        <is>
          <t>SHORT_AND_LONG_TERM_DEBT</t>
        </is>
      </c>
      <c r="E409" t="inlineStr">
        <is>
          <t>Total debt</t>
        </is>
      </c>
      <c r="F409" s="53">
        <f>_xll.BDP("WMT US Equity","SHORT_AND_LONG_TERM_DEBT")</f>
        <v/>
      </c>
    </row>
    <row r="410">
      <c r="A410" t="inlineStr">
        <is>
          <t>WMT</t>
        </is>
      </c>
      <c r="B410" t="inlineStr">
        <is>
          <t>WMT US Equity</t>
        </is>
      </c>
      <c r="C410" t="inlineStr">
        <is>
          <t>TOTAL_EQUITY</t>
        </is>
      </c>
      <c r="E410" t="inlineStr">
        <is>
          <t>Total equity</t>
        </is>
      </c>
      <c r="F410" s="53">
        <f>_xll.BDP("WMT US Equity","TOTAL_EQUITY")</f>
        <v/>
      </c>
    </row>
    <row r="411">
      <c r="A411" t="inlineStr">
        <is>
          <t>WMT</t>
        </is>
      </c>
      <c r="B411" t="inlineStr">
        <is>
          <t>WMT US Equity</t>
        </is>
      </c>
      <c r="C411" t="inlineStr">
        <is>
          <t>BS_CASH_NEAR_CASH_ITEM</t>
        </is>
      </c>
      <c r="E411" t="inlineStr">
        <is>
          <t>Cash &amp; equivalents</t>
        </is>
      </c>
      <c r="F411" s="53">
        <f>_xll.BDP("WMT US Equity","BS_CASH_NEAR_CASH_ITEM")</f>
        <v/>
      </c>
    </row>
    <row r="412">
      <c r="A412" t="inlineStr">
        <is>
          <t>WMT</t>
        </is>
      </c>
      <c r="B412" t="inlineStr">
        <is>
          <t>WMT US Equity</t>
        </is>
      </c>
      <c r="C412" t="inlineStr">
        <is>
          <t>BEST_EPS</t>
        </is>
      </c>
      <c r="D412" t="inlineStr">
        <is>
          <t>24Y</t>
        </is>
      </c>
      <c r="E412" t="inlineStr">
        <is>
          <t>EPS estimate FY2024</t>
        </is>
      </c>
      <c r="F412" s="53">
        <f>_xll.BDP("WMT US Equity","BEST_EPS","BEST_FPERIOD_OVERRIDE","24Y")</f>
        <v/>
      </c>
    </row>
    <row r="413">
      <c r="A413" t="inlineStr">
        <is>
          <t>WMT</t>
        </is>
      </c>
      <c r="B413" t="inlineStr">
        <is>
          <t>WMT US Equity</t>
        </is>
      </c>
      <c r="C413" t="inlineStr">
        <is>
          <t>BEST_SALES</t>
        </is>
      </c>
      <c r="D413" t="inlineStr">
        <is>
          <t>24Y</t>
        </is>
      </c>
      <c r="E413" t="inlineStr">
        <is>
          <t>Revenue estimate FY2024</t>
        </is>
      </c>
      <c r="F413" s="53">
        <f>_xll.BDP("WMT US Equity","BEST_SALES","BEST_FPERIOD_OVERRIDE","24Y")</f>
        <v/>
      </c>
    </row>
    <row r="414">
      <c r="A414" t="inlineStr">
        <is>
          <t>WMT</t>
        </is>
      </c>
      <c r="B414" t="inlineStr">
        <is>
          <t>WMT US Equity</t>
        </is>
      </c>
      <c r="C414" t="inlineStr">
        <is>
          <t>BEST_EBIT</t>
        </is>
      </c>
      <c r="D414" t="inlineStr">
        <is>
          <t>24Y</t>
        </is>
      </c>
      <c r="E414" t="inlineStr">
        <is>
          <t>EBIT estimate FY2024</t>
        </is>
      </c>
      <c r="F414" s="53">
        <f>_xll.BDP("WMT US Equity","BEST_EBIT","BEST_FPERIOD_OVERRIDE","24Y")</f>
        <v/>
      </c>
    </row>
    <row r="415">
      <c r="A415" t="inlineStr">
        <is>
          <t>WMT</t>
        </is>
      </c>
      <c r="B415" t="inlineStr">
        <is>
          <t>WMT US Equity</t>
        </is>
      </c>
      <c r="C415" t="inlineStr">
        <is>
          <t>BEST_EPS</t>
        </is>
      </c>
      <c r="D415" t="inlineStr">
        <is>
          <t>25Y</t>
        </is>
      </c>
      <c r="E415" t="inlineStr">
        <is>
          <t>EPS estimate FY2025</t>
        </is>
      </c>
      <c r="F415" s="53">
        <f>_xll.BDP("WMT US Equity","BEST_EPS","BEST_FPERIOD_OVERRIDE","25Y")</f>
        <v/>
      </c>
    </row>
    <row r="416">
      <c r="A416" t="inlineStr">
        <is>
          <t>WMT</t>
        </is>
      </c>
      <c r="B416" t="inlineStr">
        <is>
          <t>WMT US Equity</t>
        </is>
      </c>
      <c r="C416" t="inlineStr">
        <is>
          <t>BEST_SALES</t>
        </is>
      </c>
      <c r="D416" t="inlineStr">
        <is>
          <t>25Y</t>
        </is>
      </c>
      <c r="E416" t="inlineStr">
        <is>
          <t>Revenue estimate FY2025</t>
        </is>
      </c>
      <c r="F416" s="53">
        <f>_xll.BDP("WMT US Equity","BEST_SALES","BEST_FPERIOD_OVERRIDE","25Y")</f>
        <v/>
      </c>
    </row>
    <row r="417">
      <c r="A417" t="inlineStr">
        <is>
          <t>WMT</t>
        </is>
      </c>
      <c r="B417" t="inlineStr">
        <is>
          <t>WMT US Equity</t>
        </is>
      </c>
      <c r="C417" t="inlineStr">
        <is>
          <t>BEST_EBIT</t>
        </is>
      </c>
      <c r="D417" t="inlineStr">
        <is>
          <t>25Y</t>
        </is>
      </c>
      <c r="E417" t="inlineStr">
        <is>
          <t>EBIT estimate FY2025</t>
        </is>
      </c>
      <c r="F417" s="53">
        <f>_xll.BDP("WMT US Equity","BEST_EBIT","BEST_FPERIOD_OVERRIDE","25Y")</f>
        <v/>
      </c>
    </row>
    <row r="418">
      <c r="A418" t="inlineStr">
        <is>
          <t>WMT</t>
        </is>
      </c>
      <c r="B418" t="inlineStr">
        <is>
          <t>WMT US Equity</t>
        </is>
      </c>
      <c r="C418" t="inlineStr">
        <is>
          <t>BEST_EPS</t>
        </is>
      </c>
      <c r="D418" t="inlineStr">
        <is>
          <t>26Y</t>
        </is>
      </c>
      <c r="E418" t="inlineStr">
        <is>
          <t>EPS estimate FY2026</t>
        </is>
      </c>
      <c r="F418" s="53">
        <f>_xll.BDP("WMT US Equity","BEST_EPS","BEST_FPERIOD_OVERRIDE","26Y")</f>
        <v/>
      </c>
    </row>
    <row r="419">
      <c r="A419" t="inlineStr">
        <is>
          <t>WMT</t>
        </is>
      </c>
      <c r="B419" t="inlineStr">
        <is>
          <t>WMT US Equity</t>
        </is>
      </c>
      <c r="C419" t="inlineStr">
        <is>
          <t>BEST_SALES</t>
        </is>
      </c>
      <c r="D419" t="inlineStr">
        <is>
          <t>26Y</t>
        </is>
      </c>
      <c r="E419" t="inlineStr">
        <is>
          <t>Revenue estimate FY2026</t>
        </is>
      </c>
      <c r="F419" s="53">
        <f>_xll.BDP("WMT US Equity","BEST_SALES","BEST_FPERIOD_OVERRIDE","26Y")</f>
        <v/>
      </c>
    </row>
    <row r="420">
      <c r="A420" t="inlineStr">
        <is>
          <t>WMT</t>
        </is>
      </c>
      <c r="B420" t="inlineStr">
        <is>
          <t>WMT US Equity</t>
        </is>
      </c>
      <c r="C420" t="inlineStr">
        <is>
          <t>BEST_EBIT</t>
        </is>
      </c>
      <c r="D420" t="inlineStr">
        <is>
          <t>26Y</t>
        </is>
      </c>
      <c r="E420" t="inlineStr">
        <is>
          <t>EBIT estimate FY2026</t>
        </is>
      </c>
      <c r="F420" s="53">
        <f>_xll.BDP("WMT US Equity","BEST_EBIT","BEST_FPERIOD_OVERRIDE","26Y")</f>
        <v/>
      </c>
    </row>
    <row r="421">
      <c r="A421" t="inlineStr">
        <is>
          <t>WMT</t>
        </is>
      </c>
      <c r="B421" t="inlineStr">
        <is>
          <t>WMT US Equity</t>
        </is>
      </c>
      <c r="C421" t="inlineStr">
        <is>
          <t>BEST_EPS</t>
        </is>
      </c>
      <c r="D421" t="inlineStr">
        <is>
          <t>27Y</t>
        </is>
      </c>
      <c r="E421" t="inlineStr">
        <is>
          <t>EPS estimate FY2027</t>
        </is>
      </c>
      <c r="F421" s="53">
        <f>_xll.BDP("WMT US Equity","BEST_EPS","BEST_FPERIOD_OVERRIDE","27Y")</f>
        <v/>
      </c>
    </row>
    <row r="422">
      <c r="A422" t="inlineStr">
        <is>
          <t>WMT</t>
        </is>
      </c>
      <c r="B422" t="inlineStr">
        <is>
          <t>WMT US Equity</t>
        </is>
      </c>
      <c r="C422" t="inlineStr">
        <is>
          <t>BEST_SALES</t>
        </is>
      </c>
      <c r="D422" t="inlineStr">
        <is>
          <t>27Y</t>
        </is>
      </c>
      <c r="E422" t="inlineStr">
        <is>
          <t>Revenue estimate FY2027</t>
        </is>
      </c>
      <c r="F422" s="53">
        <f>_xll.BDP("WMT US Equity","BEST_SALES","BEST_FPERIOD_OVERRIDE","27Y")</f>
        <v/>
      </c>
    </row>
    <row r="423">
      <c r="A423" t="inlineStr">
        <is>
          <t>WMT</t>
        </is>
      </c>
      <c r="B423" t="inlineStr">
        <is>
          <t>WMT US Equity</t>
        </is>
      </c>
      <c r="C423" t="inlineStr">
        <is>
          <t>BEST_EBIT</t>
        </is>
      </c>
      <c r="D423" t="inlineStr">
        <is>
          <t>27Y</t>
        </is>
      </c>
      <c r="E423" t="inlineStr">
        <is>
          <t>EBIT estimate FY2027</t>
        </is>
      </c>
      <c r="F423" s="53">
        <f>_xll.BDP("WMT US Equity","BEST_EBIT","BEST_FPERIOD_OVERRIDE","27Y")</f>
        <v/>
      </c>
    </row>
    <row r="424">
      <c r="A424" t="inlineStr">
        <is>
          <t>WMT</t>
        </is>
      </c>
      <c r="B424" t="inlineStr">
        <is>
          <t>WMT US Equity</t>
        </is>
      </c>
      <c r="C424" t="inlineStr">
        <is>
          <t>BEST_EPS</t>
        </is>
      </c>
      <c r="D424" t="inlineStr">
        <is>
          <t>28Y</t>
        </is>
      </c>
      <c r="E424" t="inlineStr">
        <is>
          <t>EPS estimate FY2028</t>
        </is>
      </c>
      <c r="F424" s="53">
        <f>_xll.BDP("WMT US Equity","BEST_EPS","BEST_FPERIOD_OVERRIDE","28Y")</f>
        <v/>
      </c>
    </row>
    <row r="425">
      <c r="A425" t="inlineStr">
        <is>
          <t>WMT</t>
        </is>
      </c>
      <c r="B425" t="inlineStr">
        <is>
          <t>WMT US Equity</t>
        </is>
      </c>
      <c r="C425" t="inlineStr">
        <is>
          <t>BEST_SALES</t>
        </is>
      </c>
      <c r="D425" t="inlineStr">
        <is>
          <t>28Y</t>
        </is>
      </c>
      <c r="E425" t="inlineStr">
        <is>
          <t>Revenue estimate FY2028</t>
        </is>
      </c>
      <c r="F425" s="53">
        <f>_xll.BDP("WMT US Equity","BEST_SALES","BEST_FPERIOD_OVERRIDE","28Y")</f>
        <v/>
      </c>
    </row>
    <row r="426">
      <c r="A426" t="inlineStr">
        <is>
          <t>WMT</t>
        </is>
      </c>
      <c r="B426" t="inlineStr">
        <is>
          <t>WMT US Equity</t>
        </is>
      </c>
      <c r="C426" t="inlineStr">
        <is>
          <t>BEST_EBIT</t>
        </is>
      </c>
      <c r="D426" t="inlineStr">
        <is>
          <t>28Y</t>
        </is>
      </c>
      <c r="E426" t="inlineStr">
        <is>
          <t>EBIT estimate FY2028</t>
        </is>
      </c>
      <c r="F426" s="53">
        <f>_xll.BDP("WMT US Equity","BEST_EBIT","BEST_FPERIOD_OVERRIDE","28Y")</f>
        <v/>
      </c>
    </row>
    <row r="427">
      <c r="A427" t="inlineStr">
        <is>
          <t>ADP</t>
        </is>
      </c>
      <c r="B427" t="inlineStr">
        <is>
          <t>ADP US Equity</t>
        </is>
      </c>
      <c r="C427" t="inlineStr">
        <is>
          <t>PX_LAST</t>
        </is>
      </c>
      <c r="E427" t="inlineStr">
        <is>
          <t>Last price</t>
        </is>
      </c>
      <c r="F427" s="53">
        <f>_xll.BDP("ADP US Equity","PX_LAST")</f>
        <v/>
      </c>
    </row>
    <row r="428">
      <c r="A428" t="inlineStr">
        <is>
          <t>ADP</t>
        </is>
      </c>
      <c r="B428" t="inlineStr">
        <is>
          <t>ADP US Equity</t>
        </is>
      </c>
      <c r="C428" t="inlineStr">
        <is>
          <t>CUR_MKT_CAP</t>
        </is>
      </c>
      <c r="E428" t="inlineStr">
        <is>
          <t>Market cap (raw)</t>
        </is>
      </c>
      <c r="F428" s="53">
        <f>_xll.BDP("ADP US Equity","CUR_MKT_CAP")</f>
        <v/>
      </c>
    </row>
    <row r="429">
      <c r="A429" t="inlineStr">
        <is>
          <t>ADP</t>
        </is>
      </c>
      <c r="B429" t="inlineStr">
        <is>
          <t>ADP US Equity</t>
        </is>
      </c>
      <c r="C429" t="inlineStr">
        <is>
          <t>CHG_PCT_YTD</t>
        </is>
      </c>
      <c r="E429" t="inlineStr">
        <is>
          <t>YTD price change %</t>
        </is>
      </c>
      <c r="F429" s="53">
        <f>_xll.BDP("ADP US Equity","CHG_PCT_YTD")</f>
        <v/>
      </c>
    </row>
    <row r="430">
      <c r="A430" t="inlineStr">
        <is>
          <t>ADP</t>
        </is>
      </c>
      <c r="B430" t="inlineStr">
        <is>
          <t>ADP US Equity</t>
        </is>
      </c>
      <c r="C430" t="inlineStr">
        <is>
          <t>NET_DEBT_TO_EBITDA</t>
        </is>
      </c>
      <c r="E430" t="inlineStr">
        <is>
          <t>Net debt / EBITDA</t>
        </is>
      </c>
      <c r="F430" s="53">
        <f>_xll.BDP("ADP US Equity","NET_DEBT_TO_EBITDA")</f>
        <v/>
      </c>
    </row>
    <row r="431">
      <c r="A431" t="inlineStr">
        <is>
          <t>ADP</t>
        </is>
      </c>
      <c r="B431" t="inlineStr">
        <is>
          <t>ADP US Equity</t>
        </is>
      </c>
      <c r="C431" t="inlineStr">
        <is>
          <t>RETURN_ON_INV_CAPITAL</t>
        </is>
      </c>
      <c r="E431" t="inlineStr">
        <is>
          <t>ROIC (LTM)</t>
        </is>
      </c>
      <c r="F431" s="53">
        <f>_xll.BDP("ADP US Equity","RETURN_ON_INV_CAPITAL")</f>
        <v/>
      </c>
    </row>
    <row r="432">
      <c r="A432" t="inlineStr">
        <is>
          <t>ADP</t>
        </is>
      </c>
      <c r="B432" t="inlineStr">
        <is>
          <t>ADP US Equity</t>
        </is>
      </c>
      <c r="C432" t="inlineStr">
        <is>
          <t>TRAIL_12M_OPER_INC</t>
        </is>
      </c>
      <c r="E432" t="inlineStr">
        <is>
          <t>LTM operating income</t>
        </is>
      </c>
      <c r="F432" s="53">
        <f>_xll.BDP("ADP US Equity","TRAIL_12M_OPER_INC")</f>
        <v/>
      </c>
    </row>
    <row r="433">
      <c r="A433" t="inlineStr">
        <is>
          <t>ADP</t>
        </is>
      </c>
      <c r="B433" t="inlineStr">
        <is>
          <t>ADP US Equity</t>
        </is>
      </c>
      <c r="C433" t="inlineStr">
        <is>
          <t>TRAIL_12M_EBITDA</t>
        </is>
      </c>
      <c r="E433" t="inlineStr">
        <is>
          <t>LTM EBITDA</t>
        </is>
      </c>
      <c r="F433" s="53">
        <f>_xll.BDP("ADP US Equity","TRAIL_12M_EBITDA")</f>
        <v/>
      </c>
    </row>
    <row r="434">
      <c r="A434" t="inlineStr">
        <is>
          <t>ADP</t>
        </is>
      </c>
      <c r="B434" t="inlineStr">
        <is>
          <t>ADP US Equity</t>
        </is>
      </c>
      <c r="C434" t="inlineStr">
        <is>
          <t>SHORT_AND_LONG_TERM_DEBT</t>
        </is>
      </c>
      <c r="E434" t="inlineStr">
        <is>
          <t>Total debt</t>
        </is>
      </c>
      <c r="F434" s="53">
        <f>_xll.BDP("ADP US Equity","SHORT_AND_LONG_TERM_DEBT")</f>
        <v/>
      </c>
    </row>
    <row r="435">
      <c r="A435" t="inlineStr">
        <is>
          <t>ADP</t>
        </is>
      </c>
      <c r="B435" t="inlineStr">
        <is>
          <t>ADP US Equity</t>
        </is>
      </c>
      <c r="C435" t="inlineStr">
        <is>
          <t>TOTAL_EQUITY</t>
        </is>
      </c>
      <c r="E435" t="inlineStr">
        <is>
          <t>Total equity</t>
        </is>
      </c>
      <c r="F435" s="53">
        <f>_xll.BDP("ADP US Equity","TOTAL_EQUITY")</f>
        <v/>
      </c>
    </row>
    <row r="436">
      <c r="A436" t="inlineStr">
        <is>
          <t>ADP</t>
        </is>
      </c>
      <c r="B436" t="inlineStr">
        <is>
          <t>ADP US Equity</t>
        </is>
      </c>
      <c r="C436" t="inlineStr">
        <is>
          <t>BS_CASH_NEAR_CASH_ITEM</t>
        </is>
      </c>
      <c r="E436" t="inlineStr">
        <is>
          <t>Cash &amp; equivalents</t>
        </is>
      </c>
      <c r="F436" s="53">
        <f>_xll.BDP("ADP US Equity","BS_CASH_NEAR_CASH_ITEM")</f>
        <v/>
      </c>
    </row>
    <row r="437">
      <c r="A437" t="inlineStr">
        <is>
          <t>ADP</t>
        </is>
      </c>
      <c r="B437" t="inlineStr">
        <is>
          <t>ADP US Equity</t>
        </is>
      </c>
      <c r="C437" t="inlineStr">
        <is>
          <t>BEST_EPS</t>
        </is>
      </c>
      <c r="D437" t="inlineStr">
        <is>
          <t>24Y</t>
        </is>
      </c>
      <c r="E437" t="inlineStr">
        <is>
          <t>EPS estimate FY2024</t>
        </is>
      </c>
      <c r="F437" s="53">
        <f>_xll.BDP("ADP US Equity","BEST_EPS","BEST_FPERIOD_OVERRIDE","24Y")</f>
        <v/>
      </c>
    </row>
    <row r="438">
      <c r="A438" t="inlineStr">
        <is>
          <t>ADP</t>
        </is>
      </c>
      <c r="B438" t="inlineStr">
        <is>
          <t>ADP US Equity</t>
        </is>
      </c>
      <c r="C438" t="inlineStr">
        <is>
          <t>BEST_SALES</t>
        </is>
      </c>
      <c r="D438" t="inlineStr">
        <is>
          <t>24Y</t>
        </is>
      </c>
      <c r="E438" t="inlineStr">
        <is>
          <t>Revenue estimate FY2024</t>
        </is>
      </c>
      <c r="F438" s="53">
        <f>_xll.BDP("ADP US Equity","BEST_SALES","BEST_FPERIOD_OVERRIDE","24Y")</f>
        <v/>
      </c>
    </row>
    <row r="439">
      <c r="A439" t="inlineStr">
        <is>
          <t>ADP</t>
        </is>
      </c>
      <c r="B439" t="inlineStr">
        <is>
          <t>ADP US Equity</t>
        </is>
      </c>
      <c r="C439" t="inlineStr">
        <is>
          <t>BEST_EBIT</t>
        </is>
      </c>
      <c r="D439" t="inlineStr">
        <is>
          <t>24Y</t>
        </is>
      </c>
      <c r="E439" t="inlineStr">
        <is>
          <t>EBIT estimate FY2024</t>
        </is>
      </c>
      <c r="F439" s="53">
        <f>_xll.BDP("ADP US Equity","BEST_EBIT","BEST_FPERIOD_OVERRIDE","24Y")</f>
        <v/>
      </c>
    </row>
    <row r="440">
      <c r="A440" t="inlineStr">
        <is>
          <t>ADP</t>
        </is>
      </c>
      <c r="B440" t="inlineStr">
        <is>
          <t>ADP US Equity</t>
        </is>
      </c>
      <c r="C440" t="inlineStr">
        <is>
          <t>BEST_EPS</t>
        </is>
      </c>
      <c r="D440" t="inlineStr">
        <is>
          <t>25Y</t>
        </is>
      </c>
      <c r="E440" t="inlineStr">
        <is>
          <t>EPS estimate FY2025</t>
        </is>
      </c>
      <c r="F440" s="53">
        <f>_xll.BDP("ADP US Equity","BEST_EPS","BEST_FPERIOD_OVERRIDE","25Y")</f>
        <v/>
      </c>
    </row>
    <row r="441">
      <c r="A441" t="inlineStr">
        <is>
          <t>ADP</t>
        </is>
      </c>
      <c r="B441" t="inlineStr">
        <is>
          <t>ADP US Equity</t>
        </is>
      </c>
      <c r="C441" t="inlineStr">
        <is>
          <t>BEST_SALES</t>
        </is>
      </c>
      <c r="D441" t="inlineStr">
        <is>
          <t>25Y</t>
        </is>
      </c>
      <c r="E441" t="inlineStr">
        <is>
          <t>Revenue estimate FY2025</t>
        </is>
      </c>
      <c r="F441" s="53">
        <f>_xll.BDP("ADP US Equity","BEST_SALES","BEST_FPERIOD_OVERRIDE","25Y")</f>
        <v/>
      </c>
    </row>
    <row r="442">
      <c r="A442" t="inlineStr">
        <is>
          <t>ADP</t>
        </is>
      </c>
      <c r="B442" t="inlineStr">
        <is>
          <t>ADP US Equity</t>
        </is>
      </c>
      <c r="C442" t="inlineStr">
        <is>
          <t>BEST_EBIT</t>
        </is>
      </c>
      <c r="D442" t="inlineStr">
        <is>
          <t>25Y</t>
        </is>
      </c>
      <c r="E442" t="inlineStr">
        <is>
          <t>EBIT estimate FY2025</t>
        </is>
      </c>
      <c r="F442" s="53">
        <f>_xll.BDP("ADP US Equity","BEST_EBIT","BEST_FPERIOD_OVERRIDE","25Y")</f>
        <v/>
      </c>
    </row>
    <row r="443">
      <c r="A443" t="inlineStr">
        <is>
          <t>ADP</t>
        </is>
      </c>
      <c r="B443" t="inlineStr">
        <is>
          <t>ADP US Equity</t>
        </is>
      </c>
      <c r="C443" t="inlineStr">
        <is>
          <t>BEST_EPS</t>
        </is>
      </c>
      <c r="D443" t="inlineStr">
        <is>
          <t>26Y</t>
        </is>
      </c>
      <c r="E443" t="inlineStr">
        <is>
          <t>EPS estimate FY2026</t>
        </is>
      </c>
      <c r="F443" s="53">
        <f>_xll.BDP("ADP US Equity","BEST_EPS","BEST_FPERIOD_OVERRIDE","26Y")</f>
        <v/>
      </c>
    </row>
    <row r="444">
      <c r="A444" t="inlineStr">
        <is>
          <t>ADP</t>
        </is>
      </c>
      <c r="B444" t="inlineStr">
        <is>
          <t>ADP US Equity</t>
        </is>
      </c>
      <c r="C444" t="inlineStr">
        <is>
          <t>BEST_SALES</t>
        </is>
      </c>
      <c r="D444" t="inlineStr">
        <is>
          <t>26Y</t>
        </is>
      </c>
      <c r="E444" t="inlineStr">
        <is>
          <t>Revenue estimate FY2026</t>
        </is>
      </c>
      <c r="F444" s="53">
        <f>_xll.BDP("ADP US Equity","BEST_SALES","BEST_FPERIOD_OVERRIDE","26Y")</f>
        <v/>
      </c>
    </row>
    <row r="445">
      <c r="A445" t="inlineStr">
        <is>
          <t>ADP</t>
        </is>
      </c>
      <c r="B445" t="inlineStr">
        <is>
          <t>ADP US Equity</t>
        </is>
      </c>
      <c r="C445" t="inlineStr">
        <is>
          <t>BEST_EBIT</t>
        </is>
      </c>
      <c r="D445" t="inlineStr">
        <is>
          <t>26Y</t>
        </is>
      </c>
      <c r="E445" t="inlineStr">
        <is>
          <t>EBIT estimate FY2026</t>
        </is>
      </c>
      <c r="F445" s="53">
        <f>_xll.BDP("ADP US Equity","BEST_EBIT","BEST_FPERIOD_OVERRIDE","26Y")</f>
        <v/>
      </c>
    </row>
    <row r="446">
      <c r="A446" t="inlineStr">
        <is>
          <t>ADP</t>
        </is>
      </c>
      <c r="B446" t="inlineStr">
        <is>
          <t>ADP US Equity</t>
        </is>
      </c>
      <c r="C446" t="inlineStr">
        <is>
          <t>BEST_EPS</t>
        </is>
      </c>
      <c r="D446" t="inlineStr">
        <is>
          <t>27Y</t>
        </is>
      </c>
      <c r="E446" t="inlineStr">
        <is>
          <t>EPS estimate FY2027</t>
        </is>
      </c>
      <c r="F446" s="53">
        <f>_xll.BDP("ADP US Equity","BEST_EPS","BEST_FPERIOD_OVERRIDE","27Y")</f>
        <v/>
      </c>
    </row>
    <row r="447">
      <c r="A447" t="inlineStr">
        <is>
          <t>ADP</t>
        </is>
      </c>
      <c r="B447" t="inlineStr">
        <is>
          <t>ADP US Equity</t>
        </is>
      </c>
      <c r="C447" t="inlineStr">
        <is>
          <t>BEST_SALES</t>
        </is>
      </c>
      <c r="D447" t="inlineStr">
        <is>
          <t>27Y</t>
        </is>
      </c>
      <c r="E447" t="inlineStr">
        <is>
          <t>Revenue estimate FY2027</t>
        </is>
      </c>
      <c r="F447" s="53">
        <f>_xll.BDP("ADP US Equity","BEST_SALES","BEST_FPERIOD_OVERRIDE","27Y")</f>
        <v/>
      </c>
    </row>
    <row r="448">
      <c r="A448" t="inlineStr">
        <is>
          <t>ADP</t>
        </is>
      </c>
      <c r="B448" t="inlineStr">
        <is>
          <t>ADP US Equity</t>
        </is>
      </c>
      <c r="C448" t="inlineStr">
        <is>
          <t>BEST_EBIT</t>
        </is>
      </c>
      <c r="D448" t="inlineStr">
        <is>
          <t>27Y</t>
        </is>
      </c>
      <c r="E448" t="inlineStr">
        <is>
          <t>EBIT estimate FY2027</t>
        </is>
      </c>
      <c r="F448" s="53">
        <f>_xll.BDP("ADP US Equity","BEST_EBIT","BEST_FPERIOD_OVERRIDE","27Y")</f>
        <v/>
      </c>
    </row>
    <row r="449">
      <c r="A449" t="inlineStr">
        <is>
          <t>ADP</t>
        </is>
      </c>
      <c r="B449" t="inlineStr">
        <is>
          <t>ADP US Equity</t>
        </is>
      </c>
      <c r="C449" t="inlineStr">
        <is>
          <t>BEST_EPS</t>
        </is>
      </c>
      <c r="D449" t="inlineStr">
        <is>
          <t>28Y</t>
        </is>
      </c>
      <c r="E449" t="inlineStr">
        <is>
          <t>EPS estimate FY2028</t>
        </is>
      </c>
      <c r="F449" s="53">
        <f>_xll.BDP("ADP US Equity","BEST_EPS","BEST_FPERIOD_OVERRIDE","28Y")</f>
        <v/>
      </c>
    </row>
    <row r="450">
      <c r="A450" t="inlineStr">
        <is>
          <t>ADP</t>
        </is>
      </c>
      <c r="B450" t="inlineStr">
        <is>
          <t>ADP US Equity</t>
        </is>
      </c>
      <c r="C450" t="inlineStr">
        <is>
          <t>BEST_SALES</t>
        </is>
      </c>
      <c r="D450" t="inlineStr">
        <is>
          <t>28Y</t>
        </is>
      </c>
      <c r="E450" t="inlineStr">
        <is>
          <t>Revenue estimate FY2028</t>
        </is>
      </c>
      <c r="F450" s="53">
        <f>_xll.BDP("ADP US Equity","BEST_SALES","BEST_FPERIOD_OVERRIDE","28Y")</f>
        <v/>
      </c>
    </row>
    <row r="451">
      <c r="A451" t="inlineStr">
        <is>
          <t>ADP</t>
        </is>
      </c>
      <c r="B451" t="inlineStr">
        <is>
          <t>ADP US Equity</t>
        </is>
      </c>
      <c r="C451" t="inlineStr">
        <is>
          <t>BEST_EBIT</t>
        </is>
      </c>
      <c r="D451" t="inlineStr">
        <is>
          <t>28Y</t>
        </is>
      </c>
      <c r="E451" t="inlineStr">
        <is>
          <t>EBIT estimate FY2028</t>
        </is>
      </c>
      <c r="F451" s="53">
        <f>_xll.BDP("ADP US Equity","BEST_EBIT","BEST_FPERIOD_OVERRIDE","28Y")</f>
        <v/>
      </c>
    </row>
    <row r="452">
      <c r="A452" t="inlineStr">
        <is>
          <t>IBM</t>
        </is>
      </c>
      <c r="B452" t="inlineStr">
        <is>
          <t>IBM US Equity</t>
        </is>
      </c>
      <c r="C452" t="inlineStr">
        <is>
          <t>PX_LAST</t>
        </is>
      </c>
      <c r="E452" t="inlineStr">
        <is>
          <t>Last price</t>
        </is>
      </c>
      <c r="F452" s="53">
        <f>_xll.BDP("IBM US Equity","PX_LAST")</f>
        <v/>
      </c>
    </row>
    <row r="453">
      <c r="A453" t="inlineStr">
        <is>
          <t>IBM</t>
        </is>
      </c>
      <c r="B453" t="inlineStr">
        <is>
          <t>IBM US Equity</t>
        </is>
      </c>
      <c r="C453" t="inlineStr">
        <is>
          <t>CUR_MKT_CAP</t>
        </is>
      </c>
      <c r="E453" t="inlineStr">
        <is>
          <t>Market cap (raw)</t>
        </is>
      </c>
      <c r="F453" s="53">
        <f>_xll.BDP("IBM US Equity","CUR_MKT_CAP")</f>
        <v/>
      </c>
    </row>
    <row r="454">
      <c r="A454" t="inlineStr">
        <is>
          <t>IBM</t>
        </is>
      </c>
      <c r="B454" t="inlineStr">
        <is>
          <t>IBM US Equity</t>
        </is>
      </c>
      <c r="C454" t="inlineStr">
        <is>
          <t>CHG_PCT_YTD</t>
        </is>
      </c>
      <c r="E454" t="inlineStr">
        <is>
          <t>YTD price change %</t>
        </is>
      </c>
      <c r="F454" s="53">
        <f>_xll.BDP("IBM US Equity","CHG_PCT_YTD")</f>
        <v/>
      </c>
    </row>
    <row r="455">
      <c r="A455" t="inlineStr">
        <is>
          <t>IBM</t>
        </is>
      </c>
      <c r="B455" t="inlineStr">
        <is>
          <t>IBM US Equity</t>
        </is>
      </c>
      <c r="C455" t="inlineStr">
        <is>
          <t>NET_DEBT_TO_EBITDA</t>
        </is>
      </c>
      <c r="E455" t="inlineStr">
        <is>
          <t>Net debt / EBITDA</t>
        </is>
      </c>
      <c r="F455" s="53">
        <f>_xll.BDP("IBM US Equity","NET_DEBT_TO_EBITDA")</f>
        <v/>
      </c>
    </row>
    <row r="456">
      <c r="A456" t="inlineStr">
        <is>
          <t>IBM</t>
        </is>
      </c>
      <c r="B456" t="inlineStr">
        <is>
          <t>IBM US Equity</t>
        </is>
      </c>
      <c r="C456" t="inlineStr">
        <is>
          <t>RETURN_ON_INV_CAPITAL</t>
        </is>
      </c>
      <c r="E456" t="inlineStr">
        <is>
          <t>ROIC (LTM)</t>
        </is>
      </c>
      <c r="F456" s="53">
        <f>_xll.BDP("IBM US Equity","RETURN_ON_INV_CAPITAL")</f>
        <v/>
      </c>
    </row>
    <row r="457">
      <c r="A457" t="inlineStr">
        <is>
          <t>IBM</t>
        </is>
      </c>
      <c r="B457" t="inlineStr">
        <is>
          <t>IBM US Equity</t>
        </is>
      </c>
      <c r="C457" t="inlineStr">
        <is>
          <t>TRAIL_12M_OPER_INC</t>
        </is>
      </c>
      <c r="E457" t="inlineStr">
        <is>
          <t>LTM operating income</t>
        </is>
      </c>
      <c r="F457" s="53">
        <f>_xll.BDP("IBM US Equity","TRAIL_12M_OPER_INC")</f>
        <v/>
      </c>
    </row>
    <row r="458">
      <c r="A458" t="inlineStr">
        <is>
          <t>IBM</t>
        </is>
      </c>
      <c r="B458" t="inlineStr">
        <is>
          <t>IBM US Equity</t>
        </is>
      </c>
      <c r="C458" t="inlineStr">
        <is>
          <t>TRAIL_12M_EBITDA</t>
        </is>
      </c>
      <c r="E458" t="inlineStr">
        <is>
          <t>LTM EBITDA</t>
        </is>
      </c>
      <c r="F458" s="53">
        <f>_xll.BDP("IBM US Equity","TRAIL_12M_EBITDA")</f>
        <v/>
      </c>
    </row>
    <row r="459">
      <c r="A459" t="inlineStr">
        <is>
          <t>IBM</t>
        </is>
      </c>
      <c r="B459" t="inlineStr">
        <is>
          <t>IBM US Equity</t>
        </is>
      </c>
      <c r="C459" t="inlineStr">
        <is>
          <t>SHORT_AND_LONG_TERM_DEBT</t>
        </is>
      </c>
      <c r="E459" t="inlineStr">
        <is>
          <t>Total debt</t>
        </is>
      </c>
      <c r="F459" s="53">
        <f>_xll.BDP("IBM US Equity","SHORT_AND_LONG_TERM_DEBT")</f>
        <v/>
      </c>
    </row>
    <row r="460">
      <c r="A460" t="inlineStr">
        <is>
          <t>IBM</t>
        </is>
      </c>
      <c r="B460" t="inlineStr">
        <is>
          <t>IBM US Equity</t>
        </is>
      </c>
      <c r="C460" t="inlineStr">
        <is>
          <t>TOTAL_EQUITY</t>
        </is>
      </c>
      <c r="E460" t="inlineStr">
        <is>
          <t>Total equity</t>
        </is>
      </c>
      <c r="F460" s="53">
        <f>_xll.BDP("IBM US Equity","TOTAL_EQUITY")</f>
        <v/>
      </c>
    </row>
    <row r="461">
      <c r="A461" t="inlineStr">
        <is>
          <t>IBM</t>
        </is>
      </c>
      <c r="B461" t="inlineStr">
        <is>
          <t>IBM US Equity</t>
        </is>
      </c>
      <c r="C461" t="inlineStr">
        <is>
          <t>BS_CASH_NEAR_CASH_ITEM</t>
        </is>
      </c>
      <c r="E461" t="inlineStr">
        <is>
          <t>Cash &amp; equivalents</t>
        </is>
      </c>
      <c r="F461" s="53">
        <f>_xll.BDP("IBM US Equity","BS_CASH_NEAR_CASH_ITEM")</f>
        <v/>
      </c>
    </row>
    <row r="462">
      <c r="A462" t="inlineStr">
        <is>
          <t>IBM</t>
        </is>
      </c>
      <c r="B462" t="inlineStr">
        <is>
          <t>IBM US Equity</t>
        </is>
      </c>
      <c r="C462" t="inlineStr">
        <is>
          <t>BEST_EPS</t>
        </is>
      </c>
      <c r="D462" t="inlineStr">
        <is>
          <t>24Y</t>
        </is>
      </c>
      <c r="E462" t="inlineStr">
        <is>
          <t>EPS estimate FY2024</t>
        </is>
      </c>
      <c r="F462" s="53">
        <f>_xll.BDP("IBM US Equity","BEST_EPS","BEST_FPERIOD_OVERRIDE","24Y")</f>
        <v/>
      </c>
    </row>
    <row r="463">
      <c r="A463" t="inlineStr">
        <is>
          <t>IBM</t>
        </is>
      </c>
      <c r="B463" t="inlineStr">
        <is>
          <t>IBM US Equity</t>
        </is>
      </c>
      <c r="C463" t="inlineStr">
        <is>
          <t>BEST_SALES</t>
        </is>
      </c>
      <c r="D463" t="inlineStr">
        <is>
          <t>24Y</t>
        </is>
      </c>
      <c r="E463" t="inlineStr">
        <is>
          <t>Revenue estimate FY2024</t>
        </is>
      </c>
      <c r="F463" s="53">
        <f>_xll.BDP("IBM US Equity","BEST_SALES","BEST_FPERIOD_OVERRIDE","24Y")</f>
        <v/>
      </c>
    </row>
    <row r="464">
      <c r="A464" t="inlineStr">
        <is>
          <t>IBM</t>
        </is>
      </c>
      <c r="B464" t="inlineStr">
        <is>
          <t>IBM US Equity</t>
        </is>
      </c>
      <c r="C464" t="inlineStr">
        <is>
          <t>BEST_EBIT</t>
        </is>
      </c>
      <c r="D464" t="inlineStr">
        <is>
          <t>24Y</t>
        </is>
      </c>
      <c r="E464" t="inlineStr">
        <is>
          <t>EBIT estimate FY2024</t>
        </is>
      </c>
      <c r="F464" s="53">
        <f>_xll.BDP("IBM US Equity","BEST_EBIT","BEST_FPERIOD_OVERRIDE","24Y")</f>
        <v/>
      </c>
    </row>
    <row r="465">
      <c r="A465" t="inlineStr">
        <is>
          <t>IBM</t>
        </is>
      </c>
      <c r="B465" t="inlineStr">
        <is>
          <t>IBM US Equity</t>
        </is>
      </c>
      <c r="C465" t="inlineStr">
        <is>
          <t>BEST_EPS</t>
        </is>
      </c>
      <c r="D465" t="inlineStr">
        <is>
          <t>25Y</t>
        </is>
      </c>
      <c r="E465" t="inlineStr">
        <is>
          <t>EPS estimate FY2025</t>
        </is>
      </c>
      <c r="F465" s="53">
        <f>_xll.BDP("IBM US Equity","BEST_EPS","BEST_FPERIOD_OVERRIDE","25Y")</f>
        <v/>
      </c>
    </row>
    <row r="466">
      <c r="A466" t="inlineStr">
        <is>
          <t>IBM</t>
        </is>
      </c>
      <c r="B466" t="inlineStr">
        <is>
          <t>IBM US Equity</t>
        </is>
      </c>
      <c r="C466" t="inlineStr">
        <is>
          <t>BEST_SALES</t>
        </is>
      </c>
      <c r="D466" t="inlineStr">
        <is>
          <t>25Y</t>
        </is>
      </c>
      <c r="E466" t="inlineStr">
        <is>
          <t>Revenue estimate FY2025</t>
        </is>
      </c>
      <c r="F466" s="53">
        <f>_xll.BDP("IBM US Equity","BEST_SALES","BEST_FPERIOD_OVERRIDE","25Y")</f>
        <v/>
      </c>
    </row>
    <row r="467">
      <c r="A467" t="inlineStr">
        <is>
          <t>IBM</t>
        </is>
      </c>
      <c r="B467" t="inlineStr">
        <is>
          <t>IBM US Equity</t>
        </is>
      </c>
      <c r="C467" t="inlineStr">
        <is>
          <t>BEST_EBIT</t>
        </is>
      </c>
      <c r="D467" t="inlineStr">
        <is>
          <t>25Y</t>
        </is>
      </c>
      <c r="E467" t="inlineStr">
        <is>
          <t>EBIT estimate FY2025</t>
        </is>
      </c>
      <c r="F467" s="53">
        <f>_xll.BDP("IBM US Equity","BEST_EBIT","BEST_FPERIOD_OVERRIDE","25Y")</f>
        <v/>
      </c>
    </row>
    <row r="468">
      <c r="A468" t="inlineStr">
        <is>
          <t>IBM</t>
        </is>
      </c>
      <c r="B468" t="inlineStr">
        <is>
          <t>IBM US Equity</t>
        </is>
      </c>
      <c r="C468" t="inlineStr">
        <is>
          <t>BEST_EPS</t>
        </is>
      </c>
      <c r="D468" t="inlineStr">
        <is>
          <t>26Y</t>
        </is>
      </c>
      <c r="E468" t="inlineStr">
        <is>
          <t>EPS estimate FY2026</t>
        </is>
      </c>
      <c r="F468" s="53">
        <f>_xll.BDP("IBM US Equity","BEST_EPS","BEST_FPERIOD_OVERRIDE","26Y")</f>
        <v/>
      </c>
    </row>
    <row r="469">
      <c r="A469" t="inlineStr">
        <is>
          <t>IBM</t>
        </is>
      </c>
      <c r="B469" t="inlineStr">
        <is>
          <t>IBM US Equity</t>
        </is>
      </c>
      <c r="C469" t="inlineStr">
        <is>
          <t>BEST_SALES</t>
        </is>
      </c>
      <c r="D469" t="inlineStr">
        <is>
          <t>26Y</t>
        </is>
      </c>
      <c r="E469" t="inlineStr">
        <is>
          <t>Revenue estimate FY2026</t>
        </is>
      </c>
      <c r="F469" s="53">
        <f>_xll.BDP("IBM US Equity","BEST_SALES","BEST_FPERIOD_OVERRIDE","26Y")</f>
        <v/>
      </c>
    </row>
    <row r="470">
      <c r="A470" t="inlineStr">
        <is>
          <t>IBM</t>
        </is>
      </c>
      <c r="B470" t="inlineStr">
        <is>
          <t>IBM US Equity</t>
        </is>
      </c>
      <c r="C470" t="inlineStr">
        <is>
          <t>BEST_EBIT</t>
        </is>
      </c>
      <c r="D470" t="inlineStr">
        <is>
          <t>26Y</t>
        </is>
      </c>
      <c r="E470" t="inlineStr">
        <is>
          <t>EBIT estimate FY2026</t>
        </is>
      </c>
      <c r="F470" s="53">
        <f>_xll.BDP("IBM US Equity","BEST_EBIT","BEST_FPERIOD_OVERRIDE","26Y")</f>
        <v/>
      </c>
    </row>
    <row r="471">
      <c r="A471" t="inlineStr">
        <is>
          <t>IBM</t>
        </is>
      </c>
      <c r="B471" t="inlineStr">
        <is>
          <t>IBM US Equity</t>
        </is>
      </c>
      <c r="C471" t="inlineStr">
        <is>
          <t>BEST_EPS</t>
        </is>
      </c>
      <c r="D471" t="inlineStr">
        <is>
          <t>27Y</t>
        </is>
      </c>
      <c r="E471" t="inlineStr">
        <is>
          <t>EPS estimate FY2027</t>
        </is>
      </c>
      <c r="F471" s="53">
        <f>_xll.BDP("IBM US Equity","BEST_EPS","BEST_FPERIOD_OVERRIDE","27Y")</f>
        <v/>
      </c>
    </row>
    <row r="472">
      <c r="A472" t="inlineStr">
        <is>
          <t>IBM</t>
        </is>
      </c>
      <c r="B472" t="inlineStr">
        <is>
          <t>IBM US Equity</t>
        </is>
      </c>
      <c r="C472" t="inlineStr">
        <is>
          <t>BEST_SALES</t>
        </is>
      </c>
      <c r="D472" t="inlineStr">
        <is>
          <t>27Y</t>
        </is>
      </c>
      <c r="E472" t="inlineStr">
        <is>
          <t>Revenue estimate FY2027</t>
        </is>
      </c>
      <c r="F472" s="53">
        <f>_xll.BDP("IBM US Equity","BEST_SALES","BEST_FPERIOD_OVERRIDE","27Y")</f>
        <v/>
      </c>
    </row>
    <row r="473">
      <c r="A473" t="inlineStr">
        <is>
          <t>IBM</t>
        </is>
      </c>
      <c r="B473" t="inlineStr">
        <is>
          <t>IBM US Equity</t>
        </is>
      </c>
      <c r="C473" t="inlineStr">
        <is>
          <t>BEST_EBIT</t>
        </is>
      </c>
      <c r="D473" t="inlineStr">
        <is>
          <t>27Y</t>
        </is>
      </c>
      <c r="E473" t="inlineStr">
        <is>
          <t>EBIT estimate FY2027</t>
        </is>
      </c>
      <c r="F473" s="53">
        <f>_xll.BDP("IBM US Equity","BEST_EBIT","BEST_FPERIOD_OVERRIDE","27Y")</f>
        <v/>
      </c>
    </row>
    <row r="474">
      <c r="A474" t="inlineStr">
        <is>
          <t>IBM</t>
        </is>
      </c>
      <c r="B474" t="inlineStr">
        <is>
          <t>IBM US Equity</t>
        </is>
      </c>
      <c r="C474" t="inlineStr">
        <is>
          <t>BEST_EPS</t>
        </is>
      </c>
      <c r="D474" t="inlineStr">
        <is>
          <t>28Y</t>
        </is>
      </c>
      <c r="E474" t="inlineStr">
        <is>
          <t>EPS estimate FY2028</t>
        </is>
      </c>
      <c r="F474" s="53">
        <f>_xll.BDP("IBM US Equity","BEST_EPS","BEST_FPERIOD_OVERRIDE","28Y")</f>
        <v/>
      </c>
    </row>
    <row r="475">
      <c r="A475" t="inlineStr">
        <is>
          <t>IBM</t>
        </is>
      </c>
      <c r="B475" t="inlineStr">
        <is>
          <t>IBM US Equity</t>
        </is>
      </c>
      <c r="C475" t="inlineStr">
        <is>
          <t>BEST_SALES</t>
        </is>
      </c>
      <c r="D475" t="inlineStr">
        <is>
          <t>28Y</t>
        </is>
      </c>
      <c r="E475" t="inlineStr">
        <is>
          <t>Revenue estimate FY2028</t>
        </is>
      </c>
      <c r="F475" s="53">
        <f>_xll.BDP("IBM US Equity","BEST_SALES","BEST_FPERIOD_OVERRIDE","28Y")</f>
        <v/>
      </c>
    </row>
    <row r="476">
      <c r="A476" t="inlineStr">
        <is>
          <t>IBM</t>
        </is>
      </c>
      <c r="B476" t="inlineStr">
        <is>
          <t>IBM US Equity</t>
        </is>
      </c>
      <c r="C476" t="inlineStr">
        <is>
          <t>BEST_EBIT</t>
        </is>
      </c>
      <c r="D476" t="inlineStr">
        <is>
          <t>28Y</t>
        </is>
      </c>
      <c r="E476" t="inlineStr">
        <is>
          <t>EBIT estimate FY2028</t>
        </is>
      </c>
      <c r="F476" s="53">
        <f>_xll.BDP("IBM US Equity","BEST_EBIT","BEST_FPERIOD_OVERRIDE","28Y")</f>
        <v/>
      </c>
    </row>
    <row r="477">
      <c r="A477" t="inlineStr">
        <is>
          <t>MCD</t>
        </is>
      </c>
      <c r="B477" t="inlineStr">
        <is>
          <t>MCD US Equity</t>
        </is>
      </c>
      <c r="C477" t="inlineStr">
        <is>
          <t>PX_LAST</t>
        </is>
      </c>
      <c r="E477" t="inlineStr">
        <is>
          <t>Last price</t>
        </is>
      </c>
      <c r="F477" s="53">
        <f>_xll.BDP("MCD US Equity","PX_LAST")</f>
        <v/>
      </c>
    </row>
    <row r="478">
      <c r="A478" t="inlineStr">
        <is>
          <t>MCD</t>
        </is>
      </c>
      <c r="B478" t="inlineStr">
        <is>
          <t>MCD US Equity</t>
        </is>
      </c>
      <c r="C478" t="inlineStr">
        <is>
          <t>CUR_MKT_CAP</t>
        </is>
      </c>
      <c r="E478" t="inlineStr">
        <is>
          <t>Market cap (raw)</t>
        </is>
      </c>
      <c r="F478" s="53">
        <f>_xll.BDP("MCD US Equity","CUR_MKT_CAP")</f>
        <v/>
      </c>
    </row>
    <row r="479">
      <c r="A479" t="inlineStr">
        <is>
          <t>MCD</t>
        </is>
      </c>
      <c r="B479" t="inlineStr">
        <is>
          <t>MCD US Equity</t>
        </is>
      </c>
      <c r="C479" t="inlineStr">
        <is>
          <t>CHG_PCT_YTD</t>
        </is>
      </c>
      <c r="E479" t="inlineStr">
        <is>
          <t>YTD price change %</t>
        </is>
      </c>
      <c r="F479" s="53">
        <f>_xll.BDP("MCD US Equity","CHG_PCT_YTD")</f>
        <v/>
      </c>
    </row>
    <row r="480">
      <c r="A480" t="inlineStr">
        <is>
          <t>MCD</t>
        </is>
      </c>
      <c r="B480" t="inlineStr">
        <is>
          <t>MCD US Equity</t>
        </is>
      </c>
      <c r="C480" t="inlineStr">
        <is>
          <t>NET_DEBT_TO_EBITDA</t>
        </is>
      </c>
      <c r="E480" t="inlineStr">
        <is>
          <t>Net debt / EBITDA</t>
        </is>
      </c>
      <c r="F480" s="53">
        <f>_xll.BDP("MCD US Equity","NET_DEBT_TO_EBITDA")</f>
        <v/>
      </c>
    </row>
    <row r="481">
      <c r="A481" t="inlineStr">
        <is>
          <t>MCD</t>
        </is>
      </c>
      <c r="B481" t="inlineStr">
        <is>
          <t>MCD US Equity</t>
        </is>
      </c>
      <c r="C481" t="inlineStr">
        <is>
          <t>RETURN_ON_INV_CAPITAL</t>
        </is>
      </c>
      <c r="E481" t="inlineStr">
        <is>
          <t>ROIC (LTM)</t>
        </is>
      </c>
      <c r="F481" s="53">
        <f>_xll.BDP("MCD US Equity","RETURN_ON_INV_CAPITAL")</f>
        <v/>
      </c>
    </row>
    <row r="482">
      <c r="A482" t="inlineStr">
        <is>
          <t>MCD</t>
        </is>
      </c>
      <c r="B482" t="inlineStr">
        <is>
          <t>MCD US Equity</t>
        </is>
      </c>
      <c r="C482" t="inlineStr">
        <is>
          <t>TRAIL_12M_OPER_INC</t>
        </is>
      </c>
      <c r="E482" t="inlineStr">
        <is>
          <t>LTM operating income</t>
        </is>
      </c>
      <c r="F482" s="53">
        <f>_xll.BDP("MCD US Equity","TRAIL_12M_OPER_INC")</f>
        <v/>
      </c>
    </row>
    <row r="483">
      <c r="A483" t="inlineStr">
        <is>
          <t>MCD</t>
        </is>
      </c>
      <c r="B483" t="inlineStr">
        <is>
          <t>MCD US Equity</t>
        </is>
      </c>
      <c r="C483" t="inlineStr">
        <is>
          <t>TRAIL_12M_EBITDA</t>
        </is>
      </c>
      <c r="E483" t="inlineStr">
        <is>
          <t>LTM EBITDA</t>
        </is>
      </c>
      <c r="F483" s="53">
        <f>_xll.BDP("MCD US Equity","TRAIL_12M_EBITDA")</f>
        <v/>
      </c>
    </row>
    <row r="484">
      <c r="A484" t="inlineStr">
        <is>
          <t>MCD</t>
        </is>
      </c>
      <c r="B484" t="inlineStr">
        <is>
          <t>MCD US Equity</t>
        </is>
      </c>
      <c r="C484" t="inlineStr">
        <is>
          <t>SHORT_AND_LONG_TERM_DEBT</t>
        </is>
      </c>
      <c r="E484" t="inlineStr">
        <is>
          <t>Total debt</t>
        </is>
      </c>
      <c r="F484" s="53">
        <f>_xll.BDP("MCD US Equity","SHORT_AND_LONG_TERM_DEBT")</f>
        <v/>
      </c>
    </row>
    <row r="485">
      <c r="A485" t="inlineStr">
        <is>
          <t>MCD</t>
        </is>
      </c>
      <c r="B485" t="inlineStr">
        <is>
          <t>MCD US Equity</t>
        </is>
      </c>
      <c r="C485" t="inlineStr">
        <is>
          <t>TOTAL_EQUITY</t>
        </is>
      </c>
      <c r="E485" t="inlineStr">
        <is>
          <t>Total equity</t>
        </is>
      </c>
      <c r="F485" s="53">
        <f>_xll.BDP("MCD US Equity","TOTAL_EQUITY")</f>
        <v/>
      </c>
    </row>
    <row r="486">
      <c r="A486" t="inlineStr">
        <is>
          <t>MCD</t>
        </is>
      </c>
      <c r="B486" t="inlineStr">
        <is>
          <t>MCD US Equity</t>
        </is>
      </c>
      <c r="C486" t="inlineStr">
        <is>
          <t>BS_CASH_NEAR_CASH_ITEM</t>
        </is>
      </c>
      <c r="E486" t="inlineStr">
        <is>
          <t>Cash &amp; equivalents</t>
        </is>
      </c>
      <c r="F486" s="53">
        <f>_xll.BDP("MCD US Equity","BS_CASH_NEAR_CASH_ITEM")</f>
        <v/>
      </c>
    </row>
    <row r="487">
      <c r="A487" t="inlineStr">
        <is>
          <t>MCD</t>
        </is>
      </c>
      <c r="B487" t="inlineStr">
        <is>
          <t>MCD US Equity</t>
        </is>
      </c>
      <c r="C487" t="inlineStr">
        <is>
          <t>BEST_EPS</t>
        </is>
      </c>
      <c r="D487" t="inlineStr">
        <is>
          <t>24Y</t>
        </is>
      </c>
      <c r="E487" t="inlineStr">
        <is>
          <t>EPS estimate FY2024</t>
        </is>
      </c>
      <c r="F487" s="53">
        <f>_xll.BDP("MCD US Equity","BEST_EPS","BEST_FPERIOD_OVERRIDE","24Y")</f>
        <v/>
      </c>
    </row>
    <row r="488">
      <c r="A488" t="inlineStr">
        <is>
          <t>MCD</t>
        </is>
      </c>
      <c r="B488" t="inlineStr">
        <is>
          <t>MCD US Equity</t>
        </is>
      </c>
      <c r="C488" t="inlineStr">
        <is>
          <t>BEST_SALES</t>
        </is>
      </c>
      <c r="D488" t="inlineStr">
        <is>
          <t>24Y</t>
        </is>
      </c>
      <c r="E488" t="inlineStr">
        <is>
          <t>Revenue estimate FY2024</t>
        </is>
      </c>
      <c r="F488" s="53">
        <f>_xll.BDP("MCD US Equity","BEST_SALES","BEST_FPERIOD_OVERRIDE","24Y")</f>
        <v/>
      </c>
    </row>
    <row r="489">
      <c r="A489" t="inlineStr">
        <is>
          <t>MCD</t>
        </is>
      </c>
      <c r="B489" t="inlineStr">
        <is>
          <t>MCD US Equity</t>
        </is>
      </c>
      <c r="C489" t="inlineStr">
        <is>
          <t>BEST_EBIT</t>
        </is>
      </c>
      <c r="D489" t="inlineStr">
        <is>
          <t>24Y</t>
        </is>
      </c>
      <c r="E489" t="inlineStr">
        <is>
          <t>EBIT estimate FY2024</t>
        </is>
      </c>
      <c r="F489" s="53">
        <f>_xll.BDP("MCD US Equity","BEST_EBIT","BEST_FPERIOD_OVERRIDE","24Y")</f>
        <v/>
      </c>
    </row>
    <row r="490">
      <c r="A490" t="inlineStr">
        <is>
          <t>MCD</t>
        </is>
      </c>
      <c r="B490" t="inlineStr">
        <is>
          <t>MCD US Equity</t>
        </is>
      </c>
      <c r="C490" t="inlineStr">
        <is>
          <t>BEST_EPS</t>
        </is>
      </c>
      <c r="D490" t="inlineStr">
        <is>
          <t>25Y</t>
        </is>
      </c>
      <c r="E490" t="inlineStr">
        <is>
          <t>EPS estimate FY2025</t>
        </is>
      </c>
      <c r="F490" s="53">
        <f>_xll.BDP("MCD US Equity","BEST_EPS","BEST_FPERIOD_OVERRIDE","25Y")</f>
        <v/>
      </c>
    </row>
    <row r="491">
      <c r="A491" t="inlineStr">
        <is>
          <t>MCD</t>
        </is>
      </c>
      <c r="B491" t="inlineStr">
        <is>
          <t>MCD US Equity</t>
        </is>
      </c>
      <c r="C491" t="inlineStr">
        <is>
          <t>BEST_SALES</t>
        </is>
      </c>
      <c r="D491" t="inlineStr">
        <is>
          <t>25Y</t>
        </is>
      </c>
      <c r="E491" t="inlineStr">
        <is>
          <t>Revenue estimate FY2025</t>
        </is>
      </c>
      <c r="F491" s="53">
        <f>_xll.BDP("MCD US Equity","BEST_SALES","BEST_FPERIOD_OVERRIDE","25Y")</f>
        <v/>
      </c>
    </row>
    <row r="492">
      <c r="A492" t="inlineStr">
        <is>
          <t>MCD</t>
        </is>
      </c>
      <c r="B492" t="inlineStr">
        <is>
          <t>MCD US Equity</t>
        </is>
      </c>
      <c r="C492" t="inlineStr">
        <is>
          <t>BEST_EBIT</t>
        </is>
      </c>
      <c r="D492" t="inlineStr">
        <is>
          <t>25Y</t>
        </is>
      </c>
      <c r="E492" t="inlineStr">
        <is>
          <t>EBIT estimate FY2025</t>
        </is>
      </c>
      <c r="F492" s="53">
        <f>_xll.BDP("MCD US Equity","BEST_EBIT","BEST_FPERIOD_OVERRIDE","25Y")</f>
        <v/>
      </c>
    </row>
    <row r="493">
      <c r="A493" t="inlineStr">
        <is>
          <t>MCD</t>
        </is>
      </c>
      <c r="B493" t="inlineStr">
        <is>
          <t>MCD US Equity</t>
        </is>
      </c>
      <c r="C493" t="inlineStr">
        <is>
          <t>BEST_EPS</t>
        </is>
      </c>
      <c r="D493" t="inlineStr">
        <is>
          <t>26Y</t>
        </is>
      </c>
      <c r="E493" t="inlineStr">
        <is>
          <t>EPS estimate FY2026</t>
        </is>
      </c>
      <c r="F493" s="53">
        <f>_xll.BDP("MCD US Equity","BEST_EPS","BEST_FPERIOD_OVERRIDE","26Y")</f>
        <v/>
      </c>
    </row>
    <row r="494">
      <c r="A494" t="inlineStr">
        <is>
          <t>MCD</t>
        </is>
      </c>
      <c r="B494" t="inlineStr">
        <is>
          <t>MCD US Equity</t>
        </is>
      </c>
      <c r="C494" t="inlineStr">
        <is>
          <t>BEST_SALES</t>
        </is>
      </c>
      <c r="D494" t="inlineStr">
        <is>
          <t>26Y</t>
        </is>
      </c>
      <c r="E494" t="inlineStr">
        <is>
          <t>Revenue estimate FY2026</t>
        </is>
      </c>
      <c r="F494" s="53">
        <f>_xll.BDP("MCD US Equity","BEST_SALES","BEST_FPERIOD_OVERRIDE","26Y")</f>
        <v/>
      </c>
    </row>
    <row r="495">
      <c r="A495" t="inlineStr">
        <is>
          <t>MCD</t>
        </is>
      </c>
      <c r="B495" t="inlineStr">
        <is>
          <t>MCD US Equity</t>
        </is>
      </c>
      <c r="C495" t="inlineStr">
        <is>
          <t>BEST_EBIT</t>
        </is>
      </c>
      <c r="D495" t="inlineStr">
        <is>
          <t>26Y</t>
        </is>
      </c>
      <c r="E495" t="inlineStr">
        <is>
          <t>EBIT estimate FY2026</t>
        </is>
      </c>
      <c r="F495" s="53">
        <f>_xll.BDP("MCD US Equity","BEST_EBIT","BEST_FPERIOD_OVERRIDE","26Y")</f>
        <v/>
      </c>
    </row>
    <row r="496">
      <c r="A496" t="inlineStr">
        <is>
          <t>MCD</t>
        </is>
      </c>
      <c r="B496" t="inlineStr">
        <is>
          <t>MCD US Equity</t>
        </is>
      </c>
      <c r="C496" t="inlineStr">
        <is>
          <t>BEST_EPS</t>
        </is>
      </c>
      <c r="D496" t="inlineStr">
        <is>
          <t>27Y</t>
        </is>
      </c>
      <c r="E496" t="inlineStr">
        <is>
          <t>EPS estimate FY2027</t>
        </is>
      </c>
      <c r="F496" s="53">
        <f>_xll.BDP("MCD US Equity","BEST_EPS","BEST_FPERIOD_OVERRIDE","27Y")</f>
        <v/>
      </c>
    </row>
    <row r="497">
      <c r="A497" t="inlineStr">
        <is>
          <t>MCD</t>
        </is>
      </c>
      <c r="B497" t="inlineStr">
        <is>
          <t>MCD US Equity</t>
        </is>
      </c>
      <c r="C497" t="inlineStr">
        <is>
          <t>BEST_SALES</t>
        </is>
      </c>
      <c r="D497" t="inlineStr">
        <is>
          <t>27Y</t>
        </is>
      </c>
      <c r="E497" t="inlineStr">
        <is>
          <t>Revenue estimate FY2027</t>
        </is>
      </c>
      <c r="F497" s="53">
        <f>_xll.BDP("MCD US Equity","BEST_SALES","BEST_FPERIOD_OVERRIDE","27Y")</f>
        <v/>
      </c>
    </row>
    <row r="498">
      <c r="A498" t="inlineStr">
        <is>
          <t>MCD</t>
        </is>
      </c>
      <c r="B498" t="inlineStr">
        <is>
          <t>MCD US Equity</t>
        </is>
      </c>
      <c r="C498" t="inlineStr">
        <is>
          <t>BEST_EBIT</t>
        </is>
      </c>
      <c r="D498" t="inlineStr">
        <is>
          <t>27Y</t>
        </is>
      </c>
      <c r="E498" t="inlineStr">
        <is>
          <t>EBIT estimate FY2027</t>
        </is>
      </c>
      <c r="F498" s="53">
        <f>_xll.BDP("MCD US Equity","BEST_EBIT","BEST_FPERIOD_OVERRIDE","27Y")</f>
        <v/>
      </c>
    </row>
    <row r="499">
      <c r="A499" t="inlineStr">
        <is>
          <t>MCD</t>
        </is>
      </c>
      <c r="B499" t="inlineStr">
        <is>
          <t>MCD US Equity</t>
        </is>
      </c>
      <c r="C499" t="inlineStr">
        <is>
          <t>BEST_EPS</t>
        </is>
      </c>
      <c r="D499" t="inlineStr">
        <is>
          <t>28Y</t>
        </is>
      </c>
      <c r="E499" t="inlineStr">
        <is>
          <t>EPS estimate FY2028</t>
        </is>
      </c>
      <c r="F499" s="53">
        <f>_xll.BDP("MCD US Equity","BEST_EPS","BEST_FPERIOD_OVERRIDE","28Y")</f>
        <v/>
      </c>
    </row>
    <row r="500">
      <c r="A500" t="inlineStr">
        <is>
          <t>MCD</t>
        </is>
      </c>
      <c r="B500" t="inlineStr">
        <is>
          <t>MCD US Equity</t>
        </is>
      </c>
      <c r="C500" t="inlineStr">
        <is>
          <t>BEST_SALES</t>
        </is>
      </c>
      <c r="D500" t="inlineStr">
        <is>
          <t>28Y</t>
        </is>
      </c>
      <c r="E500" t="inlineStr">
        <is>
          <t>Revenue estimate FY2028</t>
        </is>
      </c>
      <c r="F500" s="53">
        <f>_xll.BDP("MCD US Equity","BEST_SALES","BEST_FPERIOD_OVERRIDE","28Y")</f>
        <v/>
      </c>
    </row>
    <row r="501">
      <c r="A501" t="inlineStr">
        <is>
          <t>MCD</t>
        </is>
      </c>
      <c r="B501" t="inlineStr">
        <is>
          <t>MCD US Equity</t>
        </is>
      </c>
      <c r="C501" t="inlineStr">
        <is>
          <t>BEST_EBIT</t>
        </is>
      </c>
      <c r="D501" t="inlineStr">
        <is>
          <t>28Y</t>
        </is>
      </c>
      <c r="E501" t="inlineStr">
        <is>
          <t>EBIT estimate FY2028</t>
        </is>
      </c>
      <c r="F501" s="53">
        <f>_xll.BDP("MCD US Equity","BEST_EBIT","BEST_FPERIOD_OVERRIDE","28Y")</f>
        <v/>
      </c>
    </row>
    <row r="502">
      <c r="A502" t="inlineStr">
        <is>
          <t>HON</t>
        </is>
      </c>
      <c r="B502" t="inlineStr">
        <is>
          <t>HON US Equity</t>
        </is>
      </c>
      <c r="C502" t="inlineStr">
        <is>
          <t>PX_LAST</t>
        </is>
      </c>
      <c r="E502" t="inlineStr">
        <is>
          <t>Last price</t>
        </is>
      </c>
      <c r="F502" s="53">
        <f>_xll.BDP("HON US Equity","PX_LAST")</f>
        <v/>
      </c>
    </row>
    <row r="503">
      <c r="A503" t="inlineStr">
        <is>
          <t>HON</t>
        </is>
      </c>
      <c r="B503" t="inlineStr">
        <is>
          <t>HON US Equity</t>
        </is>
      </c>
      <c r="C503" t="inlineStr">
        <is>
          <t>CUR_MKT_CAP</t>
        </is>
      </c>
      <c r="E503" t="inlineStr">
        <is>
          <t>Market cap (raw)</t>
        </is>
      </c>
      <c r="F503" s="53">
        <f>_xll.BDP("HON US Equity","CUR_MKT_CAP")</f>
        <v/>
      </c>
    </row>
    <row r="504">
      <c r="A504" t="inlineStr">
        <is>
          <t>HON</t>
        </is>
      </c>
      <c r="B504" t="inlineStr">
        <is>
          <t>HON US Equity</t>
        </is>
      </c>
      <c r="C504" t="inlineStr">
        <is>
          <t>CHG_PCT_YTD</t>
        </is>
      </c>
      <c r="E504" t="inlineStr">
        <is>
          <t>YTD price change %</t>
        </is>
      </c>
      <c r="F504" s="53">
        <f>_xll.BDP("HON US Equity","CHG_PCT_YTD")</f>
        <v/>
      </c>
    </row>
    <row r="505">
      <c r="A505" t="inlineStr">
        <is>
          <t>HON</t>
        </is>
      </c>
      <c r="B505" t="inlineStr">
        <is>
          <t>HON US Equity</t>
        </is>
      </c>
      <c r="C505" t="inlineStr">
        <is>
          <t>NET_DEBT_TO_EBITDA</t>
        </is>
      </c>
      <c r="E505" t="inlineStr">
        <is>
          <t>Net debt / EBITDA</t>
        </is>
      </c>
      <c r="F505" s="53">
        <f>_xll.BDP("HON US Equity","NET_DEBT_TO_EBITDA")</f>
        <v/>
      </c>
    </row>
    <row r="506">
      <c r="A506" t="inlineStr">
        <is>
          <t>HON</t>
        </is>
      </c>
      <c r="B506" t="inlineStr">
        <is>
          <t>HON US Equity</t>
        </is>
      </c>
      <c r="C506" t="inlineStr">
        <is>
          <t>RETURN_ON_INV_CAPITAL</t>
        </is>
      </c>
      <c r="E506" t="inlineStr">
        <is>
          <t>ROIC (LTM)</t>
        </is>
      </c>
      <c r="F506" s="53">
        <f>_xll.BDP("HON US Equity","RETURN_ON_INV_CAPITAL")</f>
        <v/>
      </c>
    </row>
    <row r="507">
      <c r="A507" t="inlineStr">
        <is>
          <t>HON</t>
        </is>
      </c>
      <c r="B507" t="inlineStr">
        <is>
          <t>HON US Equity</t>
        </is>
      </c>
      <c r="C507" t="inlineStr">
        <is>
          <t>TRAIL_12M_OPER_INC</t>
        </is>
      </c>
      <c r="E507" t="inlineStr">
        <is>
          <t>LTM operating income</t>
        </is>
      </c>
      <c r="F507" s="53">
        <f>_xll.BDP("HON US Equity","TRAIL_12M_OPER_INC")</f>
        <v/>
      </c>
    </row>
    <row r="508">
      <c r="A508" t="inlineStr">
        <is>
          <t>HON</t>
        </is>
      </c>
      <c r="B508" t="inlineStr">
        <is>
          <t>HON US Equity</t>
        </is>
      </c>
      <c r="C508" t="inlineStr">
        <is>
          <t>TRAIL_12M_EBITDA</t>
        </is>
      </c>
      <c r="E508" t="inlineStr">
        <is>
          <t>LTM EBITDA</t>
        </is>
      </c>
      <c r="F508" s="53">
        <f>_xll.BDP("HON US Equity","TRAIL_12M_EBITDA")</f>
        <v/>
      </c>
    </row>
    <row r="509">
      <c r="A509" t="inlineStr">
        <is>
          <t>HON</t>
        </is>
      </c>
      <c r="B509" t="inlineStr">
        <is>
          <t>HON US Equity</t>
        </is>
      </c>
      <c r="C509" t="inlineStr">
        <is>
          <t>SHORT_AND_LONG_TERM_DEBT</t>
        </is>
      </c>
      <c r="E509" t="inlineStr">
        <is>
          <t>Total debt</t>
        </is>
      </c>
      <c r="F509" s="53">
        <f>_xll.BDP("HON US Equity","SHORT_AND_LONG_TERM_DEBT")</f>
        <v/>
      </c>
    </row>
    <row r="510">
      <c r="A510" t="inlineStr">
        <is>
          <t>HON</t>
        </is>
      </c>
      <c r="B510" t="inlineStr">
        <is>
          <t>HON US Equity</t>
        </is>
      </c>
      <c r="C510" t="inlineStr">
        <is>
          <t>TOTAL_EQUITY</t>
        </is>
      </c>
      <c r="E510" t="inlineStr">
        <is>
          <t>Total equity</t>
        </is>
      </c>
      <c r="F510" s="53">
        <f>_xll.BDP("HON US Equity","TOTAL_EQUITY")</f>
        <v/>
      </c>
    </row>
    <row r="511">
      <c r="A511" t="inlineStr">
        <is>
          <t>HON</t>
        </is>
      </c>
      <c r="B511" t="inlineStr">
        <is>
          <t>HON US Equity</t>
        </is>
      </c>
      <c r="C511" t="inlineStr">
        <is>
          <t>BS_CASH_NEAR_CASH_ITEM</t>
        </is>
      </c>
      <c r="E511" t="inlineStr">
        <is>
          <t>Cash &amp; equivalents</t>
        </is>
      </c>
      <c r="F511" s="53">
        <f>_xll.BDP("HON US Equity","BS_CASH_NEAR_CASH_ITEM")</f>
        <v/>
      </c>
    </row>
    <row r="512">
      <c r="A512" t="inlineStr">
        <is>
          <t>HON</t>
        </is>
      </c>
      <c r="B512" t="inlineStr">
        <is>
          <t>HON US Equity</t>
        </is>
      </c>
      <c r="C512" t="inlineStr">
        <is>
          <t>BEST_EPS</t>
        </is>
      </c>
      <c r="D512" t="inlineStr">
        <is>
          <t>24Y</t>
        </is>
      </c>
      <c r="E512" t="inlineStr">
        <is>
          <t>EPS estimate FY2024</t>
        </is>
      </c>
      <c r="F512" s="53">
        <f>_xll.BDP("HON US Equity","BEST_EPS","BEST_FPERIOD_OVERRIDE","24Y")</f>
        <v/>
      </c>
    </row>
    <row r="513">
      <c r="A513" t="inlineStr">
        <is>
          <t>HON</t>
        </is>
      </c>
      <c r="B513" t="inlineStr">
        <is>
          <t>HON US Equity</t>
        </is>
      </c>
      <c r="C513" t="inlineStr">
        <is>
          <t>BEST_SALES</t>
        </is>
      </c>
      <c r="D513" t="inlineStr">
        <is>
          <t>24Y</t>
        </is>
      </c>
      <c r="E513" t="inlineStr">
        <is>
          <t>Revenue estimate FY2024</t>
        </is>
      </c>
      <c r="F513" s="53">
        <f>_xll.BDP("HON US Equity","BEST_SALES","BEST_FPERIOD_OVERRIDE","24Y")</f>
        <v/>
      </c>
    </row>
    <row r="514">
      <c r="A514" t="inlineStr">
        <is>
          <t>HON</t>
        </is>
      </c>
      <c r="B514" t="inlineStr">
        <is>
          <t>HON US Equity</t>
        </is>
      </c>
      <c r="C514" t="inlineStr">
        <is>
          <t>BEST_EBIT</t>
        </is>
      </c>
      <c r="D514" t="inlineStr">
        <is>
          <t>24Y</t>
        </is>
      </c>
      <c r="E514" t="inlineStr">
        <is>
          <t>EBIT estimate FY2024</t>
        </is>
      </c>
      <c r="F514" s="53">
        <f>_xll.BDP("HON US Equity","BEST_EBIT","BEST_FPERIOD_OVERRIDE","24Y")</f>
        <v/>
      </c>
    </row>
    <row r="515">
      <c r="A515" t="inlineStr">
        <is>
          <t>HON</t>
        </is>
      </c>
      <c r="B515" t="inlineStr">
        <is>
          <t>HON US Equity</t>
        </is>
      </c>
      <c r="C515" t="inlineStr">
        <is>
          <t>BEST_EPS</t>
        </is>
      </c>
      <c r="D515" t="inlineStr">
        <is>
          <t>25Y</t>
        </is>
      </c>
      <c r="E515" t="inlineStr">
        <is>
          <t>EPS estimate FY2025</t>
        </is>
      </c>
      <c r="F515" s="53">
        <f>_xll.BDP("HON US Equity","BEST_EPS","BEST_FPERIOD_OVERRIDE","25Y")</f>
        <v/>
      </c>
    </row>
    <row r="516">
      <c r="A516" t="inlineStr">
        <is>
          <t>HON</t>
        </is>
      </c>
      <c r="B516" t="inlineStr">
        <is>
          <t>HON US Equity</t>
        </is>
      </c>
      <c r="C516" t="inlineStr">
        <is>
          <t>BEST_SALES</t>
        </is>
      </c>
      <c r="D516" t="inlineStr">
        <is>
          <t>25Y</t>
        </is>
      </c>
      <c r="E516" t="inlineStr">
        <is>
          <t>Revenue estimate FY2025</t>
        </is>
      </c>
      <c r="F516" s="53">
        <f>_xll.BDP("HON US Equity","BEST_SALES","BEST_FPERIOD_OVERRIDE","25Y")</f>
        <v/>
      </c>
    </row>
    <row r="517">
      <c r="A517" t="inlineStr">
        <is>
          <t>HON</t>
        </is>
      </c>
      <c r="B517" t="inlineStr">
        <is>
          <t>HON US Equity</t>
        </is>
      </c>
      <c r="C517" t="inlineStr">
        <is>
          <t>BEST_EBIT</t>
        </is>
      </c>
      <c r="D517" t="inlineStr">
        <is>
          <t>25Y</t>
        </is>
      </c>
      <c r="E517" t="inlineStr">
        <is>
          <t>EBIT estimate FY2025</t>
        </is>
      </c>
      <c r="F517" s="53">
        <f>_xll.BDP("HON US Equity","BEST_EBIT","BEST_FPERIOD_OVERRIDE","25Y")</f>
        <v/>
      </c>
    </row>
    <row r="518">
      <c r="A518" t="inlineStr">
        <is>
          <t>HON</t>
        </is>
      </c>
      <c r="B518" t="inlineStr">
        <is>
          <t>HON US Equity</t>
        </is>
      </c>
      <c r="C518" t="inlineStr">
        <is>
          <t>BEST_EPS</t>
        </is>
      </c>
      <c r="D518" t="inlineStr">
        <is>
          <t>26Y</t>
        </is>
      </c>
      <c r="E518" t="inlineStr">
        <is>
          <t>EPS estimate FY2026</t>
        </is>
      </c>
      <c r="F518" s="53">
        <f>_xll.BDP("HON US Equity","BEST_EPS","BEST_FPERIOD_OVERRIDE","26Y")</f>
        <v/>
      </c>
    </row>
    <row r="519">
      <c r="A519" t="inlineStr">
        <is>
          <t>HON</t>
        </is>
      </c>
      <c r="B519" t="inlineStr">
        <is>
          <t>HON US Equity</t>
        </is>
      </c>
      <c r="C519" t="inlineStr">
        <is>
          <t>BEST_SALES</t>
        </is>
      </c>
      <c r="D519" t="inlineStr">
        <is>
          <t>26Y</t>
        </is>
      </c>
      <c r="E519" t="inlineStr">
        <is>
          <t>Revenue estimate FY2026</t>
        </is>
      </c>
      <c r="F519" s="53">
        <f>_xll.BDP("HON US Equity","BEST_SALES","BEST_FPERIOD_OVERRIDE","26Y")</f>
        <v/>
      </c>
    </row>
    <row r="520">
      <c r="A520" t="inlineStr">
        <is>
          <t>HON</t>
        </is>
      </c>
      <c r="B520" t="inlineStr">
        <is>
          <t>HON US Equity</t>
        </is>
      </c>
      <c r="C520" t="inlineStr">
        <is>
          <t>BEST_EBIT</t>
        </is>
      </c>
      <c r="D520" t="inlineStr">
        <is>
          <t>26Y</t>
        </is>
      </c>
      <c r="E520" t="inlineStr">
        <is>
          <t>EBIT estimate FY2026</t>
        </is>
      </c>
      <c r="F520" s="53">
        <f>_xll.BDP("HON US Equity","BEST_EBIT","BEST_FPERIOD_OVERRIDE","26Y")</f>
        <v/>
      </c>
    </row>
    <row r="521">
      <c r="A521" t="inlineStr">
        <is>
          <t>HON</t>
        </is>
      </c>
      <c r="B521" t="inlineStr">
        <is>
          <t>HON US Equity</t>
        </is>
      </c>
      <c r="C521" t="inlineStr">
        <is>
          <t>BEST_EPS</t>
        </is>
      </c>
      <c r="D521" t="inlineStr">
        <is>
          <t>27Y</t>
        </is>
      </c>
      <c r="E521" t="inlineStr">
        <is>
          <t>EPS estimate FY2027</t>
        </is>
      </c>
      <c r="F521" s="53">
        <f>_xll.BDP("HON US Equity","BEST_EPS","BEST_FPERIOD_OVERRIDE","27Y")</f>
        <v/>
      </c>
    </row>
    <row r="522">
      <c r="A522" t="inlineStr">
        <is>
          <t>HON</t>
        </is>
      </c>
      <c r="B522" t="inlineStr">
        <is>
          <t>HON US Equity</t>
        </is>
      </c>
      <c r="C522" t="inlineStr">
        <is>
          <t>BEST_SALES</t>
        </is>
      </c>
      <c r="D522" t="inlineStr">
        <is>
          <t>27Y</t>
        </is>
      </c>
      <c r="E522" t="inlineStr">
        <is>
          <t>Revenue estimate FY2027</t>
        </is>
      </c>
      <c r="F522" s="53">
        <f>_xll.BDP("HON US Equity","BEST_SALES","BEST_FPERIOD_OVERRIDE","27Y")</f>
        <v/>
      </c>
    </row>
    <row r="523">
      <c r="A523" t="inlineStr">
        <is>
          <t>HON</t>
        </is>
      </c>
      <c r="B523" t="inlineStr">
        <is>
          <t>HON US Equity</t>
        </is>
      </c>
      <c r="C523" t="inlineStr">
        <is>
          <t>BEST_EBIT</t>
        </is>
      </c>
      <c r="D523" t="inlineStr">
        <is>
          <t>27Y</t>
        </is>
      </c>
      <c r="E523" t="inlineStr">
        <is>
          <t>EBIT estimate FY2027</t>
        </is>
      </c>
      <c r="F523" s="53">
        <f>_xll.BDP("HON US Equity","BEST_EBIT","BEST_FPERIOD_OVERRIDE","27Y")</f>
        <v/>
      </c>
    </row>
    <row r="524">
      <c r="A524" t="inlineStr">
        <is>
          <t>HON</t>
        </is>
      </c>
      <c r="B524" t="inlineStr">
        <is>
          <t>HON US Equity</t>
        </is>
      </c>
      <c r="C524" t="inlineStr">
        <is>
          <t>BEST_EPS</t>
        </is>
      </c>
      <c r="D524" t="inlineStr">
        <is>
          <t>28Y</t>
        </is>
      </c>
      <c r="E524" t="inlineStr">
        <is>
          <t>EPS estimate FY2028</t>
        </is>
      </c>
      <c r="F524" s="53">
        <f>_xll.BDP("HON US Equity","BEST_EPS","BEST_FPERIOD_OVERRIDE","28Y")</f>
        <v/>
      </c>
    </row>
    <row r="525">
      <c r="A525" t="inlineStr">
        <is>
          <t>HON</t>
        </is>
      </c>
      <c r="B525" t="inlineStr">
        <is>
          <t>HON US Equity</t>
        </is>
      </c>
      <c r="C525" t="inlineStr">
        <is>
          <t>BEST_SALES</t>
        </is>
      </c>
      <c r="D525" t="inlineStr">
        <is>
          <t>28Y</t>
        </is>
      </c>
      <c r="E525" t="inlineStr">
        <is>
          <t>Revenue estimate FY2028</t>
        </is>
      </c>
      <c r="F525" s="53">
        <f>_xll.BDP("HON US Equity","BEST_SALES","BEST_FPERIOD_OVERRIDE","28Y")</f>
        <v/>
      </c>
    </row>
    <row r="526">
      <c r="A526" t="inlineStr">
        <is>
          <t>HON</t>
        </is>
      </c>
      <c r="B526" t="inlineStr">
        <is>
          <t>HON US Equity</t>
        </is>
      </c>
      <c r="C526" t="inlineStr">
        <is>
          <t>BEST_EBIT</t>
        </is>
      </c>
      <c r="D526" t="inlineStr">
        <is>
          <t>28Y</t>
        </is>
      </c>
      <c r="E526" t="inlineStr">
        <is>
          <t>EBIT estimate FY2028</t>
        </is>
      </c>
      <c r="F526" s="53">
        <f>_xll.BDP("HON US Equity","BEST_EBIT","BEST_FPERIOD_OVERRIDE","28Y")</f>
        <v/>
      </c>
    </row>
    <row r="527">
      <c r="A527" t="inlineStr">
        <is>
          <t>SBUX</t>
        </is>
      </c>
      <c r="B527" t="inlineStr">
        <is>
          <t>SBUX US Equity</t>
        </is>
      </c>
      <c r="C527" t="inlineStr">
        <is>
          <t>PX_LAST</t>
        </is>
      </c>
      <c r="E527" t="inlineStr">
        <is>
          <t>Last price</t>
        </is>
      </c>
      <c r="F527" s="53">
        <f>_xll.BDP("SBUX US Equity","PX_LAST")</f>
        <v/>
      </c>
    </row>
    <row r="528">
      <c r="A528" t="inlineStr">
        <is>
          <t>SBUX</t>
        </is>
      </c>
      <c r="B528" t="inlineStr">
        <is>
          <t>SBUX US Equity</t>
        </is>
      </c>
      <c r="C528" t="inlineStr">
        <is>
          <t>CUR_MKT_CAP</t>
        </is>
      </c>
      <c r="E528" t="inlineStr">
        <is>
          <t>Market cap (raw)</t>
        </is>
      </c>
      <c r="F528" s="53">
        <f>_xll.BDP("SBUX US Equity","CUR_MKT_CAP")</f>
        <v/>
      </c>
    </row>
    <row r="529">
      <c r="A529" t="inlineStr">
        <is>
          <t>SBUX</t>
        </is>
      </c>
      <c r="B529" t="inlineStr">
        <is>
          <t>SBUX US Equity</t>
        </is>
      </c>
      <c r="C529" t="inlineStr">
        <is>
          <t>CHG_PCT_YTD</t>
        </is>
      </c>
      <c r="E529" t="inlineStr">
        <is>
          <t>YTD price change %</t>
        </is>
      </c>
      <c r="F529" s="53">
        <f>_xll.BDP("SBUX US Equity","CHG_PCT_YTD")</f>
        <v/>
      </c>
    </row>
    <row r="530">
      <c r="A530" t="inlineStr">
        <is>
          <t>SBUX</t>
        </is>
      </c>
      <c r="B530" t="inlineStr">
        <is>
          <t>SBUX US Equity</t>
        </is>
      </c>
      <c r="C530" t="inlineStr">
        <is>
          <t>NET_DEBT_TO_EBITDA</t>
        </is>
      </c>
      <c r="E530" t="inlineStr">
        <is>
          <t>Net debt / EBITDA</t>
        </is>
      </c>
      <c r="F530" s="53">
        <f>_xll.BDP("SBUX US Equity","NET_DEBT_TO_EBITDA")</f>
        <v/>
      </c>
    </row>
    <row r="531">
      <c r="A531" t="inlineStr">
        <is>
          <t>SBUX</t>
        </is>
      </c>
      <c r="B531" t="inlineStr">
        <is>
          <t>SBUX US Equity</t>
        </is>
      </c>
      <c r="C531" t="inlineStr">
        <is>
          <t>RETURN_ON_INV_CAPITAL</t>
        </is>
      </c>
      <c r="E531" t="inlineStr">
        <is>
          <t>ROIC (LTM)</t>
        </is>
      </c>
      <c r="F531" s="53">
        <f>_xll.BDP("SBUX US Equity","RETURN_ON_INV_CAPITAL")</f>
        <v/>
      </c>
    </row>
    <row r="532">
      <c r="A532" t="inlineStr">
        <is>
          <t>SBUX</t>
        </is>
      </c>
      <c r="B532" t="inlineStr">
        <is>
          <t>SBUX US Equity</t>
        </is>
      </c>
      <c r="C532" t="inlineStr">
        <is>
          <t>TRAIL_12M_OPER_INC</t>
        </is>
      </c>
      <c r="E532" t="inlineStr">
        <is>
          <t>LTM operating income</t>
        </is>
      </c>
      <c r="F532" s="53">
        <f>_xll.BDP("SBUX US Equity","TRAIL_12M_OPER_INC")</f>
        <v/>
      </c>
    </row>
    <row r="533">
      <c r="A533" t="inlineStr">
        <is>
          <t>SBUX</t>
        </is>
      </c>
      <c r="B533" t="inlineStr">
        <is>
          <t>SBUX US Equity</t>
        </is>
      </c>
      <c r="C533" t="inlineStr">
        <is>
          <t>TRAIL_12M_EBITDA</t>
        </is>
      </c>
      <c r="E533" t="inlineStr">
        <is>
          <t>LTM EBITDA</t>
        </is>
      </c>
      <c r="F533" s="53">
        <f>_xll.BDP("SBUX US Equity","TRAIL_12M_EBITDA")</f>
        <v/>
      </c>
    </row>
    <row r="534">
      <c r="A534" t="inlineStr">
        <is>
          <t>SBUX</t>
        </is>
      </c>
      <c r="B534" t="inlineStr">
        <is>
          <t>SBUX US Equity</t>
        </is>
      </c>
      <c r="C534" t="inlineStr">
        <is>
          <t>SHORT_AND_LONG_TERM_DEBT</t>
        </is>
      </c>
      <c r="E534" t="inlineStr">
        <is>
          <t>Total debt</t>
        </is>
      </c>
      <c r="F534" s="53">
        <f>_xll.BDP("SBUX US Equity","SHORT_AND_LONG_TERM_DEBT")</f>
        <v/>
      </c>
    </row>
    <row r="535">
      <c r="A535" t="inlineStr">
        <is>
          <t>SBUX</t>
        </is>
      </c>
      <c r="B535" t="inlineStr">
        <is>
          <t>SBUX US Equity</t>
        </is>
      </c>
      <c r="C535" t="inlineStr">
        <is>
          <t>TOTAL_EQUITY</t>
        </is>
      </c>
      <c r="E535" t="inlineStr">
        <is>
          <t>Total equity</t>
        </is>
      </c>
      <c r="F535" s="53">
        <f>_xll.BDP("SBUX US Equity","TOTAL_EQUITY")</f>
        <v/>
      </c>
    </row>
    <row r="536">
      <c r="A536" t="inlineStr">
        <is>
          <t>SBUX</t>
        </is>
      </c>
      <c r="B536" t="inlineStr">
        <is>
          <t>SBUX US Equity</t>
        </is>
      </c>
      <c r="C536" t="inlineStr">
        <is>
          <t>BS_CASH_NEAR_CASH_ITEM</t>
        </is>
      </c>
      <c r="E536" t="inlineStr">
        <is>
          <t>Cash &amp; equivalents</t>
        </is>
      </c>
      <c r="F536" s="53">
        <f>_xll.BDP("SBUX US Equity","BS_CASH_NEAR_CASH_ITEM")</f>
        <v/>
      </c>
    </row>
    <row r="537">
      <c r="A537" t="inlineStr">
        <is>
          <t>SBUX</t>
        </is>
      </c>
      <c r="B537" t="inlineStr">
        <is>
          <t>SBUX US Equity</t>
        </is>
      </c>
      <c r="C537" t="inlineStr">
        <is>
          <t>BEST_EPS</t>
        </is>
      </c>
      <c r="D537" t="inlineStr">
        <is>
          <t>24Y</t>
        </is>
      </c>
      <c r="E537" t="inlineStr">
        <is>
          <t>EPS estimate FY2024</t>
        </is>
      </c>
      <c r="F537" s="53">
        <f>_xll.BDP("SBUX US Equity","BEST_EPS","BEST_FPERIOD_OVERRIDE","24Y")</f>
        <v/>
      </c>
    </row>
    <row r="538">
      <c r="A538" t="inlineStr">
        <is>
          <t>SBUX</t>
        </is>
      </c>
      <c r="B538" t="inlineStr">
        <is>
          <t>SBUX US Equity</t>
        </is>
      </c>
      <c r="C538" t="inlineStr">
        <is>
          <t>BEST_SALES</t>
        </is>
      </c>
      <c r="D538" t="inlineStr">
        <is>
          <t>24Y</t>
        </is>
      </c>
      <c r="E538" t="inlineStr">
        <is>
          <t>Revenue estimate FY2024</t>
        </is>
      </c>
      <c r="F538" s="53">
        <f>_xll.BDP("SBUX US Equity","BEST_SALES","BEST_FPERIOD_OVERRIDE","24Y")</f>
        <v/>
      </c>
    </row>
    <row r="539">
      <c r="A539" t="inlineStr">
        <is>
          <t>SBUX</t>
        </is>
      </c>
      <c r="B539" t="inlineStr">
        <is>
          <t>SBUX US Equity</t>
        </is>
      </c>
      <c r="C539" t="inlineStr">
        <is>
          <t>BEST_EBIT</t>
        </is>
      </c>
      <c r="D539" t="inlineStr">
        <is>
          <t>24Y</t>
        </is>
      </c>
      <c r="E539" t="inlineStr">
        <is>
          <t>EBIT estimate FY2024</t>
        </is>
      </c>
      <c r="F539" s="53">
        <f>_xll.BDP("SBUX US Equity","BEST_EBIT","BEST_FPERIOD_OVERRIDE","24Y")</f>
        <v/>
      </c>
    </row>
    <row r="540">
      <c r="A540" t="inlineStr">
        <is>
          <t>SBUX</t>
        </is>
      </c>
      <c r="B540" t="inlineStr">
        <is>
          <t>SBUX US Equity</t>
        </is>
      </c>
      <c r="C540" t="inlineStr">
        <is>
          <t>BEST_EPS</t>
        </is>
      </c>
      <c r="D540" t="inlineStr">
        <is>
          <t>25Y</t>
        </is>
      </c>
      <c r="E540" t="inlineStr">
        <is>
          <t>EPS estimate FY2025</t>
        </is>
      </c>
      <c r="F540" s="53">
        <f>_xll.BDP("SBUX US Equity","BEST_EPS","BEST_FPERIOD_OVERRIDE","25Y")</f>
        <v/>
      </c>
    </row>
    <row r="541">
      <c r="A541" t="inlineStr">
        <is>
          <t>SBUX</t>
        </is>
      </c>
      <c r="B541" t="inlineStr">
        <is>
          <t>SBUX US Equity</t>
        </is>
      </c>
      <c r="C541" t="inlineStr">
        <is>
          <t>BEST_SALES</t>
        </is>
      </c>
      <c r="D541" t="inlineStr">
        <is>
          <t>25Y</t>
        </is>
      </c>
      <c r="E541" t="inlineStr">
        <is>
          <t>Revenue estimate FY2025</t>
        </is>
      </c>
      <c r="F541" s="53">
        <f>_xll.BDP("SBUX US Equity","BEST_SALES","BEST_FPERIOD_OVERRIDE","25Y")</f>
        <v/>
      </c>
    </row>
    <row r="542">
      <c r="A542" t="inlineStr">
        <is>
          <t>SBUX</t>
        </is>
      </c>
      <c r="B542" t="inlineStr">
        <is>
          <t>SBUX US Equity</t>
        </is>
      </c>
      <c r="C542" t="inlineStr">
        <is>
          <t>BEST_EBIT</t>
        </is>
      </c>
      <c r="D542" t="inlineStr">
        <is>
          <t>25Y</t>
        </is>
      </c>
      <c r="E542" t="inlineStr">
        <is>
          <t>EBIT estimate FY2025</t>
        </is>
      </c>
      <c r="F542" s="53">
        <f>_xll.BDP("SBUX US Equity","BEST_EBIT","BEST_FPERIOD_OVERRIDE","25Y")</f>
        <v/>
      </c>
    </row>
    <row r="543">
      <c r="A543" t="inlineStr">
        <is>
          <t>SBUX</t>
        </is>
      </c>
      <c r="B543" t="inlineStr">
        <is>
          <t>SBUX US Equity</t>
        </is>
      </c>
      <c r="C543" t="inlineStr">
        <is>
          <t>BEST_EPS</t>
        </is>
      </c>
      <c r="D543" t="inlineStr">
        <is>
          <t>26Y</t>
        </is>
      </c>
      <c r="E543" t="inlineStr">
        <is>
          <t>EPS estimate FY2026</t>
        </is>
      </c>
      <c r="F543" s="53">
        <f>_xll.BDP("SBUX US Equity","BEST_EPS","BEST_FPERIOD_OVERRIDE","26Y")</f>
        <v/>
      </c>
    </row>
    <row r="544">
      <c r="A544" t="inlineStr">
        <is>
          <t>SBUX</t>
        </is>
      </c>
      <c r="B544" t="inlineStr">
        <is>
          <t>SBUX US Equity</t>
        </is>
      </c>
      <c r="C544" t="inlineStr">
        <is>
          <t>BEST_SALES</t>
        </is>
      </c>
      <c r="D544" t="inlineStr">
        <is>
          <t>26Y</t>
        </is>
      </c>
      <c r="E544" t="inlineStr">
        <is>
          <t>Revenue estimate FY2026</t>
        </is>
      </c>
      <c r="F544" s="53">
        <f>_xll.BDP("SBUX US Equity","BEST_SALES","BEST_FPERIOD_OVERRIDE","26Y")</f>
        <v/>
      </c>
    </row>
    <row r="545">
      <c r="A545" t="inlineStr">
        <is>
          <t>SBUX</t>
        </is>
      </c>
      <c r="B545" t="inlineStr">
        <is>
          <t>SBUX US Equity</t>
        </is>
      </c>
      <c r="C545" t="inlineStr">
        <is>
          <t>BEST_EBIT</t>
        </is>
      </c>
      <c r="D545" t="inlineStr">
        <is>
          <t>26Y</t>
        </is>
      </c>
      <c r="E545" t="inlineStr">
        <is>
          <t>EBIT estimate FY2026</t>
        </is>
      </c>
      <c r="F545" s="53">
        <f>_xll.BDP("SBUX US Equity","BEST_EBIT","BEST_FPERIOD_OVERRIDE","26Y")</f>
        <v/>
      </c>
    </row>
    <row r="546">
      <c r="A546" t="inlineStr">
        <is>
          <t>SBUX</t>
        </is>
      </c>
      <c r="B546" t="inlineStr">
        <is>
          <t>SBUX US Equity</t>
        </is>
      </c>
      <c r="C546" t="inlineStr">
        <is>
          <t>BEST_EPS</t>
        </is>
      </c>
      <c r="D546" t="inlineStr">
        <is>
          <t>27Y</t>
        </is>
      </c>
      <c r="E546" t="inlineStr">
        <is>
          <t>EPS estimate FY2027</t>
        </is>
      </c>
      <c r="F546" s="53">
        <f>_xll.BDP("SBUX US Equity","BEST_EPS","BEST_FPERIOD_OVERRIDE","27Y")</f>
        <v/>
      </c>
    </row>
    <row r="547">
      <c r="A547" t="inlineStr">
        <is>
          <t>SBUX</t>
        </is>
      </c>
      <c r="B547" t="inlineStr">
        <is>
          <t>SBUX US Equity</t>
        </is>
      </c>
      <c r="C547" t="inlineStr">
        <is>
          <t>BEST_SALES</t>
        </is>
      </c>
      <c r="D547" t="inlineStr">
        <is>
          <t>27Y</t>
        </is>
      </c>
      <c r="E547" t="inlineStr">
        <is>
          <t>Revenue estimate FY2027</t>
        </is>
      </c>
      <c r="F547" s="53">
        <f>_xll.BDP("SBUX US Equity","BEST_SALES","BEST_FPERIOD_OVERRIDE","27Y")</f>
        <v/>
      </c>
    </row>
    <row r="548">
      <c r="A548" t="inlineStr">
        <is>
          <t>SBUX</t>
        </is>
      </c>
      <c r="B548" t="inlineStr">
        <is>
          <t>SBUX US Equity</t>
        </is>
      </c>
      <c r="C548" t="inlineStr">
        <is>
          <t>BEST_EBIT</t>
        </is>
      </c>
      <c r="D548" t="inlineStr">
        <is>
          <t>27Y</t>
        </is>
      </c>
      <c r="E548" t="inlineStr">
        <is>
          <t>EBIT estimate FY2027</t>
        </is>
      </c>
      <c r="F548" s="53">
        <f>_xll.BDP("SBUX US Equity","BEST_EBIT","BEST_FPERIOD_OVERRIDE","27Y")</f>
        <v/>
      </c>
    </row>
    <row r="549">
      <c r="A549" t="inlineStr">
        <is>
          <t>SBUX</t>
        </is>
      </c>
      <c r="B549" t="inlineStr">
        <is>
          <t>SBUX US Equity</t>
        </is>
      </c>
      <c r="C549" t="inlineStr">
        <is>
          <t>BEST_EPS</t>
        </is>
      </c>
      <c r="D549" t="inlineStr">
        <is>
          <t>28Y</t>
        </is>
      </c>
      <c r="E549" t="inlineStr">
        <is>
          <t>EPS estimate FY2028</t>
        </is>
      </c>
      <c r="F549" s="53">
        <f>_xll.BDP("SBUX US Equity","BEST_EPS","BEST_FPERIOD_OVERRIDE","28Y")</f>
        <v/>
      </c>
    </row>
    <row r="550">
      <c r="A550" t="inlineStr">
        <is>
          <t>SBUX</t>
        </is>
      </c>
      <c r="B550" t="inlineStr">
        <is>
          <t>SBUX US Equity</t>
        </is>
      </c>
      <c r="C550" t="inlineStr">
        <is>
          <t>BEST_SALES</t>
        </is>
      </c>
      <c r="D550" t="inlineStr">
        <is>
          <t>28Y</t>
        </is>
      </c>
      <c r="E550" t="inlineStr">
        <is>
          <t>Revenue estimate FY2028</t>
        </is>
      </c>
      <c r="F550" s="53">
        <f>_xll.BDP("SBUX US Equity","BEST_SALES","BEST_FPERIOD_OVERRIDE","28Y")</f>
        <v/>
      </c>
    </row>
    <row r="551">
      <c r="A551" t="inlineStr">
        <is>
          <t>SBUX</t>
        </is>
      </c>
      <c r="B551" t="inlineStr">
        <is>
          <t>SBUX US Equity</t>
        </is>
      </c>
      <c r="C551" t="inlineStr">
        <is>
          <t>BEST_EBIT</t>
        </is>
      </c>
      <c r="D551" t="inlineStr">
        <is>
          <t>28Y</t>
        </is>
      </c>
      <c r="E551" t="inlineStr">
        <is>
          <t>EBIT estimate FY2028</t>
        </is>
      </c>
      <c r="F551" s="53">
        <f>_xll.BDP("SBUX US Equity","BEST_EBIT","BEST_FPERIOD_OVERRIDE","28Y")</f>
        <v/>
      </c>
    </row>
    <row r="552">
      <c r="A552" t="inlineStr">
        <is>
          <t>NKE</t>
        </is>
      </c>
      <c r="B552" t="inlineStr">
        <is>
          <t>NKE US Equity</t>
        </is>
      </c>
      <c r="C552" t="inlineStr">
        <is>
          <t>PX_LAST</t>
        </is>
      </c>
      <c r="E552" t="inlineStr">
        <is>
          <t>Last price</t>
        </is>
      </c>
      <c r="F552" s="53">
        <f>_xll.BDP("NKE US Equity","PX_LAST")</f>
        <v/>
      </c>
    </row>
    <row r="553">
      <c r="A553" t="inlineStr">
        <is>
          <t>NKE</t>
        </is>
      </c>
      <c r="B553" t="inlineStr">
        <is>
          <t>NKE US Equity</t>
        </is>
      </c>
      <c r="C553" t="inlineStr">
        <is>
          <t>CUR_MKT_CAP</t>
        </is>
      </c>
      <c r="E553" t="inlineStr">
        <is>
          <t>Market cap (raw)</t>
        </is>
      </c>
      <c r="F553" s="53">
        <f>_xll.BDP("NKE US Equity","CUR_MKT_CAP")</f>
        <v/>
      </c>
    </row>
    <row r="554">
      <c r="A554" t="inlineStr">
        <is>
          <t>NKE</t>
        </is>
      </c>
      <c r="B554" t="inlineStr">
        <is>
          <t>NKE US Equity</t>
        </is>
      </c>
      <c r="C554" t="inlineStr">
        <is>
          <t>CHG_PCT_YTD</t>
        </is>
      </c>
      <c r="E554" t="inlineStr">
        <is>
          <t>YTD price change %</t>
        </is>
      </c>
      <c r="F554" s="53">
        <f>_xll.BDP("NKE US Equity","CHG_PCT_YTD")</f>
        <v/>
      </c>
    </row>
    <row r="555">
      <c r="A555" t="inlineStr">
        <is>
          <t>NKE</t>
        </is>
      </c>
      <c r="B555" t="inlineStr">
        <is>
          <t>NKE US Equity</t>
        </is>
      </c>
      <c r="C555" t="inlineStr">
        <is>
          <t>NET_DEBT_TO_EBITDA</t>
        </is>
      </c>
      <c r="E555" t="inlineStr">
        <is>
          <t>Net debt / EBITDA</t>
        </is>
      </c>
      <c r="F555" s="53">
        <f>_xll.BDP("NKE US Equity","NET_DEBT_TO_EBITDA")</f>
        <v/>
      </c>
    </row>
    <row r="556">
      <c r="A556" t="inlineStr">
        <is>
          <t>NKE</t>
        </is>
      </c>
      <c r="B556" t="inlineStr">
        <is>
          <t>NKE US Equity</t>
        </is>
      </c>
      <c r="C556" t="inlineStr">
        <is>
          <t>RETURN_ON_INV_CAPITAL</t>
        </is>
      </c>
      <c r="E556" t="inlineStr">
        <is>
          <t>ROIC (LTM)</t>
        </is>
      </c>
      <c r="F556" s="53">
        <f>_xll.BDP("NKE US Equity","RETURN_ON_INV_CAPITAL")</f>
        <v/>
      </c>
    </row>
    <row r="557">
      <c r="A557" t="inlineStr">
        <is>
          <t>NKE</t>
        </is>
      </c>
      <c r="B557" t="inlineStr">
        <is>
          <t>NKE US Equity</t>
        </is>
      </c>
      <c r="C557" t="inlineStr">
        <is>
          <t>TRAIL_12M_OPER_INC</t>
        </is>
      </c>
      <c r="E557" t="inlineStr">
        <is>
          <t>LTM operating income</t>
        </is>
      </c>
      <c r="F557" s="53">
        <f>_xll.BDP("NKE US Equity","TRAIL_12M_OPER_INC")</f>
        <v/>
      </c>
    </row>
    <row r="558">
      <c r="A558" t="inlineStr">
        <is>
          <t>NKE</t>
        </is>
      </c>
      <c r="B558" t="inlineStr">
        <is>
          <t>NKE US Equity</t>
        </is>
      </c>
      <c r="C558" t="inlineStr">
        <is>
          <t>TRAIL_12M_EBITDA</t>
        </is>
      </c>
      <c r="E558" t="inlineStr">
        <is>
          <t>LTM EBITDA</t>
        </is>
      </c>
      <c r="F558" s="53">
        <f>_xll.BDP("NKE US Equity","TRAIL_12M_EBITDA")</f>
        <v/>
      </c>
    </row>
    <row r="559">
      <c r="A559" t="inlineStr">
        <is>
          <t>NKE</t>
        </is>
      </c>
      <c r="B559" t="inlineStr">
        <is>
          <t>NKE US Equity</t>
        </is>
      </c>
      <c r="C559" t="inlineStr">
        <is>
          <t>SHORT_AND_LONG_TERM_DEBT</t>
        </is>
      </c>
      <c r="E559" t="inlineStr">
        <is>
          <t>Total debt</t>
        </is>
      </c>
      <c r="F559" s="53">
        <f>_xll.BDP("NKE US Equity","SHORT_AND_LONG_TERM_DEBT")</f>
        <v/>
      </c>
    </row>
    <row r="560">
      <c r="A560" t="inlineStr">
        <is>
          <t>NKE</t>
        </is>
      </c>
      <c r="B560" t="inlineStr">
        <is>
          <t>NKE US Equity</t>
        </is>
      </c>
      <c r="C560" t="inlineStr">
        <is>
          <t>TOTAL_EQUITY</t>
        </is>
      </c>
      <c r="E560" t="inlineStr">
        <is>
          <t>Total equity</t>
        </is>
      </c>
      <c r="F560" s="53">
        <f>_xll.BDP("NKE US Equity","TOTAL_EQUITY")</f>
        <v/>
      </c>
    </row>
    <row r="561">
      <c r="A561" t="inlineStr">
        <is>
          <t>NKE</t>
        </is>
      </c>
      <c r="B561" t="inlineStr">
        <is>
          <t>NKE US Equity</t>
        </is>
      </c>
      <c r="C561" t="inlineStr">
        <is>
          <t>BS_CASH_NEAR_CASH_ITEM</t>
        </is>
      </c>
      <c r="E561" t="inlineStr">
        <is>
          <t>Cash &amp; equivalents</t>
        </is>
      </c>
      <c r="F561" s="53">
        <f>_xll.BDP("NKE US Equity","BS_CASH_NEAR_CASH_ITEM")</f>
        <v/>
      </c>
    </row>
    <row r="562">
      <c r="A562" t="inlineStr">
        <is>
          <t>NKE</t>
        </is>
      </c>
      <c r="B562" t="inlineStr">
        <is>
          <t>NKE US Equity</t>
        </is>
      </c>
      <c r="C562" t="inlineStr">
        <is>
          <t>BEST_EPS</t>
        </is>
      </c>
      <c r="D562" t="inlineStr">
        <is>
          <t>24Y</t>
        </is>
      </c>
      <c r="E562" t="inlineStr">
        <is>
          <t>EPS estimate FY2024</t>
        </is>
      </c>
      <c r="F562" s="53">
        <f>_xll.BDP("NKE US Equity","BEST_EPS","BEST_FPERIOD_OVERRIDE","24Y")</f>
        <v/>
      </c>
    </row>
    <row r="563">
      <c r="A563" t="inlineStr">
        <is>
          <t>NKE</t>
        </is>
      </c>
      <c r="B563" t="inlineStr">
        <is>
          <t>NKE US Equity</t>
        </is>
      </c>
      <c r="C563" t="inlineStr">
        <is>
          <t>BEST_SALES</t>
        </is>
      </c>
      <c r="D563" t="inlineStr">
        <is>
          <t>24Y</t>
        </is>
      </c>
      <c r="E563" t="inlineStr">
        <is>
          <t>Revenue estimate FY2024</t>
        </is>
      </c>
      <c r="F563" s="53">
        <f>_xll.BDP("NKE US Equity","BEST_SALES","BEST_FPERIOD_OVERRIDE","24Y")</f>
        <v/>
      </c>
    </row>
    <row r="564">
      <c r="A564" t="inlineStr">
        <is>
          <t>NKE</t>
        </is>
      </c>
      <c r="B564" t="inlineStr">
        <is>
          <t>NKE US Equity</t>
        </is>
      </c>
      <c r="C564" t="inlineStr">
        <is>
          <t>BEST_EBIT</t>
        </is>
      </c>
      <c r="D564" t="inlineStr">
        <is>
          <t>24Y</t>
        </is>
      </c>
      <c r="E564" t="inlineStr">
        <is>
          <t>EBIT estimate FY2024</t>
        </is>
      </c>
      <c r="F564" s="53">
        <f>_xll.BDP("NKE US Equity","BEST_EBIT","BEST_FPERIOD_OVERRIDE","24Y")</f>
        <v/>
      </c>
    </row>
    <row r="565">
      <c r="A565" t="inlineStr">
        <is>
          <t>NKE</t>
        </is>
      </c>
      <c r="B565" t="inlineStr">
        <is>
          <t>NKE US Equity</t>
        </is>
      </c>
      <c r="C565" t="inlineStr">
        <is>
          <t>BEST_EPS</t>
        </is>
      </c>
      <c r="D565" t="inlineStr">
        <is>
          <t>25Y</t>
        </is>
      </c>
      <c r="E565" t="inlineStr">
        <is>
          <t>EPS estimate FY2025</t>
        </is>
      </c>
      <c r="F565" s="53">
        <f>_xll.BDP("NKE US Equity","BEST_EPS","BEST_FPERIOD_OVERRIDE","25Y")</f>
        <v/>
      </c>
    </row>
    <row r="566">
      <c r="A566" t="inlineStr">
        <is>
          <t>NKE</t>
        </is>
      </c>
      <c r="B566" t="inlineStr">
        <is>
          <t>NKE US Equity</t>
        </is>
      </c>
      <c r="C566" t="inlineStr">
        <is>
          <t>BEST_SALES</t>
        </is>
      </c>
      <c r="D566" t="inlineStr">
        <is>
          <t>25Y</t>
        </is>
      </c>
      <c r="E566" t="inlineStr">
        <is>
          <t>Revenue estimate FY2025</t>
        </is>
      </c>
      <c r="F566" s="53">
        <f>_xll.BDP("NKE US Equity","BEST_SALES","BEST_FPERIOD_OVERRIDE","25Y")</f>
        <v/>
      </c>
    </row>
    <row r="567">
      <c r="A567" t="inlineStr">
        <is>
          <t>NKE</t>
        </is>
      </c>
      <c r="B567" t="inlineStr">
        <is>
          <t>NKE US Equity</t>
        </is>
      </c>
      <c r="C567" t="inlineStr">
        <is>
          <t>BEST_EBIT</t>
        </is>
      </c>
      <c r="D567" t="inlineStr">
        <is>
          <t>25Y</t>
        </is>
      </c>
      <c r="E567" t="inlineStr">
        <is>
          <t>EBIT estimate FY2025</t>
        </is>
      </c>
      <c r="F567" s="53">
        <f>_xll.BDP("NKE US Equity","BEST_EBIT","BEST_FPERIOD_OVERRIDE","25Y")</f>
        <v/>
      </c>
    </row>
    <row r="568">
      <c r="A568" t="inlineStr">
        <is>
          <t>NKE</t>
        </is>
      </c>
      <c r="B568" t="inlineStr">
        <is>
          <t>NKE US Equity</t>
        </is>
      </c>
      <c r="C568" t="inlineStr">
        <is>
          <t>BEST_EPS</t>
        </is>
      </c>
      <c r="D568" t="inlineStr">
        <is>
          <t>26Y</t>
        </is>
      </c>
      <c r="E568" t="inlineStr">
        <is>
          <t>EPS estimate FY2026</t>
        </is>
      </c>
      <c r="F568" s="53">
        <f>_xll.BDP("NKE US Equity","BEST_EPS","BEST_FPERIOD_OVERRIDE","26Y")</f>
        <v/>
      </c>
    </row>
    <row r="569">
      <c r="A569" t="inlineStr">
        <is>
          <t>NKE</t>
        </is>
      </c>
      <c r="B569" t="inlineStr">
        <is>
          <t>NKE US Equity</t>
        </is>
      </c>
      <c r="C569" t="inlineStr">
        <is>
          <t>BEST_SALES</t>
        </is>
      </c>
      <c r="D569" t="inlineStr">
        <is>
          <t>26Y</t>
        </is>
      </c>
      <c r="E569" t="inlineStr">
        <is>
          <t>Revenue estimate FY2026</t>
        </is>
      </c>
      <c r="F569" s="53">
        <f>_xll.BDP("NKE US Equity","BEST_SALES","BEST_FPERIOD_OVERRIDE","26Y")</f>
        <v/>
      </c>
    </row>
    <row r="570">
      <c r="A570" t="inlineStr">
        <is>
          <t>NKE</t>
        </is>
      </c>
      <c r="B570" t="inlineStr">
        <is>
          <t>NKE US Equity</t>
        </is>
      </c>
      <c r="C570" t="inlineStr">
        <is>
          <t>BEST_EBIT</t>
        </is>
      </c>
      <c r="D570" t="inlineStr">
        <is>
          <t>26Y</t>
        </is>
      </c>
      <c r="E570" t="inlineStr">
        <is>
          <t>EBIT estimate FY2026</t>
        </is>
      </c>
      <c r="F570" s="53">
        <f>_xll.BDP("NKE US Equity","BEST_EBIT","BEST_FPERIOD_OVERRIDE","26Y")</f>
        <v/>
      </c>
    </row>
    <row r="571">
      <c r="A571" t="inlineStr">
        <is>
          <t>NKE</t>
        </is>
      </c>
      <c r="B571" t="inlineStr">
        <is>
          <t>NKE US Equity</t>
        </is>
      </c>
      <c r="C571" t="inlineStr">
        <is>
          <t>BEST_EPS</t>
        </is>
      </c>
      <c r="D571" t="inlineStr">
        <is>
          <t>27Y</t>
        </is>
      </c>
      <c r="E571" t="inlineStr">
        <is>
          <t>EPS estimate FY2027</t>
        </is>
      </c>
      <c r="F571" s="53">
        <f>_xll.BDP("NKE US Equity","BEST_EPS","BEST_FPERIOD_OVERRIDE","27Y")</f>
        <v/>
      </c>
    </row>
    <row r="572">
      <c r="A572" t="inlineStr">
        <is>
          <t>NKE</t>
        </is>
      </c>
      <c r="B572" t="inlineStr">
        <is>
          <t>NKE US Equity</t>
        </is>
      </c>
      <c r="C572" t="inlineStr">
        <is>
          <t>BEST_SALES</t>
        </is>
      </c>
      <c r="D572" t="inlineStr">
        <is>
          <t>27Y</t>
        </is>
      </c>
      <c r="E572" t="inlineStr">
        <is>
          <t>Revenue estimate FY2027</t>
        </is>
      </c>
      <c r="F572" s="53">
        <f>_xll.BDP("NKE US Equity","BEST_SALES","BEST_FPERIOD_OVERRIDE","27Y")</f>
        <v/>
      </c>
    </row>
    <row r="573">
      <c r="A573" t="inlineStr">
        <is>
          <t>NKE</t>
        </is>
      </c>
      <c r="B573" t="inlineStr">
        <is>
          <t>NKE US Equity</t>
        </is>
      </c>
      <c r="C573" t="inlineStr">
        <is>
          <t>BEST_EBIT</t>
        </is>
      </c>
      <c r="D573" t="inlineStr">
        <is>
          <t>27Y</t>
        </is>
      </c>
      <c r="E573" t="inlineStr">
        <is>
          <t>EBIT estimate FY2027</t>
        </is>
      </c>
      <c r="F573" s="53">
        <f>_xll.BDP("NKE US Equity","BEST_EBIT","BEST_FPERIOD_OVERRIDE","27Y")</f>
        <v/>
      </c>
    </row>
    <row r="574">
      <c r="A574" t="inlineStr">
        <is>
          <t>NKE</t>
        </is>
      </c>
      <c r="B574" t="inlineStr">
        <is>
          <t>NKE US Equity</t>
        </is>
      </c>
      <c r="C574" t="inlineStr">
        <is>
          <t>BEST_EPS</t>
        </is>
      </c>
      <c r="D574" t="inlineStr">
        <is>
          <t>28Y</t>
        </is>
      </c>
      <c r="E574" t="inlineStr">
        <is>
          <t>EPS estimate FY2028</t>
        </is>
      </c>
      <c r="F574" s="53">
        <f>_xll.BDP("NKE US Equity","BEST_EPS","BEST_FPERIOD_OVERRIDE","28Y")</f>
        <v/>
      </c>
    </row>
    <row r="575">
      <c r="A575" t="inlineStr">
        <is>
          <t>NKE</t>
        </is>
      </c>
      <c r="B575" t="inlineStr">
        <is>
          <t>NKE US Equity</t>
        </is>
      </c>
      <c r="C575" t="inlineStr">
        <is>
          <t>BEST_SALES</t>
        </is>
      </c>
      <c r="D575" t="inlineStr">
        <is>
          <t>28Y</t>
        </is>
      </c>
      <c r="E575" t="inlineStr">
        <is>
          <t>Revenue estimate FY2028</t>
        </is>
      </c>
      <c r="F575" s="53">
        <f>_xll.BDP("NKE US Equity","BEST_SALES","BEST_FPERIOD_OVERRIDE","28Y")</f>
        <v/>
      </c>
    </row>
    <row r="576">
      <c r="A576" t="inlineStr">
        <is>
          <t>NKE</t>
        </is>
      </c>
      <c r="B576" t="inlineStr">
        <is>
          <t>NKE US Equity</t>
        </is>
      </c>
      <c r="C576" t="inlineStr">
        <is>
          <t>BEST_EBIT</t>
        </is>
      </c>
      <c r="D576" t="inlineStr">
        <is>
          <t>28Y</t>
        </is>
      </c>
      <c r="E576" t="inlineStr">
        <is>
          <t>EBIT estimate FY2028</t>
        </is>
      </c>
      <c r="F576" s="53">
        <f>_xll.BDP("NKE US Equity","BEST_EBIT","BEST_FPERIOD_OVERRIDE","28Y")</f>
        <v/>
      </c>
    </row>
    <row r="577">
      <c r="A577" t="inlineStr">
        <is>
          <t>UNP</t>
        </is>
      </c>
      <c r="B577" t="inlineStr">
        <is>
          <t>UNP US Equity</t>
        </is>
      </c>
      <c r="C577" t="inlineStr">
        <is>
          <t>PX_LAST</t>
        </is>
      </c>
      <c r="E577" t="inlineStr">
        <is>
          <t>Last price</t>
        </is>
      </c>
      <c r="F577" s="53">
        <f>_xll.BDP("UNP US Equity","PX_LAST")</f>
        <v/>
      </c>
    </row>
    <row r="578">
      <c r="A578" t="inlineStr">
        <is>
          <t>UNP</t>
        </is>
      </c>
      <c r="B578" t="inlineStr">
        <is>
          <t>UNP US Equity</t>
        </is>
      </c>
      <c r="C578" t="inlineStr">
        <is>
          <t>CUR_MKT_CAP</t>
        </is>
      </c>
      <c r="E578" t="inlineStr">
        <is>
          <t>Market cap (raw)</t>
        </is>
      </c>
      <c r="F578" s="53">
        <f>_xll.BDP("UNP US Equity","CUR_MKT_CAP")</f>
        <v/>
      </c>
    </row>
    <row r="579">
      <c r="A579" t="inlineStr">
        <is>
          <t>UNP</t>
        </is>
      </c>
      <c r="B579" t="inlineStr">
        <is>
          <t>UNP US Equity</t>
        </is>
      </c>
      <c r="C579" t="inlineStr">
        <is>
          <t>CHG_PCT_YTD</t>
        </is>
      </c>
      <c r="E579" t="inlineStr">
        <is>
          <t>YTD price change %</t>
        </is>
      </c>
      <c r="F579" s="53">
        <f>_xll.BDP("UNP US Equity","CHG_PCT_YTD")</f>
        <v/>
      </c>
    </row>
    <row r="580">
      <c r="A580" t="inlineStr">
        <is>
          <t>UNP</t>
        </is>
      </c>
      <c r="B580" t="inlineStr">
        <is>
          <t>UNP US Equity</t>
        </is>
      </c>
      <c r="C580" t="inlineStr">
        <is>
          <t>NET_DEBT_TO_EBITDA</t>
        </is>
      </c>
      <c r="E580" t="inlineStr">
        <is>
          <t>Net debt / EBITDA</t>
        </is>
      </c>
      <c r="F580" s="53">
        <f>_xll.BDP("UNP US Equity","NET_DEBT_TO_EBITDA")</f>
        <v/>
      </c>
    </row>
    <row r="581">
      <c r="A581" t="inlineStr">
        <is>
          <t>UNP</t>
        </is>
      </c>
      <c r="B581" t="inlineStr">
        <is>
          <t>UNP US Equity</t>
        </is>
      </c>
      <c r="C581" t="inlineStr">
        <is>
          <t>RETURN_ON_INV_CAPITAL</t>
        </is>
      </c>
      <c r="E581" t="inlineStr">
        <is>
          <t>ROIC (LTM)</t>
        </is>
      </c>
      <c r="F581" s="53">
        <f>_xll.BDP("UNP US Equity","RETURN_ON_INV_CAPITAL")</f>
        <v/>
      </c>
    </row>
    <row r="582">
      <c r="A582" t="inlineStr">
        <is>
          <t>UNP</t>
        </is>
      </c>
      <c r="B582" t="inlineStr">
        <is>
          <t>UNP US Equity</t>
        </is>
      </c>
      <c r="C582" t="inlineStr">
        <is>
          <t>TRAIL_12M_OPER_INC</t>
        </is>
      </c>
      <c r="E582" t="inlineStr">
        <is>
          <t>LTM operating income</t>
        </is>
      </c>
      <c r="F582" s="53">
        <f>_xll.BDP("UNP US Equity","TRAIL_12M_OPER_INC")</f>
        <v/>
      </c>
    </row>
    <row r="583">
      <c r="A583" t="inlineStr">
        <is>
          <t>UNP</t>
        </is>
      </c>
      <c r="B583" t="inlineStr">
        <is>
          <t>UNP US Equity</t>
        </is>
      </c>
      <c r="C583" t="inlineStr">
        <is>
          <t>TRAIL_12M_EBITDA</t>
        </is>
      </c>
      <c r="E583" t="inlineStr">
        <is>
          <t>LTM EBITDA</t>
        </is>
      </c>
      <c r="F583" s="53">
        <f>_xll.BDP("UNP US Equity","TRAIL_12M_EBITDA")</f>
        <v/>
      </c>
    </row>
    <row r="584">
      <c r="A584" t="inlineStr">
        <is>
          <t>UNP</t>
        </is>
      </c>
      <c r="B584" t="inlineStr">
        <is>
          <t>UNP US Equity</t>
        </is>
      </c>
      <c r="C584" t="inlineStr">
        <is>
          <t>SHORT_AND_LONG_TERM_DEBT</t>
        </is>
      </c>
      <c r="E584" t="inlineStr">
        <is>
          <t>Total debt</t>
        </is>
      </c>
      <c r="F584" s="53">
        <f>_xll.BDP("UNP US Equity","SHORT_AND_LONG_TERM_DEBT")</f>
        <v/>
      </c>
    </row>
    <row r="585">
      <c r="A585" t="inlineStr">
        <is>
          <t>UNP</t>
        </is>
      </c>
      <c r="B585" t="inlineStr">
        <is>
          <t>UNP US Equity</t>
        </is>
      </c>
      <c r="C585" t="inlineStr">
        <is>
          <t>TOTAL_EQUITY</t>
        </is>
      </c>
      <c r="E585" t="inlineStr">
        <is>
          <t>Total equity</t>
        </is>
      </c>
      <c r="F585" s="53">
        <f>_xll.BDP("UNP US Equity","TOTAL_EQUITY")</f>
        <v/>
      </c>
    </row>
    <row r="586">
      <c r="A586" t="inlineStr">
        <is>
          <t>UNP</t>
        </is>
      </c>
      <c r="B586" t="inlineStr">
        <is>
          <t>UNP US Equity</t>
        </is>
      </c>
      <c r="C586" t="inlineStr">
        <is>
          <t>BS_CASH_NEAR_CASH_ITEM</t>
        </is>
      </c>
      <c r="E586" t="inlineStr">
        <is>
          <t>Cash &amp; equivalents</t>
        </is>
      </c>
      <c r="F586" s="53">
        <f>_xll.BDP("UNP US Equity","BS_CASH_NEAR_CASH_ITEM")</f>
        <v/>
      </c>
    </row>
    <row r="587">
      <c r="A587" t="inlineStr">
        <is>
          <t>UNP</t>
        </is>
      </c>
      <c r="B587" t="inlineStr">
        <is>
          <t>UNP US Equity</t>
        </is>
      </c>
      <c r="C587" t="inlineStr">
        <is>
          <t>BEST_EPS</t>
        </is>
      </c>
      <c r="D587" t="inlineStr">
        <is>
          <t>24Y</t>
        </is>
      </c>
      <c r="E587" t="inlineStr">
        <is>
          <t>EPS estimate FY2024</t>
        </is>
      </c>
      <c r="F587" s="53">
        <f>_xll.BDP("UNP US Equity","BEST_EPS","BEST_FPERIOD_OVERRIDE","24Y")</f>
        <v/>
      </c>
    </row>
    <row r="588">
      <c r="A588" t="inlineStr">
        <is>
          <t>UNP</t>
        </is>
      </c>
      <c r="B588" t="inlineStr">
        <is>
          <t>UNP US Equity</t>
        </is>
      </c>
      <c r="C588" t="inlineStr">
        <is>
          <t>BEST_SALES</t>
        </is>
      </c>
      <c r="D588" t="inlineStr">
        <is>
          <t>24Y</t>
        </is>
      </c>
      <c r="E588" t="inlineStr">
        <is>
          <t>Revenue estimate FY2024</t>
        </is>
      </c>
      <c r="F588" s="53">
        <f>_xll.BDP("UNP US Equity","BEST_SALES","BEST_FPERIOD_OVERRIDE","24Y")</f>
        <v/>
      </c>
    </row>
    <row r="589">
      <c r="A589" t="inlineStr">
        <is>
          <t>UNP</t>
        </is>
      </c>
      <c r="B589" t="inlineStr">
        <is>
          <t>UNP US Equity</t>
        </is>
      </c>
      <c r="C589" t="inlineStr">
        <is>
          <t>BEST_EBIT</t>
        </is>
      </c>
      <c r="D589" t="inlineStr">
        <is>
          <t>24Y</t>
        </is>
      </c>
      <c r="E589" t="inlineStr">
        <is>
          <t>EBIT estimate FY2024</t>
        </is>
      </c>
      <c r="F589" s="53">
        <f>_xll.BDP("UNP US Equity","BEST_EBIT","BEST_FPERIOD_OVERRIDE","24Y")</f>
        <v/>
      </c>
    </row>
    <row r="590">
      <c r="A590" t="inlineStr">
        <is>
          <t>UNP</t>
        </is>
      </c>
      <c r="B590" t="inlineStr">
        <is>
          <t>UNP US Equity</t>
        </is>
      </c>
      <c r="C590" t="inlineStr">
        <is>
          <t>BEST_EPS</t>
        </is>
      </c>
      <c r="D590" t="inlineStr">
        <is>
          <t>25Y</t>
        </is>
      </c>
      <c r="E590" t="inlineStr">
        <is>
          <t>EPS estimate FY2025</t>
        </is>
      </c>
      <c r="F590" s="53">
        <f>_xll.BDP("UNP US Equity","BEST_EPS","BEST_FPERIOD_OVERRIDE","25Y")</f>
        <v/>
      </c>
    </row>
    <row r="591">
      <c r="A591" t="inlineStr">
        <is>
          <t>UNP</t>
        </is>
      </c>
      <c r="B591" t="inlineStr">
        <is>
          <t>UNP US Equity</t>
        </is>
      </c>
      <c r="C591" t="inlineStr">
        <is>
          <t>BEST_SALES</t>
        </is>
      </c>
      <c r="D591" t="inlineStr">
        <is>
          <t>25Y</t>
        </is>
      </c>
      <c r="E591" t="inlineStr">
        <is>
          <t>Revenue estimate FY2025</t>
        </is>
      </c>
      <c r="F591" s="53">
        <f>_xll.BDP("UNP US Equity","BEST_SALES","BEST_FPERIOD_OVERRIDE","25Y")</f>
        <v/>
      </c>
    </row>
    <row r="592">
      <c r="A592" t="inlineStr">
        <is>
          <t>UNP</t>
        </is>
      </c>
      <c r="B592" t="inlineStr">
        <is>
          <t>UNP US Equity</t>
        </is>
      </c>
      <c r="C592" t="inlineStr">
        <is>
          <t>BEST_EBIT</t>
        </is>
      </c>
      <c r="D592" t="inlineStr">
        <is>
          <t>25Y</t>
        </is>
      </c>
      <c r="E592" t="inlineStr">
        <is>
          <t>EBIT estimate FY2025</t>
        </is>
      </c>
      <c r="F592" s="53">
        <f>_xll.BDP("UNP US Equity","BEST_EBIT","BEST_FPERIOD_OVERRIDE","25Y")</f>
        <v/>
      </c>
    </row>
    <row r="593">
      <c r="A593" t="inlineStr">
        <is>
          <t>UNP</t>
        </is>
      </c>
      <c r="B593" t="inlineStr">
        <is>
          <t>UNP US Equity</t>
        </is>
      </c>
      <c r="C593" t="inlineStr">
        <is>
          <t>BEST_EPS</t>
        </is>
      </c>
      <c r="D593" t="inlineStr">
        <is>
          <t>26Y</t>
        </is>
      </c>
      <c r="E593" t="inlineStr">
        <is>
          <t>EPS estimate FY2026</t>
        </is>
      </c>
      <c r="F593" s="53">
        <f>_xll.BDP("UNP US Equity","BEST_EPS","BEST_FPERIOD_OVERRIDE","26Y")</f>
        <v/>
      </c>
    </row>
    <row r="594">
      <c r="A594" t="inlineStr">
        <is>
          <t>UNP</t>
        </is>
      </c>
      <c r="B594" t="inlineStr">
        <is>
          <t>UNP US Equity</t>
        </is>
      </c>
      <c r="C594" t="inlineStr">
        <is>
          <t>BEST_SALES</t>
        </is>
      </c>
      <c r="D594" t="inlineStr">
        <is>
          <t>26Y</t>
        </is>
      </c>
      <c r="E594" t="inlineStr">
        <is>
          <t>Revenue estimate FY2026</t>
        </is>
      </c>
      <c r="F594" s="53">
        <f>_xll.BDP("UNP US Equity","BEST_SALES","BEST_FPERIOD_OVERRIDE","26Y")</f>
        <v/>
      </c>
    </row>
    <row r="595">
      <c r="A595" t="inlineStr">
        <is>
          <t>UNP</t>
        </is>
      </c>
      <c r="B595" t="inlineStr">
        <is>
          <t>UNP US Equity</t>
        </is>
      </c>
      <c r="C595" t="inlineStr">
        <is>
          <t>BEST_EBIT</t>
        </is>
      </c>
      <c r="D595" t="inlineStr">
        <is>
          <t>26Y</t>
        </is>
      </c>
      <c r="E595" t="inlineStr">
        <is>
          <t>EBIT estimate FY2026</t>
        </is>
      </c>
      <c r="F595" s="53">
        <f>_xll.BDP("UNP US Equity","BEST_EBIT","BEST_FPERIOD_OVERRIDE","26Y")</f>
        <v/>
      </c>
    </row>
    <row r="596">
      <c r="A596" t="inlineStr">
        <is>
          <t>UNP</t>
        </is>
      </c>
      <c r="B596" t="inlineStr">
        <is>
          <t>UNP US Equity</t>
        </is>
      </c>
      <c r="C596" t="inlineStr">
        <is>
          <t>BEST_EPS</t>
        </is>
      </c>
      <c r="D596" t="inlineStr">
        <is>
          <t>27Y</t>
        </is>
      </c>
      <c r="E596" t="inlineStr">
        <is>
          <t>EPS estimate FY2027</t>
        </is>
      </c>
      <c r="F596" s="53">
        <f>_xll.BDP("UNP US Equity","BEST_EPS","BEST_FPERIOD_OVERRIDE","27Y")</f>
        <v/>
      </c>
    </row>
    <row r="597">
      <c r="A597" t="inlineStr">
        <is>
          <t>UNP</t>
        </is>
      </c>
      <c r="B597" t="inlineStr">
        <is>
          <t>UNP US Equity</t>
        </is>
      </c>
      <c r="C597" t="inlineStr">
        <is>
          <t>BEST_SALES</t>
        </is>
      </c>
      <c r="D597" t="inlineStr">
        <is>
          <t>27Y</t>
        </is>
      </c>
      <c r="E597" t="inlineStr">
        <is>
          <t>Revenue estimate FY2027</t>
        </is>
      </c>
      <c r="F597" s="53">
        <f>_xll.BDP("UNP US Equity","BEST_SALES","BEST_FPERIOD_OVERRIDE","27Y")</f>
        <v/>
      </c>
    </row>
    <row r="598">
      <c r="A598" t="inlineStr">
        <is>
          <t>UNP</t>
        </is>
      </c>
      <c r="B598" t="inlineStr">
        <is>
          <t>UNP US Equity</t>
        </is>
      </c>
      <c r="C598" t="inlineStr">
        <is>
          <t>BEST_EBIT</t>
        </is>
      </c>
      <c r="D598" t="inlineStr">
        <is>
          <t>27Y</t>
        </is>
      </c>
      <c r="E598" t="inlineStr">
        <is>
          <t>EBIT estimate FY2027</t>
        </is>
      </c>
      <c r="F598" s="53">
        <f>_xll.BDP("UNP US Equity","BEST_EBIT","BEST_FPERIOD_OVERRIDE","27Y")</f>
        <v/>
      </c>
    </row>
    <row r="599">
      <c r="A599" t="inlineStr">
        <is>
          <t>UNP</t>
        </is>
      </c>
      <c r="B599" t="inlineStr">
        <is>
          <t>UNP US Equity</t>
        </is>
      </c>
      <c r="C599" t="inlineStr">
        <is>
          <t>BEST_EPS</t>
        </is>
      </c>
      <c r="D599" t="inlineStr">
        <is>
          <t>28Y</t>
        </is>
      </c>
      <c r="E599" t="inlineStr">
        <is>
          <t>EPS estimate FY2028</t>
        </is>
      </c>
      <c r="F599" s="53">
        <f>_xll.BDP("UNP US Equity","BEST_EPS","BEST_FPERIOD_OVERRIDE","28Y")</f>
        <v/>
      </c>
    </row>
    <row r="600">
      <c r="A600" t="inlineStr">
        <is>
          <t>UNP</t>
        </is>
      </c>
      <c r="B600" t="inlineStr">
        <is>
          <t>UNP US Equity</t>
        </is>
      </c>
      <c r="C600" t="inlineStr">
        <is>
          <t>BEST_SALES</t>
        </is>
      </c>
      <c r="D600" t="inlineStr">
        <is>
          <t>28Y</t>
        </is>
      </c>
      <c r="E600" t="inlineStr">
        <is>
          <t>Revenue estimate FY2028</t>
        </is>
      </c>
      <c r="F600" s="53">
        <f>_xll.BDP("UNP US Equity","BEST_SALES","BEST_FPERIOD_OVERRIDE","28Y")</f>
        <v/>
      </c>
    </row>
    <row r="601">
      <c r="A601" t="inlineStr">
        <is>
          <t>UNP</t>
        </is>
      </c>
      <c r="B601" t="inlineStr">
        <is>
          <t>UNP US Equity</t>
        </is>
      </c>
      <c r="C601" t="inlineStr">
        <is>
          <t>BEST_EBIT</t>
        </is>
      </c>
      <c r="D601" t="inlineStr">
        <is>
          <t>28Y</t>
        </is>
      </c>
      <c r="E601" t="inlineStr">
        <is>
          <t>EBIT estimate FY2028</t>
        </is>
      </c>
      <c r="F601" s="53">
        <f>_xll.BDP("UNP US Equity","BEST_EBIT","BEST_FPERIOD_OVERRIDE","28Y")</f>
        <v/>
      </c>
    </row>
    <row r="602">
      <c r="A602" t="inlineStr">
        <is>
          <t>ETN</t>
        </is>
      </c>
      <c r="B602" t="inlineStr">
        <is>
          <t>ETN US Equity</t>
        </is>
      </c>
      <c r="C602" t="inlineStr">
        <is>
          <t>PX_LAST</t>
        </is>
      </c>
      <c r="E602" t="inlineStr">
        <is>
          <t>Last price</t>
        </is>
      </c>
      <c r="F602" s="53">
        <f>_xll.BDP("ETN US Equity","PX_LAST")</f>
        <v/>
      </c>
    </row>
    <row r="603">
      <c r="A603" t="inlineStr">
        <is>
          <t>ETN</t>
        </is>
      </c>
      <c r="B603" t="inlineStr">
        <is>
          <t>ETN US Equity</t>
        </is>
      </c>
      <c r="C603" t="inlineStr">
        <is>
          <t>CUR_MKT_CAP</t>
        </is>
      </c>
      <c r="E603" t="inlineStr">
        <is>
          <t>Market cap (raw)</t>
        </is>
      </c>
      <c r="F603" s="53">
        <f>_xll.BDP("ETN US Equity","CUR_MKT_CAP")</f>
        <v/>
      </c>
    </row>
    <row r="604">
      <c r="A604" t="inlineStr">
        <is>
          <t>ETN</t>
        </is>
      </c>
      <c r="B604" t="inlineStr">
        <is>
          <t>ETN US Equity</t>
        </is>
      </c>
      <c r="C604" t="inlineStr">
        <is>
          <t>CHG_PCT_YTD</t>
        </is>
      </c>
      <c r="E604" t="inlineStr">
        <is>
          <t>YTD price change %</t>
        </is>
      </c>
      <c r="F604" s="53">
        <f>_xll.BDP("ETN US Equity","CHG_PCT_YTD")</f>
        <v/>
      </c>
    </row>
    <row r="605">
      <c r="A605" t="inlineStr">
        <is>
          <t>ETN</t>
        </is>
      </c>
      <c r="B605" t="inlineStr">
        <is>
          <t>ETN US Equity</t>
        </is>
      </c>
      <c r="C605" t="inlineStr">
        <is>
          <t>NET_DEBT_TO_EBITDA</t>
        </is>
      </c>
      <c r="E605" t="inlineStr">
        <is>
          <t>Net debt / EBITDA</t>
        </is>
      </c>
      <c r="F605" s="53">
        <f>_xll.BDP("ETN US Equity","NET_DEBT_TO_EBITDA")</f>
        <v/>
      </c>
    </row>
    <row r="606">
      <c r="A606" t="inlineStr">
        <is>
          <t>ETN</t>
        </is>
      </c>
      <c r="B606" t="inlineStr">
        <is>
          <t>ETN US Equity</t>
        </is>
      </c>
      <c r="C606" t="inlineStr">
        <is>
          <t>RETURN_ON_INV_CAPITAL</t>
        </is>
      </c>
      <c r="E606" t="inlineStr">
        <is>
          <t>ROIC (LTM)</t>
        </is>
      </c>
      <c r="F606" s="53">
        <f>_xll.BDP("ETN US Equity","RETURN_ON_INV_CAPITAL")</f>
        <v/>
      </c>
    </row>
    <row r="607">
      <c r="A607" t="inlineStr">
        <is>
          <t>ETN</t>
        </is>
      </c>
      <c r="B607" t="inlineStr">
        <is>
          <t>ETN US Equity</t>
        </is>
      </c>
      <c r="C607" t="inlineStr">
        <is>
          <t>TRAIL_12M_OPER_INC</t>
        </is>
      </c>
      <c r="E607" t="inlineStr">
        <is>
          <t>LTM operating income</t>
        </is>
      </c>
      <c r="F607" s="53">
        <f>_xll.BDP("ETN US Equity","TRAIL_12M_OPER_INC")</f>
        <v/>
      </c>
    </row>
    <row r="608">
      <c r="A608" t="inlineStr">
        <is>
          <t>ETN</t>
        </is>
      </c>
      <c r="B608" t="inlineStr">
        <is>
          <t>ETN US Equity</t>
        </is>
      </c>
      <c r="C608" t="inlineStr">
        <is>
          <t>TRAIL_12M_EBITDA</t>
        </is>
      </c>
      <c r="E608" t="inlineStr">
        <is>
          <t>LTM EBITDA</t>
        </is>
      </c>
      <c r="F608" s="53">
        <f>_xll.BDP("ETN US Equity","TRAIL_12M_EBITDA")</f>
        <v/>
      </c>
    </row>
    <row r="609">
      <c r="A609" t="inlineStr">
        <is>
          <t>ETN</t>
        </is>
      </c>
      <c r="B609" t="inlineStr">
        <is>
          <t>ETN US Equity</t>
        </is>
      </c>
      <c r="C609" t="inlineStr">
        <is>
          <t>SHORT_AND_LONG_TERM_DEBT</t>
        </is>
      </c>
      <c r="E609" t="inlineStr">
        <is>
          <t>Total debt</t>
        </is>
      </c>
      <c r="F609" s="53">
        <f>_xll.BDP("ETN US Equity","SHORT_AND_LONG_TERM_DEBT")</f>
        <v/>
      </c>
    </row>
    <row r="610">
      <c r="A610" t="inlineStr">
        <is>
          <t>ETN</t>
        </is>
      </c>
      <c r="B610" t="inlineStr">
        <is>
          <t>ETN US Equity</t>
        </is>
      </c>
      <c r="C610" t="inlineStr">
        <is>
          <t>TOTAL_EQUITY</t>
        </is>
      </c>
      <c r="E610" t="inlineStr">
        <is>
          <t>Total equity</t>
        </is>
      </c>
      <c r="F610" s="53">
        <f>_xll.BDP("ETN US Equity","TOTAL_EQUITY")</f>
        <v/>
      </c>
    </row>
    <row r="611">
      <c r="A611" t="inlineStr">
        <is>
          <t>ETN</t>
        </is>
      </c>
      <c r="B611" t="inlineStr">
        <is>
          <t>ETN US Equity</t>
        </is>
      </c>
      <c r="C611" t="inlineStr">
        <is>
          <t>BS_CASH_NEAR_CASH_ITEM</t>
        </is>
      </c>
      <c r="E611" t="inlineStr">
        <is>
          <t>Cash &amp; equivalents</t>
        </is>
      </c>
      <c r="F611" s="53">
        <f>_xll.BDP("ETN US Equity","BS_CASH_NEAR_CASH_ITEM")</f>
        <v/>
      </c>
    </row>
    <row r="612">
      <c r="A612" t="inlineStr">
        <is>
          <t>ETN</t>
        </is>
      </c>
      <c r="B612" t="inlineStr">
        <is>
          <t>ETN US Equity</t>
        </is>
      </c>
      <c r="C612" t="inlineStr">
        <is>
          <t>BEST_EPS</t>
        </is>
      </c>
      <c r="D612" t="inlineStr">
        <is>
          <t>24Y</t>
        </is>
      </c>
      <c r="E612" t="inlineStr">
        <is>
          <t>EPS estimate FY2024</t>
        </is>
      </c>
      <c r="F612" s="53">
        <f>_xll.BDP("ETN US Equity","BEST_EPS","BEST_FPERIOD_OVERRIDE","24Y")</f>
        <v/>
      </c>
    </row>
    <row r="613">
      <c r="A613" t="inlineStr">
        <is>
          <t>ETN</t>
        </is>
      </c>
      <c r="B613" t="inlineStr">
        <is>
          <t>ETN US Equity</t>
        </is>
      </c>
      <c r="C613" t="inlineStr">
        <is>
          <t>BEST_SALES</t>
        </is>
      </c>
      <c r="D613" t="inlineStr">
        <is>
          <t>24Y</t>
        </is>
      </c>
      <c r="E613" t="inlineStr">
        <is>
          <t>Revenue estimate FY2024</t>
        </is>
      </c>
      <c r="F613" s="53">
        <f>_xll.BDP("ETN US Equity","BEST_SALES","BEST_FPERIOD_OVERRIDE","24Y")</f>
        <v/>
      </c>
    </row>
    <row r="614">
      <c r="A614" t="inlineStr">
        <is>
          <t>ETN</t>
        </is>
      </c>
      <c r="B614" t="inlineStr">
        <is>
          <t>ETN US Equity</t>
        </is>
      </c>
      <c r="C614" t="inlineStr">
        <is>
          <t>BEST_EBIT</t>
        </is>
      </c>
      <c r="D614" t="inlineStr">
        <is>
          <t>24Y</t>
        </is>
      </c>
      <c r="E614" t="inlineStr">
        <is>
          <t>EBIT estimate FY2024</t>
        </is>
      </c>
      <c r="F614" s="53">
        <f>_xll.BDP("ETN US Equity","BEST_EBIT","BEST_FPERIOD_OVERRIDE","24Y")</f>
        <v/>
      </c>
    </row>
    <row r="615">
      <c r="A615" t="inlineStr">
        <is>
          <t>ETN</t>
        </is>
      </c>
      <c r="B615" t="inlineStr">
        <is>
          <t>ETN US Equity</t>
        </is>
      </c>
      <c r="C615" t="inlineStr">
        <is>
          <t>BEST_EPS</t>
        </is>
      </c>
      <c r="D615" t="inlineStr">
        <is>
          <t>25Y</t>
        </is>
      </c>
      <c r="E615" t="inlineStr">
        <is>
          <t>EPS estimate FY2025</t>
        </is>
      </c>
      <c r="F615" s="53">
        <f>_xll.BDP("ETN US Equity","BEST_EPS","BEST_FPERIOD_OVERRIDE","25Y")</f>
        <v/>
      </c>
    </row>
    <row r="616">
      <c r="A616" t="inlineStr">
        <is>
          <t>ETN</t>
        </is>
      </c>
      <c r="B616" t="inlineStr">
        <is>
          <t>ETN US Equity</t>
        </is>
      </c>
      <c r="C616" t="inlineStr">
        <is>
          <t>BEST_SALES</t>
        </is>
      </c>
      <c r="D616" t="inlineStr">
        <is>
          <t>25Y</t>
        </is>
      </c>
      <c r="E616" t="inlineStr">
        <is>
          <t>Revenue estimate FY2025</t>
        </is>
      </c>
      <c r="F616" s="53">
        <f>_xll.BDP("ETN US Equity","BEST_SALES","BEST_FPERIOD_OVERRIDE","25Y")</f>
        <v/>
      </c>
    </row>
    <row r="617">
      <c r="A617" t="inlineStr">
        <is>
          <t>ETN</t>
        </is>
      </c>
      <c r="B617" t="inlineStr">
        <is>
          <t>ETN US Equity</t>
        </is>
      </c>
      <c r="C617" t="inlineStr">
        <is>
          <t>BEST_EBIT</t>
        </is>
      </c>
      <c r="D617" t="inlineStr">
        <is>
          <t>25Y</t>
        </is>
      </c>
      <c r="E617" t="inlineStr">
        <is>
          <t>EBIT estimate FY2025</t>
        </is>
      </c>
      <c r="F617" s="53">
        <f>_xll.BDP("ETN US Equity","BEST_EBIT","BEST_FPERIOD_OVERRIDE","25Y")</f>
        <v/>
      </c>
    </row>
    <row r="618">
      <c r="A618" t="inlineStr">
        <is>
          <t>ETN</t>
        </is>
      </c>
      <c r="B618" t="inlineStr">
        <is>
          <t>ETN US Equity</t>
        </is>
      </c>
      <c r="C618" t="inlineStr">
        <is>
          <t>BEST_EPS</t>
        </is>
      </c>
      <c r="D618" t="inlineStr">
        <is>
          <t>26Y</t>
        </is>
      </c>
      <c r="E618" t="inlineStr">
        <is>
          <t>EPS estimate FY2026</t>
        </is>
      </c>
      <c r="F618" s="53">
        <f>_xll.BDP("ETN US Equity","BEST_EPS","BEST_FPERIOD_OVERRIDE","26Y")</f>
        <v/>
      </c>
    </row>
    <row r="619">
      <c r="A619" t="inlineStr">
        <is>
          <t>ETN</t>
        </is>
      </c>
      <c r="B619" t="inlineStr">
        <is>
          <t>ETN US Equity</t>
        </is>
      </c>
      <c r="C619" t="inlineStr">
        <is>
          <t>BEST_SALES</t>
        </is>
      </c>
      <c r="D619" t="inlineStr">
        <is>
          <t>26Y</t>
        </is>
      </c>
      <c r="E619" t="inlineStr">
        <is>
          <t>Revenue estimate FY2026</t>
        </is>
      </c>
      <c r="F619" s="53">
        <f>_xll.BDP("ETN US Equity","BEST_SALES","BEST_FPERIOD_OVERRIDE","26Y")</f>
        <v/>
      </c>
    </row>
    <row r="620">
      <c r="A620" t="inlineStr">
        <is>
          <t>ETN</t>
        </is>
      </c>
      <c r="B620" t="inlineStr">
        <is>
          <t>ETN US Equity</t>
        </is>
      </c>
      <c r="C620" t="inlineStr">
        <is>
          <t>BEST_EBIT</t>
        </is>
      </c>
      <c r="D620" t="inlineStr">
        <is>
          <t>26Y</t>
        </is>
      </c>
      <c r="E620" t="inlineStr">
        <is>
          <t>EBIT estimate FY2026</t>
        </is>
      </c>
      <c r="F620" s="53">
        <f>_xll.BDP("ETN US Equity","BEST_EBIT","BEST_FPERIOD_OVERRIDE","26Y")</f>
        <v/>
      </c>
    </row>
    <row r="621">
      <c r="A621" t="inlineStr">
        <is>
          <t>ETN</t>
        </is>
      </c>
      <c r="B621" t="inlineStr">
        <is>
          <t>ETN US Equity</t>
        </is>
      </c>
      <c r="C621" t="inlineStr">
        <is>
          <t>BEST_EPS</t>
        </is>
      </c>
      <c r="D621" t="inlineStr">
        <is>
          <t>27Y</t>
        </is>
      </c>
      <c r="E621" t="inlineStr">
        <is>
          <t>EPS estimate FY2027</t>
        </is>
      </c>
      <c r="F621" s="53">
        <f>_xll.BDP("ETN US Equity","BEST_EPS","BEST_FPERIOD_OVERRIDE","27Y")</f>
        <v/>
      </c>
    </row>
    <row r="622">
      <c r="A622" t="inlineStr">
        <is>
          <t>ETN</t>
        </is>
      </c>
      <c r="B622" t="inlineStr">
        <is>
          <t>ETN US Equity</t>
        </is>
      </c>
      <c r="C622" t="inlineStr">
        <is>
          <t>BEST_SALES</t>
        </is>
      </c>
      <c r="D622" t="inlineStr">
        <is>
          <t>27Y</t>
        </is>
      </c>
      <c r="E622" t="inlineStr">
        <is>
          <t>Revenue estimate FY2027</t>
        </is>
      </c>
      <c r="F622" s="53">
        <f>_xll.BDP("ETN US Equity","BEST_SALES","BEST_FPERIOD_OVERRIDE","27Y")</f>
        <v/>
      </c>
    </row>
    <row r="623">
      <c r="A623" t="inlineStr">
        <is>
          <t>ETN</t>
        </is>
      </c>
      <c r="B623" t="inlineStr">
        <is>
          <t>ETN US Equity</t>
        </is>
      </c>
      <c r="C623" t="inlineStr">
        <is>
          <t>BEST_EBIT</t>
        </is>
      </c>
      <c r="D623" t="inlineStr">
        <is>
          <t>27Y</t>
        </is>
      </c>
      <c r="E623" t="inlineStr">
        <is>
          <t>EBIT estimate FY2027</t>
        </is>
      </c>
      <c r="F623" s="53">
        <f>_xll.BDP("ETN US Equity","BEST_EBIT","BEST_FPERIOD_OVERRIDE","27Y")</f>
        <v/>
      </c>
    </row>
    <row r="624">
      <c r="A624" t="inlineStr">
        <is>
          <t>ETN</t>
        </is>
      </c>
      <c r="B624" t="inlineStr">
        <is>
          <t>ETN US Equity</t>
        </is>
      </c>
      <c r="C624" t="inlineStr">
        <is>
          <t>BEST_EPS</t>
        </is>
      </c>
      <c r="D624" t="inlineStr">
        <is>
          <t>28Y</t>
        </is>
      </c>
      <c r="E624" t="inlineStr">
        <is>
          <t>EPS estimate FY2028</t>
        </is>
      </c>
      <c r="F624" s="53">
        <f>_xll.BDP("ETN US Equity","BEST_EPS","BEST_FPERIOD_OVERRIDE","28Y")</f>
        <v/>
      </c>
    </row>
    <row r="625">
      <c r="A625" t="inlineStr">
        <is>
          <t>ETN</t>
        </is>
      </c>
      <c r="B625" t="inlineStr">
        <is>
          <t>ETN US Equity</t>
        </is>
      </c>
      <c r="C625" t="inlineStr">
        <is>
          <t>BEST_SALES</t>
        </is>
      </c>
      <c r="D625" t="inlineStr">
        <is>
          <t>28Y</t>
        </is>
      </c>
      <c r="E625" t="inlineStr">
        <is>
          <t>Revenue estimate FY2028</t>
        </is>
      </c>
      <c r="F625" s="53">
        <f>_xll.BDP("ETN US Equity","BEST_SALES","BEST_FPERIOD_OVERRIDE","28Y")</f>
        <v/>
      </c>
    </row>
    <row r="626">
      <c r="A626" t="inlineStr">
        <is>
          <t>ETN</t>
        </is>
      </c>
      <c r="B626" t="inlineStr">
        <is>
          <t>ETN US Equity</t>
        </is>
      </c>
      <c r="C626" t="inlineStr">
        <is>
          <t>BEST_EBIT</t>
        </is>
      </c>
      <c r="D626" t="inlineStr">
        <is>
          <t>28Y</t>
        </is>
      </c>
      <c r="E626" t="inlineStr">
        <is>
          <t>EBIT estimate FY2028</t>
        </is>
      </c>
      <c r="F626" s="53">
        <f>_xll.BDP("ETN US Equity","BEST_EBIT","BEST_FPERIOD_OVERRIDE","28Y")</f>
        <v/>
      </c>
    </row>
    <row r="627">
      <c r="A627" t="inlineStr">
        <is>
          <t>HCA</t>
        </is>
      </c>
      <c r="B627" t="inlineStr">
        <is>
          <t>HCA US Equity</t>
        </is>
      </c>
      <c r="C627" t="inlineStr">
        <is>
          <t>PX_LAST</t>
        </is>
      </c>
      <c r="E627" t="inlineStr">
        <is>
          <t>Last price</t>
        </is>
      </c>
      <c r="F627" s="53">
        <f>_xll.BDP("HCA US Equity","PX_LAST")</f>
        <v/>
      </c>
    </row>
    <row r="628">
      <c r="A628" t="inlineStr">
        <is>
          <t>HCA</t>
        </is>
      </c>
      <c r="B628" t="inlineStr">
        <is>
          <t>HCA US Equity</t>
        </is>
      </c>
      <c r="C628" t="inlineStr">
        <is>
          <t>CUR_MKT_CAP</t>
        </is>
      </c>
      <c r="E628" t="inlineStr">
        <is>
          <t>Market cap (raw)</t>
        </is>
      </c>
      <c r="F628" s="53">
        <f>_xll.BDP("HCA US Equity","CUR_MKT_CAP")</f>
        <v/>
      </c>
    </row>
    <row r="629">
      <c r="A629" t="inlineStr">
        <is>
          <t>HCA</t>
        </is>
      </c>
      <c r="B629" t="inlineStr">
        <is>
          <t>HCA US Equity</t>
        </is>
      </c>
      <c r="C629" t="inlineStr">
        <is>
          <t>CHG_PCT_YTD</t>
        </is>
      </c>
      <c r="E629" t="inlineStr">
        <is>
          <t>YTD price change %</t>
        </is>
      </c>
      <c r="F629" s="53">
        <f>_xll.BDP("HCA US Equity","CHG_PCT_YTD")</f>
        <v/>
      </c>
    </row>
    <row r="630">
      <c r="A630" t="inlineStr">
        <is>
          <t>HCA</t>
        </is>
      </c>
      <c r="B630" t="inlineStr">
        <is>
          <t>HCA US Equity</t>
        </is>
      </c>
      <c r="C630" t="inlineStr">
        <is>
          <t>NET_DEBT_TO_EBITDA</t>
        </is>
      </c>
      <c r="E630" t="inlineStr">
        <is>
          <t>Net debt / EBITDA</t>
        </is>
      </c>
      <c r="F630" s="53">
        <f>_xll.BDP("HCA US Equity","NET_DEBT_TO_EBITDA")</f>
        <v/>
      </c>
    </row>
    <row r="631">
      <c r="A631" t="inlineStr">
        <is>
          <t>HCA</t>
        </is>
      </c>
      <c r="B631" t="inlineStr">
        <is>
          <t>HCA US Equity</t>
        </is>
      </c>
      <c r="C631" t="inlineStr">
        <is>
          <t>RETURN_ON_INV_CAPITAL</t>
        </is>
      </c>
      <c r="E631" t="inlineStr">
        <is>
          <t>ROIC (LTM)</t>
        </is>
      </c>
      <c r="F631" s="53">
        <f>_xll.BDP("HCA US Equity","RETURN_ON_INV_CAPITAL")</f>
        <v/>
      </c>
    </row>
    <row r="632">
      <c r="A632" t="inlineStr">
        <is>
          <t>HCA</t>
        </is>
      </c>
      <c r="B632" t="inlineStr">
        <is>
          <t>HCA US Equity</t>
        </is>
      </c>
      <c r="C632" t="inlineStr">
        <is>
          <t>TRAIL_12M_OPER_INC</t>
        </is>
      </c>
      <c r="E632" t="inlineStr">
        <is>
          <t>LTM operating income</t>
        </is>
      </c>
      <c r="F632" s="53">
        <f>_xll.BDP("HCA US Equity","TRAIL_12M_OPER_INC")</f>
        <v/>
      </c>
    </row>
    <row r="633">
      <c r="A633" t="inlineStr">
        <is>
          <t>HCA</t>
        </is>
      </c>
      <c r="B633" t="inlineStr">
        <is>
          <t>HCA US Equity</t>
        </is>
      </c>
      <c r="C633" t="inlineStr">
        <is>
          <t>TRAIL_12M_EBITDA</t>
        </is>
      </c>
      <c r="E633" t="inlineStr">
        <is>
          <t>LTM EBITDA</t>
        </is>
      </c>
      <c r="F633" s="53">
        <f>_xll.BDP("HCA US Equity","TRAIL_12M_EBITDA")</f>
        <v/>
      </c>
    </row>
    <row r="634">
      <c r="A634" t="inlineStr">
        <is>
          <t>HCA</t>
        </is>
      </c>
      <c r="B634" t="inlineStr">
        <is>
          <t>HCA US Equity</t>
        </is>
      </c>
      <c r="C634" t="inlineStr">
        <is>
          <t>SHORT_AND_LONG_TERM_DEBT</t>
        </is>
      </c>
      <c r="E634" t="inlineStr">
        <is>
          <t>Total debt</t>
        </is>
      </c>
      <c r="F634" s="53">
        <f>_xll.BDP("HCA US Equity","SHORT_AND_LONG_TERM_DEBT")</f>
        <v/>
      </c>
    </row>
    <row r="635">
      <c r="A635" t="inlineStr">
        <is>
          <t>HCA</t>
        </is>
      </c>
      <c r="B635" t="inlineStr">
        <is>
          <t>HCA US Equity</t>
        </is>
      </c>
      <c r="C635" t="inlineStr">
        <is>
          <t>TOTAL_EQUITY</t>
        </is>
      </c>
      <c r="E635" t="inlineStr">
        <is>
          <t>Total equity</t>
        </is>
      </c>
      <c r="F635" s="53">
        <f>_xll.BDP("HCA US Equity","TOTAL_EQUITY")</f>
        <v/>
      </c>
    </row>
    <row r="636">
      <c r="A636" t="inlineStr">
        <is>
          <t>HCA</t>
        </is>
      </c>
      <c r="B636" t="inlineStr">
        <is>
          <t>HCA US Equity</t>
        </is>
      </c>
      <c r="C636" t="inlineStr">
        <is>
          <t>BS_CASH_NEAR_CASH_ITEM</t>
        </is>
      </c>
      <c r="E636" t="inlineStr">
        <is>
          <t>Cash &amp; equivalents</t>
        </is>
      </c>
      <c r="F636" s="53">
        <f>_xll.BDP("HCA US Equity","BS_CASH_NEAR_CASH_ITEM")</f>
        <v/>
      </c>
    </row>
    <row r="637">
      <c r="A637" t="inlineStr">
        <is>
          <t>HCA</t>
        </is>
      </c>
      <c r="B637" t="inlineStr">
        <is>
          <t>HCA US Equity</t>
        </is>
      </c>
      <c r="C637" t="inlineStr">
        <is>
          <t>BEST_EPS</t>
        </is>
      </c>
      <c r="D637" t="inlineStr">
        <is>
          <t>24Y</t>
        </is>
      </c>
      <c r="E637" t="inlineStr">
        <is>
          <t>EPS estimate FY2024</t>
        </is>
      </c>
      <c r="F637" s="53">
        <f>_xll.BDP("HCA US Equity","BEST_EPS","BEST_FPERIOD_OVERRIDE","24Y")</f>
        <v/>
      </c>
    </row>
    <row r="638">
      <c r="A638" t="inlineStr">
        <is>
          <t>HCA</t>
        </is>
      </c>
      <c r="B638" t="inlineStr">
        <is>
          <t>HCA US Equity</t>
        </is>
      </c>
      <c r="C638" t="inlineStr">
        <is>
          <t>BEST_SALES</t>
        </is>
      </c>
      <c r="D638" t="inlineStr">
        <is>
          <t>24Y</t>
        </is>
      </c>
      <c r="E638" t="inlineStr">
        <is>
          <t>Revenue estimate FY2024</t>
        </is>
      </c>
      <c r="F638" s="53">
        <f>_xll.BDP("HCA US Equity","BEST_SALES","BEST_FPERIOD_OVERRIDE","24Y")</f>
        <v/>
      </c>
    </row>
    <row r="639">
      <c r="A639" t="inlineStr">
        <is>
          <t>HCA</t>
        </is>
      </c>
      <c r="B639" t="inlineStr">
        <is>
          <t>HCA US Equity</t>
        </is>
      </c>
      <c r="C639" t="inlineStr">
        <is>
          <t>BEST_EBIT</t>
        </is>
      </c>
      <c r="D639" t="inlineStr">
        <is>
          <t>24Y</t>
        </is>
      </c>
      <c r="E639" t="inlineStr">
        <is>
          <t>EBIT estimate FY2024</t>
        </is>
      </c>
      <c r="F639" s="53">
        <f>_xll.BDP("HCA US Equity","BEST_EBIT","BEST_FPERIOD_OVERRIDE","24Y")</f>
        <v/>
      </c>
    </row>
    <row r="640">
      <c r="A640" t="inlineStr">
        <is>
          <t>HCA</t>
        </is>
      </c>
      <c r="B640" t="inlineStr">
        <is>
          <t>HCA US Equity</t>
        </is>
      </c>
      <c r="C640" t="inlineStr">
        <is>
          <t>BEST_EPS</t>
        </is>
      </c>
      <c r="D640" t="inlineStr">
        <is>
          <t>25Y</t>
        </is>
      </c>
      <c r="E640" t="inlineStr">
        <is>
          <t>EPS estimate FY2025</t>
        </is>
      </c>
      <c r="F640" s="53">
        <f>_xll.BDP("HCA US Equity","BEST_EPS","BEST_FPERIOD_OVERRIDE","25Y")</f>
        <v/>
      </c>
    </row>
    <row r="641">
      <c r="A641" t="inlineStr">
        <is>
          <t>HCA</t>
        </is>
      </c>
      <c r="B641" t="inlineStr">
        <is>
          <t>HCA US Equity</t>
        </is>
      </c>
      <c r="C641" t="inlineStr">
        <is>
          <t>BEST_SALES</t>
        </is>
      </c>
      <c r="D641" t="inlineStr">
        <is>
          <t>25Y</t>
        </is>
      </c>
      <c r="E641" t="inlineStr">
        <is>
          <t>Revenue estimate FY2025</t>
        </is>
      </c>
      <c r="F641" s="53">
        <f>_xll.BDP("HCA US Equity","BEST_SALES","BEST_FPERIOD_OVERRIDE","25Y")</f>
        <v/>
      </c>
    </row>
    <row r="642">
      <c r="A642" t="inlineStr">
        <is>
          <t>HCA</t>
        </is>
      </c>
      <c r="B642" t="inlineStr">
        <is>
          <t>HCA US Equity</t>
        </is>
      </c>
      <c r="C642" t="inlineStr">
        <is>
          <t>BEST_EBIT</t>
        </is>
      </c>
      <c r="D642" t="inlineStr">
        <is>
          <t>25Y</t>
        </is>
      </c>
      <c r="E642" t="inlineStr">
        <is>
          <t>EBIT estimate FY2025</t>
        </is>
      </c>
      <c r="F642" s="53">
        <f>_xll.BDP("HCA US Equity","BEST_EBIT","BEST_FPERIOD_OVERRIDE","25Y")</f>
        <v/>
      </c>
    </row>
    <row r="643">
      <c r="A643" t="inlineStr">
        <is>
          <t>HCA</t>
        </is>
      </c>
      <c r="B643" t="inlineStr">
        <is>
          <t>HCA US Equity</t>
        </is>
      </c>
      <c r="C643" t="inlineStr">
        <is>
          <t>BEST_EPS</t>
        </is>
      </c>
      <c r="D643" t="inlineStr">
        <is>
          <t>26Y</t>
        </is>
      </c>
      <c r="E643" t="inlineStr">
        <is>
          <t>EPS estimate FY2026</t>
        </is>
      </c>
      <c r="F643" s="53">
        <f>_xll.BDP("HCA US Equity","BEST_EPS","BEST_FPERIOD_OVERRIDE","26Y")</f>
        <v/>
      </c>
    </row>
    <row r="644">
      <c r="A644" t="inlineStr">
        <is>
          <t>HCA</t>
        </is>
      </c>
      <c r="B644" t="inlineStr">
        <is>
          <t>HCA US Equity</t>
        </is>
      </c>
      <c r="C644" t="inlineStr">
        <is>
          <t>BEST_SALES</t>
        </is>
      </c>
      <c r="D644" t="inlineStr">
        <is>
          <t>26Y</t>
        </is>
      </c>
      <c r="E644" t="inlineStr">
        <is>
          <t>Revenue estimate FY2026</t>
        </is>
      </c>
      <c r="F644" s="53">
        <f>_xll.BDP("HCA US Equity","BEST_SALES","BEST_FPERIOD_OVERRIDE","26Y")</f>
        <v/>
      </c>
    </row>
    <row r="645">
      <c r="A645" t="inlineStr">
        <is>
          <t>HCA</t>
        </is>
      </c>
      <c r="B645" t="inlineStr">
        <is>
          <t>HCA US Equity</t>
        </is>
      </c>
      <c r="C645" t="inlineStr">
        <is>
          <t>BEST_EBIT</t>
        </is>
      </c>
      <c r="D645" t="inlineStr">
        <is>
          <t>26Y</t>
        </is>
      </c>
      <c r="E645" t="inlineStr">
        <is>
          <t>EBIT estimate FY2026</t>
        </is>
      </c>
      <c r="F645" s="53">
        <f>_xll.BDP("HCA US Equity","BEST_EBIT","BEST_FPERIOD_OVERRIDE","26Y")</f>
        <v/>
      </c>
    </row>
    <row r="646">
      <c r="A646" t="inlineStr">
        <is>
          <t>HCA</t>
        </is>
      </c>
      <c r="B646" t="inlineStr">
        <is>
          <t>HCA US Equity</t>
        </is>
      </c>
      <c r="C646" t="inlineStr">
        <is>
          <t>BEST_EPS</t>
        </is>
      </c>
      <c r="D646" t="inlineStr">
        <is>
          <t>27Y</t>
        </is>
      </c>
      <c r="E646" t="inlineStr">
        <is>
          <t>EPS estimate FY2027</t>
        </is>
      </c>
      <c r="F646" s="53">
        <f>_xll.BDP("HCA US Equity","BEST_EPS","BEST_FPERIOD_OVERRIDE","27Y")</f>
        <v/>
      </c>
    </row>
    <row r="647">
      <c r="A647" t="inlineStr">
        <is>
          <t>HCA</t>
        </is>
      </c>
      <c r="B647" t="inlineStr">
        <is>
          <t>HCA US Equity</t>
        </is>
      </c>
      <c r="C647" t="inlineStr">
        <is>
          <t>BEST_SALES</t>
        </is>
      </c>
      <c r="D647" t="inlineStr">
        <is>
          <t>27Y</t>
        </is>
      </c>
      <c r="E647" t="inlineStr">
        <is>
          <t>Revenue estimate FY2027</t>
        </is>
      </c>
      <c r="F647" s="53">
        <f>_xll.BDP("HCA US Equity","BEST_SALES","BEST_FPERIOD_OVERRIDE","27Y")</f>
        <v/>
      </c>
    </row>
    <row r="648">
      <c r="A648" t="inlineStr">
        <is>
          <t>HCA</t>
        </is>
      </c>
      <c r="B648" t="inlineStr">
        <is>
          <t>HCA US Equity</t>
        </is>
      </c>
      <c r="C648" t="inlineStr">
        <is>
          <t>BEST_EBIT</t>
        </is>
      </c>
      <c r="D648" t="inlineStr">
        <is>
          <t>27Y</t>
        </is>
      </c>
      <c r="E648" t="inlineStr">
        <is>
          <t>EBIT estimate FY2027</t>
        </is>
      </c>
      <c r="F648" s="53">
        <f>_xll.BDP("HCA US Equity","BEST_EBIT","BEST_FPERIOD_OVERRIDE","27Y")</f>
        <v/>
      </c>
    </row>
    <row r="649">
      <c r="A649" t="inlineStr">
        <is>
          <t>HCA</t>
        </is>
      </c>
      <c r="B649" t="inlineStr">
        <is>
          <t>HCA US Equity</t>
        </is>
      </c>
      <c r="C649" t="inlineStr">
        <is>
          <t>BEST_EPS</t>
        </is>
      </c>
      <c r="D649" t="inlineStr">
        <is>
          <t>28Y</t>
        </is>
      </c>
      <c r="E649" t="inlineStr">
        <is>
          <t>EPS estimate FY2028</t>
        </is>
      </c>
      <c r="F649" s="53">
        <f>_xll.BDP("HCA US Equity","BEST_EPS","BEST_FPERIOD_OVERRIDE","28Y")</f>
        <v/>
      </c>
    </row>
    <row r="650">
      <c r="A650" t="inlineStr">
        <is>
          <t>HCA</t>
        </is>
      </c>
      <c r="B650" t="inlineStr">
        <is>
          <t>HCA US Equity</t>
        </is>
      </c>
      <c r="C650" t="inlineStr">
        <is>
          <t>BEST_SALES</t>
        </is>
      </c>
      <c r="D650" t="inlineStr">
        <is>
          <t>28Y</t>
        </is>
      </c>
      <c r="E650" t="inlineStr">
        <is>
          <t>Revenue estimate FY2028</t>
        </is>
      </c>
      <c r="F650" s="53">
        <f>_xll.BDP("HCA US Equity","BEST_SALES","BEST_FPERIOD_OVERRIDE","28Y")</f>
        <v/>
      </c>
    </row>
    <row r="651">
      <c r="A651" t="inlineStr">
        <is>
          <t>HCA</t>
        </is>
      </c>
      <c r="B651" t="inlineStr">
        <is>
          <t>HCA US Equity</t>
        </is>
      </c>
      <c r="C651" t="inlineStr">
        <is>
          <t>BEST_EBIT</t>
        </is>
      </c>
      <c r="D651" t="inlineStr">
        <is>
          <t>28Y</t>
        </is>
      </c>
      <c r="E651" t="inlineStr">
        <is>
          <t>EBIT estimate FY2028</t>
        </is>
      </c>
      <c r="F651" s="53">
        <f>_xll.BDP("HCA US Equity","BEST_EBIT","BEST_FPERIOD_OVERRIDE","28Y")</f>
        <v/>
      </c>
    </row>
    <row r="652">
      <c r="A652" t="inlineStr">
        <is>
          <t>UNH</t>
        </is>
      </c>
      <c r="B652" t="inlineStr">
        <is>
          <t>UNH US Equity</t>
        </is>
      </c>
      <c r="C652" t="inlineStr">
        <is>
          <t>PX_LAST</t>
        </is>
      </c>
      <c r="E652" t="inlineStr">
        <is>
          <t>Last price</t>
        </is>
      </c>
      <c r="F652" s="53">
        <f>_xll.BDP("UNH US Equity","PX_LAST")</f>
        <v/>
      </c>
    </row>
    <row r="653">
      <c r="A653" t="inlineStr">
        <is>
          <t>UNH</t>
        </is>
      </c>
      <c r="B653" t="inlineStr">
        <is>
          <t>UNH US Equity</t>
        </is>
      </c>
      <c r="C653" t="inlineStr">
        <is>
          <t>CUR_MKT_CAP</t>
        </is>
      </c>
      <c r="E653" t="inlineStr">
        <is>
          <t>Market cap (raw)</t>
        </is>
      </c>
      <c r="F653" s="53">
        <f>_xll.BDP("UNH US Equity","CUR_MKT_CAP")</f>
        <v/>
      </c>
    </row>
    <row r="654">
      <c r="A654" t="inlineStr">
        <is>
          <t>UNH</t>
        </is>
      </c>
      <c r="B654" t="inlineStr">
        <is>
          <t>UNH US Equity</t>
        </is>
      </c>
      <c r="C654" t="inlineStr">
        <is>
          <t>CHG_PCT_YTD</t>
        </is>
      </c>
      <c r="E654" t="inlineStr">
        <is>
          <t>YTD price change %</t>
        </is>
      </c>
      <c r="F654" s="53">
        <f>_xll.BDP("UNH US Equity","CHG_PCT_YTD")</f>
        <v/>
      </c>
    </row>
    <row r="655">
      <c r="A655" t="inlineStr">
        <is>
          <t>UNH</t>
        </is>
      </c>
      <c r="B655" t="inlineStr">
        <is>
          <t>UNH US Equity</t>
        </is>
      </c>
      <c r="C655" t="inlineStr">
        <is>
          <t>NET_DEBT_TO_EBITDA</t>
        </is>
      </c>
      <c r="E655" t="inlineStr">
        <is>
          <t>Net debt / EBITDA</t>
        </is>
      </c>
      <c r="F655" s="53">
        <f>_xll.BDP("UNH US Equity","NET_DEBT_TO_EBITDA")</f>
        <v/>
      </c>
    </row>
    <row r="656">
      <c r="A656" t="inlineStr">
        <is>
          <t>UNH</t>
        </is>
      </c>
      <c r="B656" t="inlineStr">
        <is>
          <t>UNH US Equity</t>
        </is>
      </c>
      <c r="C656" t="inlineStr">
        <is>
          <t>RETURN_ON_INV_CAPITAL</t>
        </is>
      </c>
      <c r="E656" t="inlineStr">
        <is>
          <t>ROIC (LTM)</t>
        </is>
      </c>
      <c r="F656" s="53">
        <f>_xll.BDP("UNH US Equity","RETURN_ON_INV_CAPITAL")</f>
        <v/>
      </c>
    </row>
    <row r="657">
      <c r="A657" t="inlineStr">
        <is>
          <t>UNH</t>
        </is>
      </c>
      <c r="B657" t="inlineStr">
        <is>
          <t>UNH US Equity</t>
        </is>
      </c>
      <c r="C657" t="inlineStr">
        <is>
          <t>TRAIL_12M_OPER_INC</t>
        </is>
      </c>
      <c r="E657" t="inlineStr">
        <is>
          <t>LTM operating income</t>
        </is>
      </c>
      <c r="F657" s="53">
        <f>_xll.BDP("UNH US Equity","TRAIL_12M_OPER_INC")</f>
        <v/>
      </c>
    </row>
    <row r="658">
      <c r="A658" t="inlineStr">
        <is>
          <t>UNH</t>
        </is>
      </c>
      <c r="B658" t="inlineStr">
        <is>
          <t>UNH US Equity</t>
        </is>
      </c>
      <c r="C658" t="inlineStr">
        <is>
          <t>TRAIL_12M_EBITDA</t>
        </is>
      </c>
      <c r="E658" t="inlineStr">
        <is>
          <t>LTM EBITDA</t>
        </is>
      </c>
      <c r="F658" s="53">
        <f>_xll.BDP("UNH US Equity","TRAIL_12M_EBITDA")</f>
        <v/>
      </c>
    </row>
    <row r="659">
      <c r="A659" t="inlineStr">
        <is>
          <t>UNH</t>
        </is>
      </c>
      <c r="B659" t="inlineStr">
        <is>
          <t>UNH US Equity</t>
        </is>
      </c>
      <c r="C659" t="inlineStr">
        <is>
          <t>SHORT_AND_LONG_TERM_DEBT</t>
        </is>
      </c>
      <c r="E659" t="inlineStr">
        <is>
          <t>Total debt</t>
        </is>
      </c>
      <c r="F659" s="53">
        <f>_xll.BDP("UNH US Equity","SHORT_AND_LONG_TERM_DEBT")</f>
        <v/>
      </c>
    </row>
    <row r="660">
      <c r="A660" t="inlineStr">
        <is>
          <t>UNH</t>
        </is>
      </c>
      <c r="B660" t="inlineStr">
        <is>
          <t>UNH US Equity</t>
        </is>
      </c>
      <c r="C660" t="inlineStr">
        <is>
          <t>TOTAL_EQUITY</t>
        </is>
      </c>
      <c r="E660" t="inlineStr">
        <is>
          <t>Total equity</t>
        </is>
      </c>
      <c r="F660" s="53">
        <f>_xll.BDP("UNH US Equity","TOTAL_EQUITY")</f>
        <v/>
      </c>
    </row>
    <row r="661">
      <c r="A661" t="inlineStr">
        <is>
          <t>UNH</t>
        </is>
      </c>
      <c r="B661" t="inlineStr">
        <is>
          <t>UNH US Equity</t>
        </is>
      </c>
      <c r="C661" t="inlineStr">
        <is>
          <t>BS_CASH_NEAR_CASH_ITEM</t>
        </is>
      </c>
      <c r="E661" t="inlineStr">
        <is>
          <t>Cash &amp; equivalents</t>
        </is>
      </c>
      <c r="F661" s="53">
        <f>_xll.BDP("UNH US Equity","BS_CASH_NEAR_CASH_ITEM")</f>
        <v/>
      </c>
    </row>
    <row r="662">
      <c r="A662" t="inlineStr">
        <is>
          <t>UNH</t>
        </is>
      </c>
      <c r="B662" t="inlineStr">
        <is>
          <t>UNH US Equity</t>
        </is>
      </c>
      <c r="C662" t="inlineStr">
        <is>
          <t>BEST_EPS</t>
        </is>
      </c>
      <c r="D662" t="inlineStr">
        <is>
          <t>24Y</t>
        </is>
      </c>
      <c r="E662" t="inlineStr">
        <is>
          <t>EPS estimate FY2024</t>
        </is>
      </c>
      <c r="F662" s="53">
        <f>_xll.BDP("UNH US Equity","BEST_EPS","BEST_FPERIOD_OVERRIDE","24Y")</f>
        <v/>
      </c>
    </row>
    <row r="663">
      <c r="A663" t="inlineStr">
        <is>
          <t>UNH</t>
        </is>
      </c>
      <c r="B663" t="inlineStr">
        <is>
          <t>UNH US Equity</t>
        </is>
      </c>
      <c r="C663" t="inlineStr">
        <is>
          <t>BEST_SALES</t>
        </is>
      </c>
      <c r="D663" t="inlineStr">
        <is>
          <t>24Y</t>
        </is>
      </c>
      <c r="E663" t="inlineStr">
        <is>
          <t>Revenue estimate FY2024</t>
        </is>
      </c>
      <c r="F663" s="53">
        <f>_xll.BDP("UNH US Equity","BEST_SALES","BEST_FPERIOD_OVERRIDE","24Y")</f>
        <v/>
      </c>
    </row>
    <row r="664">
      <c r="A664" t="inlineStr">
        <is>
          <t>UNH</t>
        </is>
      </c>
      <c r="B664" t="inlineStr">
        <is>
          <t>UNH US Equity</t>
        </is>
      </c>
      <c r="C664" t="inlineStr">
        <is>
          <t>BEST_EBIT</t>
        </is>
      </c>
      <c r="D664" t="inlineStr">
        <is>
          <t>24Y</t>
        </is>
      </c>
      <c r="E664" t="inlineStr">
        <is>
          <t>EBIT estimate FY2024</t>
        </is>
      </c>
      <c r="F664" s="53">
        <f>_xll.BDP("UNH US Equity","BEST_EBIT","BEST_FPERIOD_OVERRIDE","24Y")</f>
        <v/>
      </c>
    </row>
    <row r="665">
      <c r="A665" t="inlineStr">
        <is>
          <t>UNH</t>
        </is>
      </c>
      <c r="B665" t="inlineStr">
        <is>
          <t>UNH US Equity</t>
        </is>
      </c>
      <c r="C665" t="inlineStr">
        <is>
          <t>BEST_EPS</t>
        </is>
      </c>
      <c r="D665" t="inlineStr">
        <is>
          <t>25Y</t>
        </is>
      </c>
      <c r="E665" t="inlineStr">
        <is>
          <t>EPS estimate FY2025</t>
        </is>
      </c>
      <c r="F665" s="53">
        <f>_xll.BDP("UNH US Equity","BEST_EPS","BEST_FPERIOD_OVERRIDE","25Y")</f>
        <v/>
      </c>
    </row>
    <row r="666">
      <c r="A666" t="inlineStr">
        <is>
          <t>UNH</t>
        </is>
      </c>
      <c r="B666" t="inlineStr">
        <is>
          <t>UNH US Equity</t>
        </is>
      </c>
      <c r="C666" t="inlineStr">
        <is>
          <t>BEST_SALES</t>
        </is>
      </c>
      <c r="D666" t="inlineStr">
        <is>
          <t>25Y</t>
        </is>
      </c>
      <c r="E666" t="inlineStr">
        <is>
          <t>Revenue estimate FY2025</t>
        </is>
      </c>
      <c r="F666" s="53">
        <f>_xll.BDP("UNH US Equity","BEST_SALES","BEST_FPERIOD_OVERRIDE","25Y")</f>
        <v/>
      </c>
    </row>
    <row r="667">
      <c r="A667" t="inlineStr">
        <is>
          <t>UNH</t>
        </is>
      </c>
      <c r="B667" t="inlineStr">
        <is>
          <t>UNH US Equity</t>
        </is>
      </c>
      <c r="C667" t="inlineStr">
        <is>
          <t>BEST_EBIT</t>
        </is>
      </c>
      <c r="D667" t="inlineStr">
        <is>
          <t>25Y</t>
        </is>
      </c>
      <c r="E667" t="inlineStr">
        <is>
          <t>EBIT estimate FY2025</t>
        </is>
      </c>
      <c r="F667" s="53">
        <f>_xll.BDP("UNH US Equity","BEST_EBIT","BEST_FPERIOD_OVERRIDE","25Y")</f>
        <v/>
      </c>
    </row>
    <row r="668">
      <c r="A668" t="inlineStr">
        <is>
          <t>UNH</t>
        </is>
      </c>
      <c r="B668" t="inlineStr">
        <is>
          <t>UNH US Equity</t>
        </is>
      </c>
      <c r="C668" t="inlineStr">
        <is>
          <t>BEST_EPS</t>
        </is>
      </c>
      <c r="D668" t="inlineStr">
        <is>
          <t>26Y</t>
        </is>
      </c>
      <c r="E668" t="inlineStr">
        <is>
          <t>EPS estimate FY2026</t>
        </is>
      </c>
      <c r="F668" s="53">
        <f>_xll.BDP("UNH US Equity","BEST_EPS","BEST_FPERIOD_OVERRIDE","26Y")</f>
        <v/>
      </c>
    </row>
    <row r="669">
      <c r="A669" t="inlineStr">
        <is>
          <t>UNH</t>
        </is>
      </c>
      <c r="B669" t="inlineStr">
        <is>
          <t>UNH US Equity</t>
        </is>
      </c>
      <c r="C669" t="inlineStr">
        <is>
          <t>BEST_SALES</t>
        </is>
      </c>
      <c r="D669" t="inlineStr">
        <is>
          <t>26Y</t>
        </is>
      </c>
      <c r="E669" t="inlineStr">
        <is>
          <t>Revenue estimate FY2026</t>
        </is>
      </c>
      <c r="F669" s="53">
        <f>_xll.BDP("UNH US Equity","BEST_SALES","BEST_FPERIOD_OVERRIDE","26Y")</f>
        <v/>
      </c>
    </row>
    <row r="670">
      <c r="A670" t="inlineStr">
        <is>
          <t>UNH</t>
        </is>
      </c>
      <c r="B670" t="inlineStr">
        <is>
          <t>UNH US Equity</t>
        </is>
      </c>
      <c r="C670" t="inlineStr">
        <is>
          <t>BEST_EBIT</t>
        </is>
      </c>
      <c r="D670" t="inlineStr">
        <is>
          <t>26Y</t>
        </is>
      </c>
      <c r="E670" t="inlineStr">
        <is>
          <t>EBIT estimate FY2026</t>
        </is>
      </c>
      <c r="F670" s="53">
        <f>_xll.BDP("UNH US Equity","BEST_EBIT","BEST_FPERIOD_OVERRIDE","26Y")</f>
        <v/>
      </c>
    </row>
    <row r="671">
      <c r="A671" t="inlineStr">
        <is>
          <t>UNH</t>
        </is>
      </c>
      <c r="B671" t="inlineStr">
        <is>
          <t>UNH US Equity</t>
        </is>
      </c>
      <c r="C671" t="inlineStr">
        <is>
          <t>BEST_EPS</t>
        </is>
      </c>
      <c r="D671" t="inlineStr">
        <is>
          <t>27Y</t>
        </is>
      </c>
      <c r="E671" t="inlineStr">
        <is>
          <t>EPS estimate FY2027</t>
        </is>
      </c>
      <c r="F671" s="53">
        <f>_xll.BDP("UNH US Equity","BEST_EPS","BEST_FPERIOD_OVERRIDE","27Y")</f>
        <v/>
      </c>
    </row>
    <row r="672">
      <c r="A672" t="inlineStr">
        <is>
          <t>UNH</t>
        </is>
      </c>
      <c r="B672" t="inlineStr">
        <is>
          <t>UNH US Equity</t>
        </is>
      </c>
      <c r="C672" t="inlineStr">
        <is>
          <t>BEST_SALES</t>
        </is>
      </c>
      <c r="D672" t="inlineStr">
        <is>
          <t>27Y</t>
        </is>
      </c>
      <c r="E672" t="inlineStr">
        <is>
          <t>Revenue estimate FY2027</t>
        </is>
      </c>
      <c r="F672" s="53">
        <f>_xll.BDP("UNH US Equity","BEST_SALES","BEST_FPERIOD_OVERRIDE","27Y")</f>
        <v/>
      </c>
    </row>
    <row r="673">
      <c r="A673" t="inlineStr">
        <is>
          <t>UNH</t>
        </is>
      </c>
      <c r="B673" t="inlineStr">
        <is>
          <t>UNH US Equity</t>
        </is>
      </c>
      <c r="C673" t="inlineStr">
        <is>
          <t>BEST_EBIT</t>
        </is>
      </c>
      <c r="D673" t="inlineStr">
        <is>
          <t>27Y</t>
        </is>
      </c>
      <c r="E673" t="inlineStr">
        <is>
          <t>EBIT estimate FY2027</t>
        </is>
      </c>
      <c r="F673" s="53">
        <f>_xll.BDP("UNH US Equity","BEST_EBIT","BEST_FPERIOD_OVERRIDE","27Y")</f>
        <v/>
      </c>
    </row>
    <row r="674">
      <c r="A674" t="inlineStr">
        <is>
          <t>UNH</t>
        </is>
      </c>
      <c r="B674" t="inlineStr">
        <is>
          <t>UNH US Equity</t>
        </is>
      </c>
      <c r="C674" t="inlineStr">
        <is>
          <t>BEST_EPS</t>
        </is>
      </c>
      <c r="D674" t="inlineStr">
        <is>
          <t>28Y</t>
        </is>
      </c>
      <c r="E674" t="inlineStr">
        <is>
          <t>EPS estimate FY2028</t>
        </is>
      </c>
      <c r="F674" s="53">
        <f>_xll.BDP("UNH US Equity","BEST_EPS","BEST_FPERIOD_OVERRIDE","28Y")</f>
        <v/>
      </c>
    </row>
    <row r="675">
      <c r="A675" t="inlineStr">
        <is>
          <t>UNH</t>
        </is>
      </c>
      <c r="B675" t="inlineStr">
        <is>
          <t>UNH US Equity</t>
        </is>
      </c>
      <c r="C675" t="inlineStr">
        <is>
          <t>BEST_SALES</t>
        </is>
      </c>
      <c r="D675" t="inlineStr">
        <is>
          <t>28Y</t>
        </is>
      </c>
      <c r="E675" t="inlineStr">
        <is>
          <t>Revenue estimate FY2028</t>
        </is>
      </c>
      <c r="F675" s="53">
        <f>_xll.BDP("UNH US Equity","BEST_SALES","BEST_FPERIOD_OVERRIDE","28Y")</f>
        <v/>
      </c>
    </row>
    <row r="676">
      <c r="A676" t="inlineStr">
        <is>
          <t>UNH</t>
        </is>
      </c>
      <c r="B676" t="inlineStr">
        <is>
          <t>UNH US Equity</t>
        </is>
      </c>
      <c r="C676" t="inlineStr">
        <is>
          <t>BEST_EBIT</t>
        </is>
      </c>
      <c r="D676" t="inlineStr">
        <is>
          <t>28Y</t>
        </is>
      </c>
      <c r="E676" t="inlineStr">
        <is>
          <t>EBIT estimate FY2028</t>
        </is>
      </c>
      <c r="F676" s="53">
        <f>_xll.BDP("UNH US Equity","BEST_EBIT","BEST_FPERIOD_OVERRIDE","28Y")</f>
        <v/>
      </c>
    </row>
    <row r="677">
      <c r="A677" t="inlineStr">
        <is>
          <t>CACC</t>
        </is>
      </c>
      <c r="B677" t="inlineStr">
        <is>
          <t>CACC US Equity</t>
        </is>
      </c>
      <c r="C677" t="inlineStr">
        <is>
          <t>PX_LAST</t>
        </is>
      </c>
      <c r="E677" t="inlineStr">
        <is>
          <t>Last price</t>
        </is>
      </c>
      <c r="F677" s="53">
        <f>_xll.BDP("CACC US Equity","PX_LAST")</f>
        <v/>
      </c>
    </row>
    <row r="678">
      <c r="A678" t="inlineStr">
        <is>
          <t>CACC</t>
        </is>
      </c>
      <c r="B678" t="inlineStr">
        <is>
          <t>CACC US Equity</t>
        </is>
      </c>
      <c r="C678" t="inlineStr">
        <is>
          <t>CUR_MKT_CAP</t>
        </is>
      </c>
      <c r="E678" t="inlineStr">
        <is>
          <t>Market cap (raw)</t>
        </is>
      </c>
      <c r="F678" s="53">
        <f>_xll.BDP("CACC US Equity","CUR_MKT_CAP")</f>
        <v/>
      </c>
    </row>
    <row r="679">
      <c r="A679" t="inlineStr">
        <is>
          <t>CACC</t>
        </is>
      </c>
      <c r="B679" t="inlineStr">
        <is>
          <t>CACC US Equity</t>
        </is>
      </c>
      <c r="C679" t="inlineStr">
        <is>
          <t>CHG_PCT_YTD</t>
        </is>
      </c>
      <c r="E679" t="inlineStr">
        <is>
          <t>YTD price change %</t>
        </is>
      </c>
      <c r="F679" s="53">
        <f>_xll.BDP("CACC US Equity","CHG_PCT_YTD")</f>
        <v/>
      </c>
    </row>
    <row r="680">
      <c r="A680" t="inlineStr">
        <is>
          <t>CACC</t>
        </is>
      </c>
      <c r="B680" t="inlineStr">
        <is>
          <t>CACC US Equity</t>
        </is>
      </c>
      <c r="C680" t="inlineStr">
        <is>
          <t>NET_DEBT_TO_EBITDA</t>
        </is>
      </c>
      <c r="E680" t="inlineStr">
        <is>
          <t>Net debt / EBITDA</t>
        </is>
      </c>
      <c r="F680" s="53">
        <f>_xll.BDP("CACC US Equity","NET_DEBT_TO_EBITDA")</f>
        <v/>
      </c>
    </row>
    <row r="681">
      <c r="A681" t="inlineStr">
        <is>
          <t>CACC</t>
        </is>
      </c>
      <c r="B681" t="inlineStr">
        <is>
          <t>CACC US Equity</t>
        </is>
      </c>
      <c r="C681" t="inlineStr">
        <is>
          <t>RETURN_ON_INV_CAPITAL</t>
        </is>
      </c>
      <c r="E681" t="inlineStr">
        <is>
          <t>ROIC (LTM)</t>
        </is>
      </c>
      <c r="F681" s="53">
        <f>_xll.BDP("CACC US Equity","RETURN_ON_INV_CAPITAL")</f>
        <v/>
      </c>
    </row>
    <row r="682">
      <c r="A682" t="inlineStr">
        <is>
          <t>CACC</t>
        </is>
      </c>
      <c r="B682" t="inlineStr">
        <is>
          <t>CACC US Equity</t>
        </is>
      </c>
      <c r="C682" t="inlineStr">
        <is>
          <t>TRAIL_12M_OPER_INC</t>
        </is>
      </c>
      <c r="E682" t="inlineStr">
        <is>
          <t>LTM operating income</t>
        </is>
      </c>
      <c r="F682" s="53">
        <f>_xll.BDP("CACC US Equity","TRAIL_12M_OPER_INC")</f>
        <v/>
      </c>
    </row>
    <row r="683">
      <c r="A683" t="inlineStr">
        <is>
          <t>CACC</t>
        </is>
      </c>
      <c r="B683" t="inlineStr">
        <is>
          <t>CACC US Equity</t>
        </is>
      </c>
      <c r="C683" t="inlineStr">
        <is>
          <t>TRAIL_12M_EBITDA</t>
        </is>
      </c>
      <c r="E683" t="inlineStr">
        <is>
          <t>LTM EBITDA</t>
        </is>
      </c>
      <c r="F683" s="53">
        <f>_xll.BDP("CACC US Equity","TRAIL_12M_EBITDA")</f>
        <v/>
      </c>
    </row>
    <row r="684">
      <c r="A684" t="inlineStr">
        <is>
          <t>CACC</t>
        </is>
      </c>
      <c r="B684" t="inlineStr">
        <is>
          <t>CACC US Equity</t>
        </is>
      </c>
      <c r="C684" t="inlineStr">
        <is>
          <t>SHORT_AND_LONG_TERM_DEBT</t>
        </is>
      </c>
      <c r="E684" t="inlineStr">
        <is>
          <t>Total debt</t>
        </is>
      </c>
      <c r="F684" s="53">
        <f>_xll.BDP("CACC US Equity","SHORT_AND_LONG_TERM_DEBT")</f>
        <v/>
      </c>
    </row>
    <row r="685">
      <c r="A685" t="inlineStr">
        <is>
          <t>CACC</t>
        </is>
      </c>
      <c r="B685" t="inlineStr">
        <is>
          <t>CACC US Equity</t>
        </is>
      </c>
      <c r="C685" t="inlineStr">
        <is>
          <t>TOTAL_EQUITY</t>
        </is>
      </c>
      <c r="E685" t="inlineStr">
        <is>
          <t>Total equity</t>
        </is>
      </c>
      <c r="F685" s="53">
        <f>_xll.BDP("CACC US Equity","TOTAL_EQUITY")</f>
        <v/>
      </c>
    </row>
    <row r="686">
      <c r="A686" t="inlineStr">
        <is>
          <t>CACC</t>
        </is>
      </c>
      <c r="B686" t="inlineStr">
        <is>
          <t>CACC US Equity</t>
        </is>
      </c>
      <c r="C686" t="inlineStr">
        <is>
          <t>BS_CASH_NEAR_CASH_ITEM</t>
        </is>
      </c>
      <c r="E686" t="inlineStr">
        <is>
          <t>Cash &amp; equivalents</t>
        </is>
      </c>
      <c r="F686" s="53">
        <f>_xll.BDP("CACC US Equity","BS_CASH_NEAR_CASH_ITEM")</f>
        <v/>
      </c>
    </row>
    <row r="687">
      <c r="A687" t="inlineStr">
        <is>
          <t>CACC</t>
        </is>
      </c>
      <c r="B687" t="inlineStr">
        <is>
          <t>CACC US Equity</t>
        </is>
      </c>
      <c r="C687" t="inlineStr">
        <is>
          <t>BEST_EPS</t>
        </is>
      </c>
      <c r="D687" t="inlineStr">
        <is>
          <t>24Y</t>
        </is>
      </c>
      <c r="E687" t="inlineStr">
        <is>
          <t>EPS estimate FY2024</t>
        </is>
      </c>
      <c r="F687" s="53">
        <f>_xll.BDP("CACC US Equity","BEST_EPS","BEST_FPERIOD_OVERRIDE","24Y")</f>
        <v/>
      </c>
    </row>
    <row r="688">
      <c r="A688" t="inlineStr">
        <is>
          <t>CACC</t>
        </is>
      </c>
      <c r="B688" t="inlineStr">
        <is>
          <t>CACC US Equity</t>
        </is>
      </c>
      <c r="C688" t="inlineStr">
        <is>
          <t>BEST_SALES</t>
        </is>
      </c>
      <c r="D688" t="inlineStr">
        <is>
          <t>24Y</t>
        </is>
      </c>
      <c r="E688" t="inlineStr">
        <is>
          <t>Revenue estimate FY2024</t>
        </is>
      </c>
      <c r="F688" s="53">
        <f>_xll.BDP("CACC US Equity","BEST_SALES","BEST_FPERIOD_OVERRIDE","24Y")</f>
        <v/>
      </c>
    </row>
    <row r="689">
      <c r="A689" t="inlineStr">
        <is>
          <t>CACC</t>
        </is>
      </c>
      <c r="B689" t="inlineStr">
        <is>
          <t>CACC US Equity</t>
        </is>
      </c>
      <c r="C689" t="inlineStr">
        <is>
          <t>BEST_EBIT</t>
        </is>
      </c>
      <c r="D689" t="inlineStr">
        <is>
          <t>24Y</t>
        </is>
      </c>
      <c r="E689" t="inlineStr">
        <is>
          <t>EBIT estimate FY2024</t>
        </is>
      </c>
      <c r="F689" s="53">
        <f>_xll.BDP("CACC US Equity","BEST_EBIT","BEST_FPERIOD_OVERRIDE","24Y")</f>
        <v/>
      </c>
    </row>
    <row r="690">
      <c r="A690" t="inlineStr">
        <is>
          <t>CACC</t>
        </is>
      </c>
      <c r="B690" t="inlineStr">
        <is>
          <t>CACC US Equity</t>
        </is>
      </c>
      <c r="C690" t="inlineStr">
        <is>
          <t>BEST_EPS</t>
        </is>
      </c>
      <c r="D690" t="inlineStr">
        <is>
          <t>25Y</t>
        </is>
      </c>
      <c r="E690" t="inlineStr">
        <is>
          <t>EPS estimate FY2025</t>
        </is>
      </c>
      <c r="F690" s="53">
        <f>_xll.BDP("CACC US Equity","BEST_EPS","BEST_FPERIOD_OVERRIDE","25Y")</f>
        <v/>
      </c>
    </row>
    <row r="691">
      <c r="A691" t="inlineStr">
        <is>
          <t>CACC</t>
        </is>
      </c>
      <c r="B691" t="inlineStr">
        <is>
          <t>CACC US Equity</t>
        </is>
      </c>
      <c r="C691" t="inlineStr">
        <is>
          <t>BEST_SALES</t>
        </is>
      </c>
      <c r="D691" t="inlineStr">
        <is>
          <t>25Y</t>
        </is>
      </c>
      <c r="E691" t="inlineStr">
        <is>
          <t>Revenue estimate FY2025</t>
        </is>
      </c>
      <c r="F691" s="53">
        <f>_xll.BDP("CACC US Equity","BEST_SALES","BEST_FPERIOD_OVERRIDE","25Y")</f>
        <v/>
      </c>
    </row>
    <row r="692">
      <c r="A692" t="inlineStr">
        <is>
          <t>CACC</t>
        </is>
      </c>
      <c r="B692" t="inlineStr">
        <is>
          <t>CACC US Equity</t>
        </is>
      </c>
      <c r="C692" t="inlineStr">
        <is>
          <t>BEST_EBIT</t>
        </is>
      </c>
      <c r="D692" t="inlineStr">
        <is>
          <t>25Y</t>
        </is>
      </c>
      <c r="E692" t="inlineStr">
        <is>
          <t>EBIT estimate FY2025</t>
        </is>
      </c>
      <c r="F692" s="53">
        <f>_xll.BDP("CACC US Equity","BEST_EBIT","BEST_FPERIOD_OVERRIDE","25Y")</f>
        <v/>
      </c>
    </row>
    <row r="693">
      <c r="A693" t="inlineStr">
        <is>
          <t>CACC</t>
        </is>
      </c>
      <c r="B693" t="inlineStr">
        <is>
          <t>CACC US Equity</t>
        </is>
      </c>
      <c r="C693" t="inlineStr">
        <is>
          <t>BEST_EPS</t>
        </is>
      </c>
      <c r="D693" t="inlineStr">
        <is>
          <t>26Y</t>
        </is>
      </c>
      <c r="E693" t="inlineStr">
        <is>
          <t>EPS estimate FY2026</t>
        </is>
      </c>
      <c r="F693" s="53">
        <f>_xll.BDP("CACC US Equity","BEST_EPS","BEST_FPERIOD_OVERRIDE","26Y")</f>
        <v/>
      </c>
    </row>
    <row r="694">
      <c r="A694" t="inlineStr">
        <is>
          <t>CACC</t>
        </is>
      </c>
      <c r="B694" t="inlineStr">
        <is>
          <t>CACC US Equity</t>
        </is>
      </c>
      <c r="C694" t="inlineStr">
        <is>
          <t>BEST_SALES</t>
        </is>
      </c>
      <c r="D694" t="inlineStr">
        <is>
          <t>26Y</t>
        </is>
      </c>
      <c r="E694" t="inlineStr">
        <is>
          <t>Revenue estimate FY2026</t>
        </is>
      </c>
      <c r="F694" s="53">
        <f>_xll.BDP("CACC US Equity","BEST_SALES","BEST_FPERIOD_OVERRIDE","26Y")</f>
        <v/>
      </c>
    </row>
    <row r="695">
      <c r="A695" t="inlineStr">
        <is>
          <t>CACC</t>
        </is>
      </c>
      <c r="B695" t="inlineStr">
        <is>
          <t>CACC US Equity</t>
        </is>
      </c>
      <c r="C695" t="inlineStr">
        <is>
          <t>BEST_EBIT</t>
        </is>
      </c>
      <c r="D695" t="inlineStr">
        <is>
          <t>26Y</t>
        </is>
      </c>
      <c r="E695" t="inlineStr">
        <is>
          <t>EBIT estimate FY2026</t>
        </is>
      </c>
      <c r="F695" s="53">
        <f>_xll.BDP("CACC US Equity","BEST_EBIT","BEST_FPERIOD_OVERRIDE","26Y")</f>
        <v/>
      </c>
    </row>
    <row r="696">
      <c r="A696" t="inlineStr">
        <is>
          <t>CACC</t>
        </is>
      </c>
      <c r="B696" t="inlineStr">
        <is>
          <t>CACC US Equity</t>
        </is>
      </c>
      <c r="C696" t="inlineStr">
        <is>
          <t>BEST_EPS</t>
        </is>
      </c>
      <c r="D696" t="inlineStr">
        <is>
          <t>27Y</t>
        </is>
      </c>
      <c r="E696" t="inlineStr">
        <is>
          <t>EPS estimate FY2027</t>
        </is>
      </c>
      <c r="F696" s="53">
        <f>_xll.BDP("CACC US Equity","BEST_EPS","BEST_FPERIOD_OVERRIDE","27Y")</f>
        <v/>
      </c>
    </row>
    <row r="697">
      <c r="A697" t="inlineStr">
        <is>
          <t>CACC</t>
        </is>
      </c>
      <c r="B697" t="inlineStr">
        <is>
          <t>CACC US Equity</t>
        </is>
      </c>
      <c r="C697" t="inlineStr">
        <is>
          <t>BEST_SALES</t>
        </is>
      </c>
      <c r="D697" t="inlineStr">
        <is>
          <t>27Y</t>
        </is>
      </c>
      <c r="E697" t="inlineStr">
        <is>
          <t>Revenue estimate FY2027</t>
        </is>
      </c>
      <c r="F697" s="53">
        <f>_xll.BDP("CACC US Equity","BEST_SALES","BEST_FPERIOD_OVERRIDE","27Y")</f>
        <v/>
      </c>
    </row>
    <row r="698">
      <c r="A698" t="inlineStr">
        <is>
          <t>CACC</t>
        </is>
      </c>
      <c r="B698" t="inlineStr">
        <is>
          <t>CACC US Equity</t>
        </is>
      </c>
      <c r="C698" t="inlineStr">
        <is>
          <t>BEST_EBIT</t>
        </is>
      </c>
      <c r="D698" t="inlineStr">
        <is>
          <t>27Y</t>
        </is>
      </c>
      <c r="E698" t="inlineStr">
        <is>
          <t>EBIT estimate FY2027</t>
        </is>
      </c>
      <c r="F698" s="53">
        <f>_xll.BDP("CACC US Equity","BEST_EBIT","BEST_FPERIOD_OVERRIDE","27Y")</f>
        <v/>
      </c>
    </row>
    <row r="699">
      <c r="A699" t="inlineStr">
        <is>
          <t>CACC</t>
        </is>
      </c>
      <c r="B699" t="inlineStr">
        <is>
          <t>CACC US Equity</t>
        </is>
      </c>
      <c r="C699" t="inlineStr">
        <is>
          <t>BEST_EPS</t>
        </is>
      </c>
      <c r="D699" t="inlineStr">
        <is>
          <t>28Y</t>
        </is>
      </c>
      <c r="E699" t="inlineStr">
        <is>
          <t>EPS estimate FY2028</t>
        </is>
      </c>
      <c r="F699" s="53">
        <f>_xll.BDP("CACC US Equity","BEST_EPS","BEST_FPERIOD_OVERRIDE","28Y")</f>
        <v/>
      </c>
    </row>
    <row r="700">
      <c r="A700" t="inlineStr">
        <is>
          <t>CACC</t>
        </is>
      </c>
      <c r="B700" t="inlineStr">
        <is>
          <t>CACC US Equity</t>
        </is>
      </c>
      <c r="C700" t="inlineStr">
        <is>
          <t>BEST_SALES</t>
        </is>
      </c>
      <c r="D700" t="inlineStr">
        <is>
          <t>28Y</t>
        </is>
      </c>
      <c r="E700" t="inlineStr">
        <is>
          <t>Revenue estimate FY2028</t>
        </is>
      </c>
      <c r="F700" s="53">
        <f>_xll.BDP("CACC US Equity","BEST_SALES","BEST_FPERIOD_OVERRIDE","28Y")</f>
        <v/>
      </c>
    </row>
    <row r="701">
      <c r="A701" t="inlineStr">
        <is>
          <t>CACC</t>
        </is>
      </c>
      <c r="B701" t="inlineStr">
        <is>
          <t>CACC US Equity</t>
        </is>
      </c>
      <c r="C701" t="inlineStr">
        <is>
          <t>BEST_EBIT</t>
        </is>
      </c>
      <c r="D701" t="inlineStr">
        <is>
          <t>28Y</t>
        </is>
      </c>
      <c r="E701" t="inlineStr">
        <is>
          <t>EBIT estimate FY2028</t>
        </is>
      </c>
      <c r="F701" s="53">
        <f>_xll.BDP("CACC US Equity","BEST_EBIT","BEST_FPERIOD_OVERRIDE","28Y")</f>
        <v/>
      </c>
    </row>
    <row r="702">
      <c r="A702" t="inlineStr">
        <is>
          <t>GL</t>
        </is>
      </c>
      <c r="B702" t="inlineStr">
        <is>
          <t>GL US Equity</t>
        </is>
      </c>
      <c r="C702" t="inlineStr">
        <is>
          <t>PX_LAST</t>
        </is>
      </c>
      <c r="E702" t="inlineStr">
        <is>
          <t>Last price</t>
        </is>
      </c>
      <c r="F702" s="53">
        <f>_xll.BDP("GL US Equity","PX_LAST")</f>
        <v/>
      </c>
    </row>
    <row r="703">
      <c r="A703" t="inlineStr">
        <is>
          <t>GL</t>
        </is>
      </c>
      <c r="B703" t="inlineStr">
        <is>
          <t>GL US Equity</t>
        </is>
      </c>
      <c r="C703" t="inlineStr">
        <is>
          <t>CUR_MKT_CAP</t>
        </is>
      </c>
      <c r="E703" t="inlineStr">
        <is>
          <t>Market cap (raw)</t>
        </is>
      </c>
      <c r="F703" s="53">
        <f>_xll.BDP("GL US Equity","CUR_MKT_CAP")</f>
        <v/>
      </c>
    </row>
    <row r="704">
      <c r="A704" t="inlineStr">
        <is>
          <t>GL</t>
        </is>
      </c>
      <c r="B704" t="inlineStr">
        <is>
          <t>GL US Equity</t>
        </is>
      </c>
      <c r="C704" t="inlineStr">
        <is>
          <t>CHG_PCT_YTD</t>
        </is>
      </c>
      <c r="E704" t="inlineStr">
        <is>
          <t>YTD price change %</t>
        </is>
      </c>
      <c r="F704" s="53">
        <f>_xll.BDP("GL US Equity","CHG_PCT_YTD")</f>
        <v/>
      </c>
    </row>
    <row r="705">
      <c r="A705" t="inlineStr">
        <is>
          <t>GL</t>
        </is>
      </c>
      <c r="B705" t="inlineStr">
        <is>
          <t>GL US Equity</t>
        </is>
      </c>
      <c r="C705" t="inlineStr">
        <is>
          <t>NET_DEBT_TO_EBITDA</t>
        </is>
      </c>
      <c r="E705" t="inlineStr">
        <is>
          <t>Net debt / EBITDA</t>
        </is>
      </c>
      <c r="F705" s="53">
        <f>_xll.BDP("GL US Equity","NET_DEBT_TO_EBITDA")</f>
        <v/>
      </c>
    </row>
    <row r="706">
      <c r="A706" t="inlineStr">
        <is>
          <t>GL</t>
        </is>
      </c>
      <c r="B706" t="inlineStr">
        <is>
          <t>GL US Equity</t>
        </is>
      </c>
      <c r="C706" t="inlineStr">
        <is>
          <t>RETURN_ON_INV_CAPITAL</t>
        </is>
      </c>
      <c r="E706" t="inlineStr">
        <is>
          <t>ROIC (LTM)</t>
        </is>
      </c>
      <c r="F706" s="53">
        <f>_xll.BDP("GL US Equity","RETURN_ON_INV_CAPITAL")</f>
        <v/>
      </c>
    </row>
    <row r="707">
      <c r="A707" t="inlineStr">
        <is>
          <t>GL</t>
        </is>
      </c>
      <c r="B707" t="inlineStr">
        <is>
          <t>GL US Equity</t>
        </is>
      </c>
      <c r="C707" t="inlineStr">
        <is>
          <t>TRAIL_12M_OPER_INC</t>
        </is>
      </c>
      <c r="E707" t="inlineStr">
        <is>
          <t>LTM operating income</t>
        </is>
      </c>
      <c r="F707" s="53">
        <f>_xll.BDP("GL US Equity","TRAIL_12M_OPER_INC")</f>
        <v/>
      </c>
    </row>
    <row r="708">
      <c r="A708" t="inlineStr">
        <is>
          <t>GL</t>
        </is>
      </c>
      <c r="B708" t="inlineStr">
        <is>
          <t>GL US Equity</t>
        </is>
      </c>
      <c r="C708" t="inlineStr">
        <is>
          <t>TRAIL_12M_EBITDA</t>
        </is>
      </c>
      <c r="E708" t="inlineStr">
        <is>
          <t>LTM EBITDA</t>
        </is>
      </c>
      <c r="F708" s="53">
        <f>_xll.BDP("GL US Equity","TRAIL_12M_EBITDA")</f>
        <v/>
      </c>
    </row>
    <row r="709">
      <c r="A709" t="inlineStr">
        <is>
          <t>GL</t>
        </is>
      </c>
      <c r="B709" t="inlineStr">
        <is>
          <t>GL US Equity</t>
        </is>
      </c>
      <c r="C709" t="inlineStr">
        <is>
          <t>SHORT_AND_LONG_TERM_DEBT</t>
        </is>
      </c>
      <c r="E709" t="inlineStr">
        <is>
          <t>Total debt</t>
        </is>
      </c>
      <c r="F709" s="53">
        <f>_xll.BDP("GL US Equity","SHORT_AND_LONG_TERM_DEBT")</f>
        <v/>
      </c>
    </row>
    <row r="710">
      <c r="A710" t="inlineStr">
        <is>
          <t>GL</t>
        </is>
      </c>
      <c r="B710" t="inlineStr">
        <is>
          <t>GL US Equity</t>
        </is>
      </c>
      <c r="C710" t="inlineStr">
        <is>
          <t>TOTAL_EQUITY</t>
        </is>
      </c>
      <c r="E710" t="inlineStr">
        <is>
          <t>Total equity</t>
        </is>
      </c>
      <c r="F710" s="53">
        <f>_xll.BDP("GL US Equity","TOTAL_EQUITY")</f>
        <v/>
      </c>
    </row>
    <row r="711">
      <c r="A711" t="inlineStr">
        <is>
          <t>GL</t>
        </is>
      </c>
      <c r="B711" t="inlineStr">
        <is>
          <t>GL US Equity</t>
        </is>
      </c>
      <c r="C711" t="inlineStr">
        <is>
          <t>BS_CASH_NEAR_CASH_ITEM</t>
        </is>
      </c>
      <c r="E711" t="inlineStr">
        <is>
          <t>Cash &amp; equivalents</t>
        </is>
      </c>
      <c r="F711" s="53">
        <f>_xll.BDP("GL US Equity","BS_CASH_NEAR_CASH_ITEM")</f>
        <v/>
      </c>
    </row>
    <row r="712">
      <c r="A712" t="inlineStr">
        <is>
          <t>GL</t>
        </is>
      </c>
      <c r="B712" t="inlineStr">
        <is>
          <t>GL US Equity</t>
        </is>
      </c>
      <c r="C712" t="inlineStr">
        <is>
          <t>BEST_EPS</t>
        </is>
      </c>
      <c r="D712" t="inlineStr">
        <is>
          <t>24Y</t>
        </is>
      </c>
      <c r="E712" t="inlineStr">
        <is>
          <t>EPS estimate FY2024</t>
        </is>
      </c>
      <c r="F712" s="53">
        <f>_xll.BDP("GL US Equity","BEST_EPS","BEST_FPERIOD_OVERRIDE","24Y")</f>
        <v/>
      </c>
    </row>
    <row r="713">
      <c r="A713" t="inlineStr">
        <is>
          <t>GL</t>
        </is>
      </c>
      <c r="B713" t="inlineStr">
        <is>
          <t>GL US Equity</t>
        </is>
      </c>
      <c r="C713" t="inlineStr">
        <is>
          <t>BEST_SALES</t>
        </is>
      </c>
      <c r="D713" t="inlineStr">
        <is>
          <t>24Y</t>
        </is>
      </c>
      <c r="E713" t="inlineStr">
        <is>
          <t>Revenue estimate FY2024</t>
        </is>
      </c>
      <c r="F713" s="53">
        <f>_xll.BDP("GL US Equity","BEST_SALES","BEST_FPERIOD_OVERRIDE","24Y")</f>
        <v/>
      </c>
    </row>
    <row r="714">
      <c r="A714" t="inlineStr">
        <is>
          <t>GL</t>
        </is>
      </c>
      <c r="B714" t="inlineStr">
        <is>
          <t>GL US Equity</t>
        </is>
      </c>
      <c r="C714" t="inlineStr">
        <is>
          <t>BEST_EBIT</t>
        </is>
      </c>
      <c r="D714" t="inlineStr">
        <is>
          <t>24Y</t>
        </is>
      </c>
      <c r="E714" t="inlineStr">
        <is>
          <t>EBIT estimate FY2024</t>
        </is>
      </c>
      <c r="F714" s="53">
        <f>_xll.BDP("GL US Equity","BEST_EBIT","BEST_FPERIOD_OVERRIDE","24Y")</f>
        <v/>
      </c>
    </row>
    <row r="715">
      <c r="A715" t="inlineStr">
        <is>
          <t>GL</t>
        </is>
      </c>
      <c r="B715" t="inlineStr">
        <is>
          <t>GL US Equity</t>
        </is>
      </c>
      <c r="C715" t="inlineStr">
        <is>
          <t>BEST_EPS</t>
        </is>
      </c>
      <c r="D715" t="inlineStr">
        <is>
          <t>25Y</t>
        </is>
      </c>
      <c r="E715" t="inlineStr">
        <is>
          <t>EPS estimate FY2025</t>
        </is>
      </c>
      <c r="F715" s="53">
        <f>_xll.BDP("GL US Equity","BEST_EPS","BEST_FPERIOD_OVERRIDE","25Y")</f>
        <v/>
      </c>
    </row>
    <row r="716">
      <c r="A716" t="inlineStr">
        <is>
          <t>GL</t>
        </is>
      </c>
      <c r="B716" t="inlineStr">
        <is>
          <t>GL US Equity</t>
        </is>
      </c>
      <c r="C716" t="inlineStr">
        <is>
          <t>BEST_SALES</t>
        </is>
      </c>
      <c r="D716" t="inlineStr">
        <is>
          <t>25Y</t>
        </is>
      </c>
      <c r="E716" t="inlineStr">
        <is>
          <t>Revenue estimate FY2025</t>
        </is>
      </c>
      <c r="F716" s="53">
        <f>_xll.BDP("GL US Equity","BEST_SALES","BEST_FPERIOD_OVERRIDE","25Y")</f>
        <v/>
      </c>
    </row>
    <row r="717">
      <c r="A717" t="inlineStr">
        <is>
          <t>GL</t>
        </is>
      </c>
      <c r="B717" t="inlineStr">
        <is>
          <t>GL US Equity</t>
        </is>
      </c>
      <c r="C717" t="inlineStr">
        <is>
          <t>BEST_EBIT</t>
        </is>
      </c>
      <c r="D717" t="inlineStr">
        <is>
          <t>25Y</t>
        </is>
      </c>
      <c r="E717" t="inlineStr">
        <is>
          <t>EBIT estimate FY2025</t>
        </is>
      </c>
      <c r="F717" s="53">
        <f>_xll.BDP("GL US Equity","BEST_EBIT","BEST_FPERIOD_OVERRIDE","25Y")</f>
        <v/>
      </c>
    </row>
    <row r="718">
      <c r="A718" t="inlineStr">
        <is>
          <t>GL</t>
        </is>
      </c>
      <c r="B718" t="inlineStr">
        <is>
          <t>GL US Equity</t>
        </is>
      </c>
      <c r="C718" t="inlineStr">
        <is>
          <t>BEST_EPS</t>
        </is>
      </c>
      <c r="D718" t="inlineStr">
        <is>
          <t>26Y</t>
        </is>
      </c>
      <c r="E718" t="inlineStr">
        <is>
          <t>EPS estimate FY2026</t>
        </is>
      </c>
      <c r="F718" s="53">
        <f>_xll.BDP("GL US Equity","BEST_EPS","BEST_FPERIOD_OVERRIDE","26Y")</f>
        <v/>
      </c>
    </row>
    <row r="719">
      <c r="A719" t="inlineStr">
        <is>
          <t>GL</t>
        </is>
      </c>
      <c r="B719" t="inlineStr">
        <is>
          <t>GL US Equity</t>
        </is>
      </c>
      <c r="C719" t="inlineStr">
        <is>
          <t>BEST_SALES</t>
        </is>
      </c>
      <c r="D719" t="inlineStr">
        <is>
          <t>26Y</t>
        </is>
      </c>
      <c r="E719" t="inlineStr">
        <is>
          <t>Revenue estimate FY2026</t>
        </is>
      </c>
      <c r="F719" s="53">
        <f>_xll.BDP("GL US Equity","BEST_SALES","BEST_FPERIOD_OVERRIDE","26Y")</f>
        <v/>
      </c>
    </row>
    <row r="720">
      <c r="A720" t="inlineStr">
        <is>
          <t>GL</t>
        </is>
      </c>
      <c r="B720" t="inlineStr">
        <is>
          <t>GL US Equity</t>
        </is>
      </c>
      <c r="C720" t="inlineStr">
        <is>
          <t>BEST_EBIT</t>
        </is>
      </c>
      <c r="D720" t="inlineStr">
        <is>
          <t>26Y</t>
        </is>
      </c>
      <c r="E720" t="inlineStr">
        <is>
          <t>EBIT estimate FY2026</t>
        </is>
      </c>
      <c r="F720" s="53">
        <f>_xll.BDP("GL US Equity","BEST_EBIT","BEST_FPERIOD_OVERRIDE","26Y")</f>
        <v/>
      </c>
    </row>
    <row r="721">
      <c r="A721" t="inlineStr">
        <is>
          <t>GL</t>
        </is>
      </c>
      <c r="B721" t="inlineStr">
        <is>
          <t>GL US Equity</t>
        </is>
      </c>
      <c r="C721" t="inlineStr">
        <is>
          <t>BEST_EPS</t>
        </is>
      </c>
      <c r="D721" t="inlineStr">
        <is>
          <t>27Y</t>
        </is>
      </c>
      <c r="E721" t="inlineStr">
        <is>
          <t>EPS estimate FY2027</t>
        </is>
      </c>
      <c r="F721" s="53">
        <f>_xll.BDP("GL US Equity","BEST_EPS","BEST_FPERIOD_OVERRIDE","27Y")</f>
        <v/>
      </c>
    </row>
    <row r="722">
      <c r="A722" t="inlineStr">
        <is>
          <t>GL</t>
        </is>
      </c>
      <c r="B722" t="inlineStr">
        <is>
          <t>GL US Equity</t>
        </is>
      </c>
      <c r="C722" t="inlineStr">
        <is>
          <t>BEST_SALES</t>
        </is>
      </c>
      <c r="D722" t="inlineStr">
        <is>
          <t>27Y</t>
        </is>
      </c>
      <c r="E722" t="inlineStr">
        <is>
          <t>Revenue estimate FY2027</t>
        </is>
      </c>
      <c r="F722" s="53">
        <f>_xll.BDP("GL US Equity","BEST_SALES","BEST_FPERIOD_OVERRIDE","27Y")</f>
        <v/>
      </c>
    </row>
    <row r="723">
      <c r="A723" t="inlineStr">
        <is>
          <t>GL</t>
        </is>
      </c>
      <c r="B723" t="inlineStr">
        <is>
          <t>GL US Equity</t>
        </is>
      </c>
      <c r="C723" t="inlineStr">
        <is>
          <t>BEST_EBIT</t>
        </is>
      </c>
      <c r="D723" t="inlineStr">
        <is>
          <t>27Y</t>
        </is>
      </c>
      <c r="E723" t="inlineStr">
        <is>
          <t>EBIT estimate FY2027</t>
        </is>
      </c>
      <c r="F723" s="53">
        <f>_xll.BDP("GL US Equity","BEST_EBIT","BEST_FPERIOD_OVERRIDE","27Y")</f>
        <v/>
      </c>
    </row>
    <row r="724">
      <c r="A724" t="inlineStr">
        <is>
          <t>GL</t>
        </is>
      </c>
      <c r="B724" t="inlineStr">
        <is>
          <t>GL US Equity</t>
        </is>
      </c>
      <c r="C724" t="inlineStr">
        <is>
          <t>BEST_EPS</t>
        </is>
      </c>
      <c r="D724" t="inlineStr">
        <is>
          <t>28Y</t>
        </is>
      </c>
      <c r="E724" t="inlineStr">
        <is>
          <t>EPS estimate FY2028</t>
        </is>
      </c>
      <c r="F724" s="53">
        <f>_xll.BDP("GL US Equity","BEST_EPS","BEST_FPERIOD_OVERRIDE","28Y")</f>
        <v/>
      </c>
    </row>
    <row r="725">
      <c r="A725" t="inlineStr">
        <is>
          <t>GL</t>
        </is>
      </c>
      <c r="B725" t="inlineStr">
        <is>
          <t>GL US Equity</t>
        </is>
      </c>
      <c r="C725" t="inlineStr">
        <is>
          <t>BEST_SALES</t>
        </is>
      </c>
      <c r="D725" t="inlineStr">
        <is>
          <t>28Y</t>
        </is>
      </c>
      <c r="E725" t="inlineStr">
        <is>
          <t>Revenue estimate FY2028</t>
        </is>
      </c>
      <c r="F725" s="53">
        <f>_xll.BDP("GL US Equity","BEST_SALES","BEST_FPERIOD_OVERRIDE","28Y")</f>
        <v/>
      </c>
    </row>
    <row r="726">
      <c r="A726" t="inlineStr">
        <is>
          <t>GL</t>
        </is>
      </c>
      <c r="B726" t="inlineStr">
        <is>
          <t>GL US Equity</t>
        </is>
      </c>
      <c r="C726" t="inlineStr">
        <is>
          <t>BEST_EBIT</t>
        </is>
      </c>
      <c r="D726" t="inlineStr">
        <is>
          <t>28Y</t>
        </is>
      </c>
      <c r="E726" t="inlineStr">
        <is>
          <t>EBIT estimate FY2028</t>
        </is>
      </c>
      <c r="F726" s="53">
        <f>_xll.BDP("GL US Equity","BEST_EBIT","BEST_FPERIOD_OVERRIDE","28Y")</f>
        <v/>
      </c>
    </row>
    <row r="727">
      <c r="A727" t="inlineStr">
        <is>
          <t>APO</t>
        </is>
      </c>
      <c r="B727" t="inlineStr">
        <is>
          <t>APO US Equity</t>
        </is>
      </c>
      <c r="C727" t="inlineStr">
        <is>
          <t>PX_LAST</t>
        </is>
      </c>
      <c r="E727" t="inlineStr">
        <is>
          <t>Last price</t>
        </is>
      </c>
      <c r="F727" s="53">
        <f>_xll.BDP("APO US Equity","PX_LAST")</f>
        <v/>
      </c>
    </row>
    <row r="728">
      <c r="A728" t="inlineStr">
        <is>
          <t>APO</t>
        </is>
      </c>
      <c r="B728" t="inlineStr">
        <is>
          <t>APO US Equity</t>
        </is>
      </c>
      <c r="C728" t="inlineStr">
        <is>
          <t>CUR_MKT_CAP</t>
        </is>
      </c>
      <c r="E728" t="inlineStr">
        <is>
          <t>Market cap (raw)</t>
        </is>
      </c>
      <c r="F728" s="53">
        <f>_xll.BDP("APO US Equity","CUR_MKT_CAP")</f>
        <v/>
      </c>
    </row>
    <row r="729">
      <c r="A729" t="inlineStr">
        <is>
          <t>APO</t>
        </is>
      </c>
      <c r="B729" t="inlineStr">
        <is>
          <t>APO US Equity</t>
        </is>
      </c>
      <c r="C729" t="inlineStr">
        <is>
          <t>CHG_PCT_YTD</t>
        </is>
      </c>
      <c r="E729" t="inlineStr">
        <is>
          <t>YTD price change %</t>
        </is>
      </c>
      <c r="F729" s="53">
        <f>_xll.BDP("APO US Equity","CHG_PCT_YTD")</f>
        <v/>
      </c>
    </row>
    <row r="730">
      <c r="A730" t="inlineStr">
        <is>
          <t>APO</t>
        </is>
      </c>
      <c r="B730" t="inlineStr">
        <is>
          <t>APO US Equity</t>
        </is>
      </c>
      <c r="C730" t="inlineStr">
        <is>
          <t>NET_DEBT_TO_EBITDA</t>
        </is>
      </c>
      <c r="E730" t="inlineStr">
        <is>
          <t>Net debt / EBITDA</t>
        </is>
      </c>
      <c r="F730" s="53">
        <f>_xll.BDP("APO US Equity","NET_DEBT_TO_EBITDA")</f>
        <v/>
      </c>
    </row>
    <row r="731">
      <c r="A731" t="inlineStr">
        <is>
          <t>APO</t>
        </is>
      </c>
      <c r="B731" t="inlineStr">
        <is>
          <t>APO US Equity</t>
        </is>
      </c>
      <c r="C731" t="inlineStr">
        <is>
          <t>RETURN_ON_INV_CAPITAL</t>
        </is>
      </c>
      <c r="E731" t="inlineStr">
        <is>
          <t>ROIC (LTM)</t>
        </is>
      </c>
      <c r="F731" s="53">
        <f>_xll.BDP("APO US Equity","RETURN_ON_INV_CAPITAL")</f>
        <v/>
      </c>
    </row>
    <row r="732">
      <c r="A732" t="inlineStr">
        <is>
          <t>APO</t>
        </is>
      </c>
      <c r="B732" t="inlineStr">
        <is>
          <t>APO US Equity</t>
        </is>
      </c>
      <c r="C732" t="inlineStr">
        <is>
          <t>TRAIL_12M_OPER_INC</t>
        </is>
      </c>
      <c r="E732" t="inlineStr">
        <is>
          <t>LTM operating income</t>
        </is>
      </c>
      <c r="F732" s="53">
        <f>_xll.BDP("APO US Equity","TRAIL_12M_OPER_INC")</f>
        <v/>
      </c>
    </row>
    <row r="733">
      <c r="A733" t="inlineStr">
        <is>
          <t>APO</t>
        </is>
      </c>
      <c r="B733" t="inlineStr">
        <is>
          <t>APO US Equity</t>
        </is>
      </c>
      <c r="C733" t="inlineStr">
        <is>
          <t>TRAIL_12M_EBITDA</t>
        </is>
      </c>
      <c r="E733" t="inlineStr">
        <is>
          <t>LTM EBITDA</t>
        </is>
      </c>
      <c r="F733" s="53">
        <f>_xll.BDP("APO US Equity","TRAIL_12M_EBITDA")</f>
        <v/>
      </c>
    </row>
    <row r="734">
      <c r="A734" t="inlineStr">
        <is>
          <t>APO</t>
        </is>
      </c>
      <c r="B734" t="inlineStr">
        <is>
          <t>APO US Equity</t>
        </is>
      </c>
      <c r="C734" t="inlineStr">
        <is>
          <t>SHORT_AND_LONG_TERM_DEBT</t>
        </is>
      </c>
      <c r="E734" t="inlineStr">
        <is>
          <t>Total debt</t>
        </is>
      </c>
      <c r="F734" s="53">
        <f>_xll.BDP("APO US Equity","SHORT_AND_LONG_TERM_DEBT")</f>
        <v/>
      </c>
    </row>
    <row r="735">
      <c r="A735" t="inlineStr">
        <is>
          <t>APO</t>
        </is>
      </c>
      <c r="B735" t="inlineStr">
        <is>
          <t>APO US Equity</t>
        </is>
      </c>
      <c r="C735" t="inlineStr">
        <is>
          <t>TOTAL_EQUITY</t>
        </is>
      </c>
      <c r="E735" t="inlineStr">
        <is>
          <t>Total equity</t>
        </is>
      </c>
      <c r="F735" s="53">
        <f>_xll.BDP("APO US Equity","TOTAL_EQUITY")</f>
        <v/>
      </c>
    </row>
    <row r="736">
      <c r="A736" t="inlineStr">
        <is>
          <t>APO</t>
        </is>
      </c>
      <c r="B736" t="inlineStr">
        <is>
          <t>APO US Equity</t>
        </is>
      </c>
      <c r="C736" t="inlineStr">
        <is>
          <t>BS_CASH_NEAR_CASH_ITEM</t>
        </is>
      </c>
      <c r="E736" t="inlineStr">
        <is>
          <t>Cash &amp; equivalents</t>
        </is>
      </c>
      <c r="F736" s="53">
        <f>_xll.BDP("APO US Equity","BS_CASH_NEAR_CASH_ITEM")</f>
        <v/>
      </c>
    </row>
    <row r="737">
      <c r="A737" t="inlineStr">
        <is>
          <t>APO</t>
        </is>
      </c>
      <c r="B737" t="inlineStr">
        <is>
          <t>APO US Equity</t>
        </is>
      </c>
      <c r="C737" t="inlineStr">
        <is>
          <t>BEST_EPS</t>
        </is>
      </c>
      <c r="D737" t="inlineStr">
        <is>
          <t>24Y</t>
        </is>
      </c>
      <c r="E737" t="inlineStr">
        <is>
          <t>EPS estimate FY2024</t>
        </is>
      </c>
      <c r="F737" s="53">
        <f>_xll.BDP("APO US Equity","BEST_EPS","BEST_FPERIOD_OVERRIDE","24Y")</f>
        <v/>
      </c>
    </row>
    <row r="738">
      <c r="A738" t="inlineStr">
        <is>
          <t>APO</t>
        </is>
      </c>
      <c r="B738" t="inlineStr">
        <is>
          <t>APO US Equity</t>
        </is>
      </c>
      <c r="C738" t="inlineStr">
        <is>
          <t>BEST_SALES</t>
        </is>
      </c>
      <c r="D738" t="inlineStr">
        <is>
          <t>24Y</t>
        </is>
      </c>
      <c r="E738" t="inlineStr">
        <is>
          <t>Revenue estimate FY2024</t>
        </is>
      </c>
      <c r="F738" s="53">
        <f>_xll.BDP("APO US Equity","BEST_SALES","BEST_FPERIOD_OVERRIDE","24Y")</f>
        <v/>
      </c>
    </row>
    <row r="739">
      <c r="A739" t="inlineStr">
        <is>
          <t>APO</t>
        </is>
      </c>
      <c r="B739" t="inlineStr">
        <is>
          <t>APO US Equity</t>
        </is>
      </c>
      <c r="C739" t="inlineStr">
        <is>
          <t>BEST_EBIT</t>
        </is>
      </c>
      <c r="D739" t="inlineStr">
        <is>
          <t>24Y</t>
        </is>
      </c>
      <c r="E739" t="inlineStr">
        <is>
          <t>EBIT estimate FY2024</t>
        </is>
      </c>
      <c r="F739" s="53">
        <f>_xll.BDP("APO US Equity","BEST_EBIT","BEST_FPERIOD_OVERRIDE","24Y")</f>
        <v/>
      </c>
    </row>
    <row r="740">
      <c r="A740" t="inlineStr">
        <is>
          <t>APO</t>
        </is>
      </c>
      <c r="B740" t="inlineStr">
        <is>
          <t>APO US Equity</t>
        </is>
      </c>
      <c r="C740" t="inlineStr">
        <is>
          <t>BEST_EPS</t>
        </is>
      </c>
      <c r="D740" t="inlineStr">
        <is>
          <t>25Y</t>
        </is>
      </c>
      <c r="E740" t="inlineStr">
        <is>
          <t>EPS estimate FY2025</t>
        </is>
      </c>
      <c r="F740" s="53">
        <f>_xll.BDP("APO US Equity","BEST_EPS","BEST_FPERIOD_OVERRIDE","25Y")</f>
        <v/>
      </c>
    </row>
    <row r="741">
      <c r="A741" t="inlineStr">
        <is>
          <t>APO</t>
        </is>
      </c>
      <c r="B741" t="inlineStr">
        <is>
          <t>APO US Equity</t>
        </is>
      </c>
      <c r="C741" t="inlineStr">
        <is>
          <t>BEST_SALES</t>
        </is>
      </c>
      <c r="D741" t="inlineStr">
        <is>
          <t>25Y</t>
        </is>
      </c>
      <c r="E741" t="inlineStr">
        <is>
          <t>Revenue estimate FY2025</t>
        </is>
      </c>
      <c r="F741" s="53">
        <f>_xll.BDP("APO US Equity","BEST_SALES","BEST_FPERIOD_OVERRIDE","25Y")</f>
        <v/>
      </c>
    </row>
    <row r="742">
      <c r="A742" t="inlineStr">
        <is>
          <t>APO</t>
        </is>
      </c>
      <c r="B742" t="inlineStr">
        <is>
          <t>APO US Equity</t>
        </is>
      </c>
      <c r="C742" t="inlineStr">
        <is>
          <t>BEST_EBIT</t>
        </is>
      </c>
      <c r="D742" t="inlineStr">
        <is>
          <t>25Y</t>
        </is>
      </c>
      <c r="E742" t="inlineStr">
        <is>
          <t>EBIT estimate FY2025</t>
        </is>
      </c>
      <c r="F742" s="53">
        <f>_xll.BDP("APO US Equity","BEST_EBIT","BEST_FPERIOD_OVERRIDE","25Y")</f>
        <v/>
      </c>
    </row>
    <row r="743">
      <c r="A743" t="inlineStr">
        <is>
          <t>APO</t>
        </is>
      </c>
      <c r="B743" t="inlineStr">
        <is>
          <t>APO US Equity</t>
        </is>
      </c>
      <c r="C743" t="inlineStr">
        <is>
          <t>BEST_EPS</t>
        </is>
      </c>
      <c r="D743" t="inlineStr">
        <is>
          <t>26Y</t>
        </is>
      </c>
      <c r="E743" t="inlineStr">
        <is>
          <t>EPS estimate FY2026</t>
        </is>
      </c>
      <c r="F743" s="53">
        <f>_xll.BDP("APO US Equity","BEST_EPS","BEST_FPERIOD_OVERRIDE","26Y")</f>
        <v/>
      </c>
    </row>
    <row r="744">
      <c r="A744" t="inlineStr">
        <is>
          <t>APO</t>
        </is>
      </c>
      <c r="B744" t="inlineStr">
        <is>
          <t>APO US Equity</t>
        </is>
      </c>
      <c r="C744" t="inlineStr">
        <is>
          <t>BEST_SALES</t>
        </is>
      </c>
      <c r="D744" t="inlineStr">
        <is>
          <t>26Y</t>
        </is>
      </c>
      <c r="E744" t="inlineStr">
        <is>
          <t>Revenue estimate FY2026</t>
        </is>
      </c>
      <c r="F744" s="53">
        <f>_xll.BDP("APO US Equity","BEST_SALES","BEST_FPERIOD_OVERRIDE","26Y")</f>
        <v/>
      </c>
    </row>
    <row r="745">
      <c r="A745" t="inlineStr">
        <is>
          <t>APO</t>
        </is>
      </c>
      <c r="B745" t="inlineStr">
        <is>
          <t>APO US Equity</t>
        </is>
      </c>
      <c r="C745" t="inlineStr">
        <is>
          <t>BEST_EBIT</t>
        </is>
      </c>
      <c r="D745" t="inlineStr">
        <is>
          <t>26Y</t>
        </is>
      </c>
      <c r="E745" t="inlineStr">
        <is>
          <t>EBIT estimate FY2026</t>
        </is>
      </c>
      <c r="F745" s="53">
        <f>_xll.BDP("APO US Equity","BEST_EBIT","BEST_FPERIOD_OVERRIDE","26Y")</f>
        <v/>
      </c>
    </row>
    <row r="746">
      <c r="A746" t="inlineStr">
        <is>
          <t>APO</t>
        </is>
      </c>
      <c r="B746" t="inlineStr">
        <is>
          <t>APO US Equity</t>
        </is>
      </c>
      <c r="C746" t="inlineStr">
        <is>
          <t>BEST_EPS</t>
        </is>
      </c>
      <c r="D746" t="inlineStr">
        <is>
          <t>27Y</t>
        </is>
      </c>
      <c r="E746" t="inlineStr">
        <is>
          <t>EPS estimate FY2027</t>
        </is>
      </c>
      <c r="F746" s="53">
        <f>_xll.BDP("APO US Equity","BEST_EPS","BEST_FPERIOD_OVERRIDE","27Y")</f>
        <v/>
      </c>
    </row>
    <row r="747">
      <c r="A747" t="inlineStr">
        <is>
          <t>APO</t>
        </is>
      </c>
      <c r="B747" t="inlineStr">
        <is>
          <t>APO US Equity</t>
        </is>
      </c>
      <c r="C747" t="inlineStr">
        <is>
          <t>BEST_SALES</t>
        </is>
      </c>
      <c r="D747" t="inlineStr">
        <is>
          <t>27Y</t>
        </is>
      </c>
      <c r="E747" t="inlineStr">
        <is>
          <t>Revenue estimate FY2027</t>
        </is>
      </c>
      <c r="F747" s="53">
        <f>_xll.BDP("APO US Equity","BEST_SALES","BEST_FPERIOD_OVERRIDE","27Y")</f>
        <v/>
      </c>
    </row>
    <row r="748">
      <c r="A748" t="inlineStr">
        <is>
          <t>APO</t>
        </is>
      </c>
      <c r="B748" t="inlineStr">
        <is>
          <t>APO US Equity</t>
        </is>
      </c>
      <c r="C748" t="inlineStr">
        <is>
          <t>BEST_EBIT</t>
        </is>
      </c>
      <c r="D748" t="inlineStr">
        <is>
          <t>27Y</t>
        </is>
      </c>
      <c r="E748" t="inlineStr">
        <is>
          <t>EBIT estimate FY2027</t>
        </is>
      </c>
      <c r="F748" s="53">
        <f>_xll.BDP("APO US Equity","BEST_EBIT","BEST_FPERIOD_OVERRIDE","27Y")</f>
        <v/>
      </c>
    </row>
    <row r="749">
      <c r="A749" t="inlineStr">
        <is>
          <t>APO</t>
        </is>
      </c>
      <c r="B749" t="inlineStr">
        <is>
          <t>APO US Equity</t>
        </is>
      </c>
      <c r="C749" t="inlineStr">
        <is>
          <t>BEST_EPS</t>
        </is>
      </c>
      <c r="D749" t="inlineStr">
        <is>
          <t>28Y</t>
        </is>
      </c>
      <c r="E749" t="inlineStr">
        <is>
          <t>EPS estimate FY2028</t>
        </is>
      </c>
      <c r="F749" s="53">
        <f>_xll.BDP("APO US Equity","BEST_EPS","BEST_FPERIOD_OVERRIDE","28Y")</f>
        <v/>
      </c>
    </row>
    <row r="750">
      <c r="A750" t="inlineStr">
        <is>
          <t>APO</t>
        </is>
      </c>
      <c r="B750" t="inlineStr">
        <is>
          <t>APO US Equity</t>
        </is>
      </c>
      <c r="C750" t="inlineStr">
        <is>
          <t>BEST_SALES</t>
        </is>
      </c>
      <c r="D750" t="inlineStr">
        <is>
          <t>28Y</t>
        </is>
      </c>
      <c r="E750" t="inlineStr">
        <is>
          <t>Revenue estimate FY2028</t>
        </is>
      </c>
      <c r="F750" s="53">
        <f>_xll.BDP("APO US Equity","BEST_SALES","BEST_FPERIOD_OVERRIDE","28Y")</f>
        <v/>
      </c>
    </row>
    <row r="751">
      <c r="A751" t="inlineStr">
        <is>
          <t>APO</t>
        </is>
      </c>
      <c r="B751" t="inlineStr">
        <is>
          <t>APO US Equity</t>
        </is>
      </c>
      <c r="C751" t="inlineStr">
        <is>
          <t>BEST_EBIT</t>
        </is>
      </c>
      <c r="D751" t="inlineStr">
        <is>
          <t>28Y</t>
        </is>
      </c>
      <c r="E751" t="inlineStr">
        <is>
          <t>EBIT estimate FY2028</t>
        </is>
      </c>
      <c r="F751" s="53">
        <f>_xll.BDP("APO US Equity","BEST_EBIT","BEST_FPERIOD_OVERRIDE","28Y")</f>
        <v/>
      </c>
    </row>
    <row r="752">
      <c r="A752" t="inlineStr">
        <is>
          <t>BN</t>
        </is>
      </c>
      <c r="B752" t="inlineStr">
        <is>
          <t>BN US Equity</t>
        </is>
      </c>
      <c r="C752" t="inlineStr">
        <is>
          <t>PX_LAST</t>
        </is>
      </c>
      <c r="E752" t="inlineStr">
        <is>
          <t>Last price</t>
        </is>
      </c>
      <c r="F752" s="53">
        <f>_xll.BDP("BN US Equity","PX_LAST")</f>
        <v/>
      </c>
    </row>
    <row r="753">
      <c r="A753" t="inlineStr">
        <is>
          <t>BN</t>
        </is>
      </c>
      <c r="B753" t="inlineStr">
        <is>
          <t>BN US Equity</t>
        </is>
      </c>
      <c r="C753" t="inlineStr">
        <is>
          <t>CUR_MKT_CAP</t>
        </is>
      </c>
      <c r="E753" t="inlineStr">
        <is>
          <t>Market cap (raw)</t>
        </is>
      </c>
      <c r="F753" s="53">
        <f>_xll.BDP("BN US Equity","CUR_MKT_CAP")</f>
        <v/>
      </c>
    </row>
    <row r="754">
      <c r="A754" t="inlineStr">
        <is>
          <t>BN</t>
        </is>
      </c>
      <c r="B754" t="inlineStr">
        <is>
          <t>BN US Equity</t>
        </is>
      </c>
      <c r="C754" t="inlineStr">
        <is>
          <t>CHG_PCT_YTD</t>
        </is>
      </c>
      <c r="E754" t="inlineStr">
        <is>
          <t>YTD price change %</t>
        </is>
      </c>
      <c r="F754" s="53">
        <f>_xll.BDP("BN US Equity","CHG_PCT_YTD")</f>
        <v/>
      </c>
    </row>
    <row r="755">
      <c r="A755" t="inlineStr">
        <is>
          <t>BN</t>
        </is>
      </c>
      <c r="B755" t="inlineStr">
        <is>
          <t>BN US Equity</t>
        </is>
      </c>
      <c r="C755" t="inlineStr">
        <is>
          <t>NET_DEBT_TO_EBITDA</t>
        </is>
      </c>
      <c r="E755" t="inlineStr">
        <is>
          <t>Net debt / EBITDA</t>
        </is>
      </c>
      <c r="F755" s="53">
        <f>_xll.BDP("BN US Equity","NET_DEBT_TO_EBITDA")</f>
        <v/>
      </c>
    </row>
    <row r="756">
      <c r="A756" t="inlineStr">
        <is>
          <t>BN</t>
        </is>
      </c>
      <c r="B756" t="inlineStr">
        <is>
          <t>BN US Equity</t>
        </is>
      </c>
      <c r="C756" t="inlineStr">
        <is>
          <t>RETURN_ON_INV_CAPITAL</t>
        </is>
      </c>
      <c r="E756" t="inlineStr">
        <is>
          <t>ROIC (LTM)</t>
        </is>
      </c>
      <c r="F756" s="53">
        <f>_xll.BDP("BN US Equity","RETURN_ON_INV_CAPITAL")</f>
        <v/>
      </c>
    </row>
    <row r="757">
      <c r="A757" t="inlineStr">
        <is>
          <t>BN</t>
        </is>
      </c>
      <c r="B757" t="inlineStr">
        <is>
          <t>BN US Equity</t>
        </is>
      </c>
      <c r="C757" t="inlineStr">
        <is>
          <t>TRAIL_12M_OPER_INC</t>
        </is>
      </c>
      <c r="E757" t="inlineStr">
        <is>
          <t>LTM operating income</t>
        </is>
      </c>
      <c r="F757" s="53">
        <f>_xll.BDP("BN US Equity","TRAIL_12M_OPER_INC")</f>
        <v/>
      </c>
    </row>
    <row r="758">
      <c r="A758" t="inlineStr">
        <is>
          <t>BN</t>
        </is>
      </c>
      <c r="B758" t="inlineStr">
        <is>
          <t>BN US Equity</t>
        </is>
      </c>
      <c r="C758" t="inlineStr">
        <is>
          <t>TRAIL_12M_EBITDA</t>
        </is>
      </c>
      <c r="E758" t="inlineStr">
        <is>
          <t>LTM EBITDA</t>
        </is>
      </c>
      <c r="F758" s="53">
        <f>_xll.BDP("BN US Equity","TRAIL_12M_EBITDA")</f>
        <v/>
      </c>
    </row>
    <row r="759">
      <c r="A759" t="inlineStr">
        <is>
          <t>BN</t>
        </is>
      </c>
      <c r="B759" t="inlineStr">
        <is>
          <t>BN US Equity</t>
        </is>
      </c>
      <c r="C759" t="inlineStr">
        <is>
          <t>SHORT_AND_LONG_TERM_DEBT</t>
        </is>
      </c>
      <c r="E759" t="inlineStr">
        <is>
          <t>Total debt</t>
        </is>
      </c>
      <c r="F759" s="53">
        <f>_xll.BDP("BN US Equity","SHORT_AND_LONG_TERM_DEBT")</f>
        <v/>
      </c>
    </row>
    <row r="760">
      <c r="A760" t="inlineStr">
        <is>
          <t>BN</t>
        </is>
      </c>
      <c r="B760" t="inlineStr">
        <is>
          <t>BN US Equity</t>
        </is>
      </c>
      <c r="C760" t="inlineStr">
        <is>
          <t>TOTAL_EQUITY</t>
        </is>
      </c>
      <c r="E760" t="inlineStr">
        <is>
          <t>Total equity</t>
        </is>
      </c>
      <c r="F760" s="53">
        <f>_xll.BDP("BN US Equity","TOTAL_EQUITY")</f>
        <v/>
      </c>
    </row>
    <row r="761">
      <c r="A761" t="inlineStr">
        <is>
          <t>BN</t>
        </is>
      </c>
      <c r="B761" t="inlineStr">
        <is>
          <t>BN US Equity</t>
        </is>
      </c>
      <c r="C761" t="inlineStr">
        <is>
          <t>BS_CASH_NEAR_CASH_ITEM</t>
        </is>
      </c>
      <c r="E761" t="inlineStr">
        <is>
          <t>Cash &amp; equivalents</t>
        </is>
      </c>
      <c r="F761" s="53">
        <f>_xll.BDP("BN US Equity","BS_CASH_NEAR_CASH_ITEM")</f>
        <v/>
      </c>
    </row>
    <row r="762">
      <c r="A762" t="inlineStr">
        <is>
          <t>BN</t>
        </is>
      </c>
      <c r="B762" t="inlineStr">
        <is>
          <t>BN US Equity</t>
        </is>
      </c>
      <c r="C762" t="inlineStr">
        <is>
          <t>BEST_EPS</t>
        </is>
      </c>
      <c r="D762" t="inlineStr">
        <is>
          <t>24Y</t>
        </is>
      </c>
      <c r="E762" t="inlineStr">
        <is>
          <t>EPS estimate FY2024</t>
        </is>
      </c>
      <c r="F762" s="53">
        <f>_xll.BDP("BN US Equity","BEST_EPS","BEST_FPERIOD_OVERRIDE","24Y")</f>
        <v/>
      </c>
    </row>
    <row r="763">
      <c r="A763" t="inlineStr">
        <is>
          <t>BN</t>
        </is>
      </c>
      <c r="B763" t="inlineStr">
        <is>
          <t>BN US Equity</t>
        </is>
      </c>
      <c r="C763" t="inlineStr">
        <is>
          <t>BEST_SALES</t>
        </is>
      </c>
      <c r="D763" t="inlineStr">
        <is>
          <t>24Y</t>
        </is>
      </c>
      <c r="E763" t="inlineStr">
        <is>
          <t>Revenue estimate FY2024</t>
        </is>
      </c>
      <c r="F763" s="53">
        <f>_xll.BDP("BN US Equity","BEST_SALES","BEST_FPERIOD_OVERRIDE","24Y")</f>
        <v/>
      </c>
    </row>
    <row r="764">
      <c r="A764" t="inlineStr">
        <is>
          <t>BN</t>
        </is>
      </c>
      <c r="B764" t="inlineStr">
        <is>
          <t>BN US Equity</t>
        </is>
      </c>
      <c r="C764" t="inlineStr">
        <is>
          <t>BEST_EBIT</t>
        </is>
      </c>
      <c r="D764" t="inlineStr">
        <is>
          <t>24Y</t>
        </is>
      </c>
      <c r="E764" t="inlineStr">
        <is>
          <t>EBIT estimate FY2024</t>
        </is>
      </c>
      <c r="F764" s="53">
        <f>_xll.BDP("BN US Equity","BEST_EBIT","BEST_FPERIOD_OVERRIDE","24Y")</f>
        <v/>
      </c>
    </row>
    <row r="765">
      <c r="A765" t="inlineStr">
        <is>
          <t>BN</t>
        </is>
      </c>
      <c r="B765" t="inlineStr">
        <is>
          <t>BN US Equity</t>
        </is>
      </c>
      <c r="C765" t="inlineStr">
        <is>
          <t>BEST_EPS</t>
        </is>
      </c>
      <c r="D765" t="inlineStr">
        <is>
          <t>25Y</t>
        </is>
      </c>
      <c r="E765" t="inlineStr">
        <is>
          <t>EPS estimate FY2025</t>
        </is>
      </c>
      <c r="F765" s="53">
        <f>_xll.BDP("BN US Equity","BEST_EPS","BEST_FPERIOD_OVERRIDE","25Y")</f>
        <v/>
      </c>
    </row>
    <row r="766">
      <c r="A766" t="inlineStr">
        <is>
          <t>BN</t>
        </is>
      </c>
      <c r="B766" t="inlineStr">
        <is>
          <t>BN US Equity</t>
        </is>
      </c>
      <c r="C766" t="inlineStr">
        <is>
          <t>BEST_SALES</t>
        </is>
      </c>
      <c r="D766" t="inlineStr">
        <is>
          <t>25Y</t>
        </is>
      </c>
      <c r="E766" t="inlineStr">
        <is>
          <t>Revenue estimate FY2025</t>
        </is>
      </c>
      <c r="F766" s="53">
        <f>_xll.BDP("BN US Equity","BEST_SALES","BEST_FPERIOD_OVERRIDE","25Y")</f>
        <v/>
      </c>
    </row>
    <row r="767">
      <c r="A767" t="inlineStr">
        <is>
          <t>BN</t>
        </is>
      </c>
      <c r="B767" t="inlineStr">
        <is>
          <t>BN US Equity</t>
        </is>
      </c>
      <c r="C767" t="inlineStr">
        <is>
          <t>BEST_EBIT</t>
        </is>
      </c>
      <c r="D767" t="inlineStr">
        <is>
          <t>25Y</t>
        </is>
      </c>
      <c r="E767" t="inlineStr">
        <is>
          <t>EBIT estimate FY2025</t>
        </is>
      </c>
      <c r="F767" s="53">
        <f>_xll.BDP("BN US Equity","BEST_EBIT","BEST_FPERIOD_OVERRIDE","25Y")</f>
        <v/>
      </c>
    </row>
    <row r="768">
      <c r="A768" t="inlineStr">
        <is>
          <t>BN</t>
        </is>
      </c>
      <c r="B768" t="inlineStr">
        <is>
          <t>BN US Equity</t>
        </is>
      </c>
      <c r="C768" t="inlineStr">
        <is>
          <t>BEST_EPS</t>
        </is>
      </c>
      <c r="D768" t="inlineStr">
        <is>
          <t>26Y</t>
        </is>
      </c>
      <c r="E768" t="inlineStr">
        <is>
          <t>EPS estimate FY2026</t>
        </is>
      </c>
      <c r="F768" s="53">
        <f>_xll.BDP("BN US Equity","BEST_EPS","BEST_FPERIOD_OVERRIDE","26Y")</f>
        <v/>
      </c>
    </row>
    <row r="769">
      <c r="A769" t="inlineStr">
        <is>
          <t>BN</t>
        </is>
      </c>
      <c r="B769" t="inlineStr">
        <is>
          <t>BN US Equity</t>
        </is>
      </c>
      <c r="C769" t="inlineStr">
        <is>
          <t>BEST_SALES</t>
        </is>
      </c>
      <c r="D769" t="inlineStr">
        <is>
          <t>26Y</t>
        </is>
      </c>
      <c r="E769" t="inlineStr">
        <is>
          <t>Revenue estimate FY2026</t>
        </is>
      </c>
      <c r="F769" s="53">
        <f>_xll.BDP("BN US Equity","BEST_SALES","BEST_FPERIOD_OVERRIDE","26Y")</f>
        <v/>
      </c>
    </row>
    <row r="770">
      <c r="A770" t="inlineStr">
        <is>
          <t>BN</t>
        </is>
      </c>
      <c r="B770" t="inlineStr">
        <is>
          <t>BN US Equity</t>
        </is>
      </c>
      <c r="C770" t="inlineStr">
        <is>
          <t>BEST_EBIT</t>
        </is>
      </c>
      <c r="D770" t="inlineStr">
        <is>
          <t>26Y</t>
        </is>
      </c>
      <c r="E770" t="inlineStr">
        <is>
          <t>EBIT estimate FY2026</t>
        </is>
      </c>
      <c r="F770" s="53">
        <f>_xll.BDP("BN US Equity","BEST_EBIT","BEST_FPERIOD_OVERRIDE","26Y")</f>
        <v/>
      </c>
    </row>
    <row r="771">
      <c r="A771" t="inlineStr">
        <is>
          <t>BN</t>
        </is>
      </c>
      <c r="B771" t="inlineStr">
        <is>
          <t>BN US Equity</t>
        </is>
      </c>
      <c r="C771" t="inlineStr">
        <is>
          <t>BEST_EPS</t>
        </is>
      </c>
      <c r="D771" t="inlineStr">
        <is>
          <t>27Y</t>
        </is>
      </c>
      <c r="E771" t="inlineStr">
        <is>
          <t>EPS estimate FY2027</t>
        </is>
      </c>
      <c r="F771" s="53">
        <f>_xll.BDP("BN US Equity","BEST_EPS","BEST_FPERIOD_OVERRIDE","27Y")</f>
        <v/>
      </c>
    </row>
    <row r="772">
      <c r="A772" t="inlineStr">
        <is>
          <t>BN</t>
        </is>
      </c>
      <c r="B772" t="inlineStr">
        <is>
          <t>BN US Equity</t>
        </is>
      </c>
      <c r="C772" t="inlineStr">
        <is>
          <t>BEST_SALES</t>
        </is>
      </c>
      <c r="D772" t="inlineStr">
        <is>
          <t>27Y</t>
        </is>
      </c>
      <c r="E772" t="inlineStr">
        <is>
          <t>Revenue estimate FY2027</t>
        </is>
      </c>
      <c r="F772" s="53">
        <f>_xll.BDP("BN US Equity","BEST_SALES","BEST_FPERIOD_OVERRIDE","27Y")</f>
        <v/>
      </c>
    </row>
    <row r="773">
      <c r="A773" t="inlineStr">
        <is>
          <t>BN</t>
        </is>
      </c>
      <c r="B773" t="inlineStr">
        <is>
          <t>BN US Equity</t>
        </is>
      </c>
      <c r="C773" t="inlineStr">
        <is>
          <t>BEST_EBIT</t>
        </is>
      </c>
      <c r="D773" t="inlineStr">
        <is>
          <t>27Y</t>
        </is>
      </c>
      <c r="E773" t="inlineStr">
        <is>
          <t>EBIT estimate FY2027</t>
        </is>
      </c>
      <c r="F773" s="53">
        <f>_xll.BDP("BN US Equity","BEST_EBIT","BEST_FPERIOD_OVERRIDE","27Y")</f>
        <v/>
      </c>
    </row>
    <row r="774">
      <c r="A774" t="inlineStr">
        <is>
          <t>BN</t>
        </is>
      </c>
      <c r="B774" t="inlineStr">
        <is>
          <t>BN US Equity</t>
        </is>
      </c>
      <c r="C774" t="inlineStr">
        <is>
          <t>BEST_EPS</t>
        </is>
      </c>
      <c r="D774" t="inlineStr">
        <is>
          <t>28Y</t>
        </is>
      </c>
      <c r="E774" t="inlineStr">
        <is>
          <t>EPS estimate FY2028</t>
        </is>
      </c>
      <c r="F774" s="53">
        <f>_xll.BDP("BN US Equity","BEST_EPS","BEST_FPERIOD_OVERRIDE","28Y")</f>
        <v/>
      </c>
    </row>
    <row r="775">
      <c r="A775" t="inlineStr">
        <is>
          <t>BN</t>
        </is>
      </c>
      <c r="B775" t="inlineStr">
        <is>
          <t>BN US Equity</t>
        </is>
      </c>
      <c r="C775" t="inlineStr">
        <is>
          <t>BEST_SALES</t>
        </is>
      </c>
      <c r="D775" t="inlineStr">
        <is>
          <t>28Y</t>
        </is>
      </c>
      <c r="E775" t="inlineStr">
        <is>
          <t>Revenue estimate FY2028</t>
        </is>
      </c>
      <c r="F775" s="53">
        <f>_xll.BDP("BN US Equity","BEST_SALES","BEST_FPERIOD_OVERRIDE","28Y")</f>
        <v/>
      </c>
    </row>
    <row r="776">
      <c r="A776" t="inlineStr">
        <is>
          <t>BN</t>
        </is>
      </c>
      <c r="B776" t="inlineStr">
        <is>
          <t>BN US Equity</t>
        </is>
      </c>
      <c r="C776" t="inlineStr">
        <is>
          <t>BEST_EBIT</t>
        </is>
      </c>
      <c r="D776" t="inlineStr">
        <is>
          <t>28Y</t>
        </is>
      </c>
      <c r="E776" t="inlineStr">
        <is>
          <t>EBIT estimate FY2028</t>
        </is>
      </c>
      <c r="F776" s="53">
        <f>_xll.BDP("BN US Equity","BEST_EBIT","BEST_FPERIOD_OVERRIDE","28Y")</f>
        <v/>
      </c>
    </row>
    <row r="777">
      <c r="A777" t="inlineStr">
        <is>
          <t>CVNA</t>
        </is>
      </c>
      <c r="B777" t="inlineStr">
        <is>
          <t>CVNA US Equity</t>
        </is>
      </c>
      <c r="C777" t="inlineStr">
        <is>
          <t>PX_LAST</t>
        </is>
      </c>
      <c r="E777" t="inlineStr">
        <is>
          <t>Last price</t>
        </is>
      </c>
      <c r="F777" s="53">
        <f>_xll.BDP("CVNA US Equity","PX_LAST")</f>
        <v/>
      </c>
    </row>
    <row r="778">
      <c r="A778" t="inlineStr">
        <is>
          <t>CVNA</t>
        </is>
      </c>
      <c r="B778" t="inlineStr">
        <is>
          <t>CVNA US Equity</t>
        </is>
      </c>
      <c r="C778" t="inlineStr">
        <is>
          <t>CUR_MKT_CAP</t>
        </is>
      </c>
      <c r="E778" t="inlineStr">
        <is>
          <t>Market cap (raw)</t>
        </is>
      </c>
      <c r="F778" s="53">
        <f>_xll.BDP("CVNA US Equity","CUR_MKT_CAP")</f>
        <v/>
      </c>
    </row>
    <row r="779">
      <c r="A779" t="inlineStr">
        <is>
          <t>CVNA</t>
        </is>
      </c>
      <c r="B779" t="inlineStr">
        <is>
          <t>CVNA US Equity</t>
        </is>
      </c>
      <c r="C779" t="inlineStr">
        <is>
          <t>CHG_PCT_YTD</t>
        </is>
      </c>
      <c r="E779" t="inlineStr">
        <is>
          <t>YTD price change %</t>
        </is>
      </c>
      <c r="F779" s="53">
        <f>_xll.BDP("CVNA US Equity","CHG_PCT_YTD")</f>
        <v/>
      </c>
    </row>
    <row r="780">
      <c r="A780" t="inlineStr">
        <is>
          <t>CVNA</t>
        </is>
      </c>
      <c r="B780" t="inlineStr">
        <is>
          <t>CVNA US Equity</t>
        </is>
      </c>
      <c r="C780" t="inlineStr">
        <is>
          <t>NET_DEBT_TO_EBITDA</t>
        </is>
      </c>
      <c r="E780" t="inlineStr">
        <is>
          <t>Net debt / EBITDA</t>
        </is>
      </c>
      <c r="F780" s="53">
        <f>_xll.BDP("CVNA US Equity","NET_DEBT_TO_EBITDA")</f>
        <v/>
      </c>
    </row>
    <row r="781">
      <c r="A781" t="inlineStr">
        <is>
          <t>CVNA</t>
        </is>
      </c>
      <c r="B781" t="inlineStr">
        <is>
          <t>CVNA US Equity</t>
        </is>
      </c>
      <c r="C781" t="inlineStr">
        <is>
          <t>RETURN_ON_INV_CAPITAL</t>
        </is>
      </c>
      <c r="E781" t="inlineStr">
        <is>
          <t>ROIC (LTM)</t>
        </is>
      </c>
      <c r="F781" s="53">
        <f>_xll.BDP("CVNA US Equity","RETURN_ON_INV_CAPITAL")</f>
        <v/>
      </c>
    </row>
    <row r="782">
      <c r="A782" t="inlineStr">
        <is>
          <t>CVNA</t>
        </is>
      </c>
      <c r="B782" t="inlineStr">
        <is>
          <t>CVNA US Equity</t>
        </is>
      </c>
      <c r="C782" t="inlineStr">
        <is>
          <t>TRAIL_12M_OPER_INC</t>
        </is>
      </c>
      <c r="E782" t="inlineStr">
        <is>
          <t>LTM operating income</t>
        </is>
      </c>
      <c r="F782" s="53">
        <f>_xll.BDP("CVNA US Equity","TRAIL_12M_OPER_INC")</f>
        <v/>
      </c>
    </row>
    <row r="783">
      <c r="A783" t="inlineStr">
        <is>
          <t>CVNA</t>
        </is>
      </c>
      <c r="B783" t="inlineStr">
        <is>
          <t>CVNA US Equity</t>
        </is>
      </c>
      <c r="C783" t="inlineStr">
        <is>
          <t>TRAIL_12M_EBITDA</t>
        </is>
      </c>
      <c r="E783" t="inlineStr">
        <is>
          <t>LTM EBITDA</t>
        </is>
      </c>
      <c r="F783" s="53">
        <f>_xll.BDP("CVNA US Equity","TRAIL_12M_EBITDA")</f>
        <v/>
      </c>
    </row>
    <row r="784">
      <c r="A784" t="inlineStr">
        <is>
          <t>CVNA</t>
        </is>
      </c>
      <c r="B784" t="inlineStr">
        <is>
          <t>CVNA US Equity</t>
        </is>
      </c>
      <c r="C784" t="inlineStr">
        <is>
          <t>SHORT_AND_LONG_TERM_DEBT</t>
        </is>
      </c>
      <c r="E784" t="inlineStr">
        <is>
          <t>Total debt</t>
        </is>
      </c>
      <c r="F784" s="53">
        <f>_xll.BDP("CVNA US Equity","SHORT_AND_LONG_TERM_DEBT")</f>
        <v/>
      </c>
    </row>
    <row r="785">
      <c r="A785" t="inlineStr">
        <is>
          <t>CVNA</t>
        </is>
      </c>
      <c r="B785" t="inlineStr">
        <is>
          <t>CVNA US Equity</t>
        </is>
      </c>
      <c r="C785" t="inlineStr">
        <is>
          <t>TOTAL_EQUITY</t>
        </is>
      </c>
      <c r="E785" t="inlineStr">
        <is>
          <t>Total equity</t>
        </is>
      </c>
      <c r="F785" s="53">
        <f>_xll.BDP("CVNA US Equity","TOTAL_EQUITY")</f>
        <v/>
      </c>
    </row>
    <row r="786">
      <c r="A786" t="inlineStr">
        <is>
          <t>CVNA</t>
        </is>
      </c>
      <c r="B786" t="inlineStr">
        <is>
          <t>CVNA US Equity</t>
        </is>
      </c>
      <c r="C786" t="inlineStr">
        <is>
          <t>BS_CASH_NEAR_CASH_ITEM</t>
        </is>
      </c>
      <c r="E786" t="inlineStr">
        <is>
          <t>Cash &amp; equivalents</t>
        </is>
      </c>
      <c r="F786" s="53">
        <f>_xll.BDP("CVNA US Equity","BS_CASH_NEAR_CASH_ITEM")</f>
        <v/>
      </c>
    </row>
    <row r="787">
      <c r="A787" t="inlineStr">
        <is>
          <t>CVNA</t>
        </is>
      </c>
      <c r="B787" t="inlineStr">
        <is>
          <t>CVNA US Equity</t>
        </is>
      </c>
      <c r="C787" t="inlineStr">
        <is>
          <t>BEST_EPS</t>
        </is>
      </c>
      <c r="D787" t="inlineStr">
        <is>
          <t>24Y</t>
        </is>
      </c>
      <c r="E787" t="inlineStr">
        <is>
          <t>EPS estimate FY2024</t>
        </is>
      </c>
      <c r="F787" s="53">
        <f>_xll.BDP("CVNA US Equity","BEST_EPS","BEST_FPERIOD_OVERRIDE","24Y")</f>
        <v/>
      </c>
    </row>
    <row r="788">
      <c r="A788" t="inlineStr">
        <is>
          <t>CVNA</t>
        </is>
      </c>
      <c r="B788" t="inlineStr">
        <is>
          <t>CVNA US Equity</t>
        </is>
      </c>
      <c r="C788" t="inlineStr">
        <is>
          <t>BEST_SALES</t>
        </is>
      </c>
      <c r="D788" t="inlineStr">
        <is>
          <t>24Y</t>
        </is>
      </c>
      <c r="E788" t="inlineStr">
        <is>
          <t>Revenue estimate FY2024</t>
        </is>
      </c>
      <c r="F788" s="53">
        <f>_xll.BDP("CVNA US Equity","BEST_SALES","BEST_FPERIOD_OVERRIDE","24Y")</f>
        <v/>
      </c>
    </row>
    <row r="789">
      <c r="A789" t="inlineStr">
        <is>
          <t>CVNA</t>
        </is>
      </c>
      <c r="B789" t="inlineStr">
        <is>
          <t>CVNA US Equity</t>
        </is>
      </c>
      <c r="C789" t="inlineStr">
        <is>
          <t>BEST_EBIT</t>
        </is>
      </c>
      <c r="D789" t="inlineStr">
        <is>
          <t>24Y</t>
        </is>
      </c>
      <c r="E789" t="inlineStr">
        <is>
          <t>EBIT estimate FY2024</t>
        </is>
      </c>
      <c r="F789" s="53">
        <f>_xll.BDP("CVNA US Equity","BEST_EBIT","BEST_FPERIOD_OVERRIDE","24Y")</f>
        <v/>
      </c>
    </row>
    <row r="790">
      <c r="A790" t="inlineStr">
        <is>
          <t>CVNA</t>
        </is>
      </c>
      <c r="B790" t="inlineStr">
        <is>
          <t>CVNA US Equity</t>
        </is>
      </c>
      <c r="C790" t="inlineStr">
        <is>
          <t>BEST_EPS</t>
        </is>
      </c>
      <c r="D790" t="inlineStr">
        <is>
          <t>25Y</t>
        </is>
      </c>
      <c r="E790" t="inlineStr">
        <is>
          <t>EPS estimate FY2025</t>
        </is>
      </c>
      <c r="F790" s="53">
        <f>_xll.BDP("CVNA US Equity","BEST_EPS","BEST_FPERIOD_OVERRIDE","25Y")</f>
        <v/>
      </c>
    </row>
    <row r="791">
      <c r="A791" t="inlineStr">
        <is>
          <t>CVNA</t>
        </is>
      </c>
      <c r="B791" t="inlineStr">
        <is>
          <t>CVNA US Equity</t>
        </is>
      </c>
      <c r="C791" t="inlineStr">
        <is>
          <t>BEST_SALES</t>
        </is>
      </c>
      <c r="D791" t="inlineStr">
        <is>
          <t>25Y</t>
        </is>
      </c>
      <c r="E791" t="inlineStr">
        <is>
          <t>Revenue estimate FY2025</t>
        </is>
      </c>
      <c r="F791" s="53">
        <f>_xll.BDP("CVNA US Equity","BEST_SALES","BEST_FPERIOD_OVERRIDE","25Y")</f>
        <v/>
      </c>
    </row>
    <row r="792">
      <c r="A792" t="inlineStr">
        <is>
          <t>CVNA</t>
        </is>
      </c>
      <c r="B792" t="inlineStr">
        <is>
          <t>CVNA US Equity</t>
        </is>
      </c>
      <c r="C792" t="inlineStr">
        <is>
          <t>BEST_EBIT</t>
        </is>
      </c>
      <c r="D792" t="inlineStr">
        <is>
          <t>25Y</t>
        </is>
      </c>
      <c r="E792" t="inlineStr">
        <is>
          <t>EBIT estimate FY2025</t>
        </is>
      </c>
      <c r="F792" s="53">
        <f>_xll.BDP("CVNA US Equity","BEST_EBIT","BEST_FPERIOD_OVERRIDE","25Y")</f>
        <v/>
      </c>
    </row>
    <row r="793">
      <c r="A793" t="inlineStr">
        <is>
          <t>CVNA</t>
        </is>
      </c>
      <c r="B793" t="inlineStr">
        <is>
          <t>CVNA US Equity</t>
        </is>
      </c>
      <c r="C793" t="inlineStr">
        <is>
          <t>BEST_EPS</t>
        </is>
      </c>
      <c r="D793" t="inlineStr">
        <is>
          <t>26Y</t>
        </is>
      </c>
      <c r="E793" t="inlineStr">
        <is>
          <t>EPS estimate FY2026</t>
        </is>
      </c>
      <c r="F793" s="53">
        <f>_xll.BDP("CVNA US Equity","BEST_EPS","BEST_FPERIOD_OVERRIDE","26Y")</f>
        <v/>
      </c>
    </row>
    <row r="794">
      <c r="A794" t="inlineStr">
        <is>
          <t>CVNA</t>
        </is>
      </c>
      <c r="B794" t="inlineStr">
        <is>
          <t>CVNA US Equity</t>
        </is>
      </c>
      <c r="C794" t="inlineStr">
        <is>
          <t>BEST_SALES</t>
        </is>
      </c>
      <c r="D794" t="inlineStr">
        <is>
          <t>26Y</t>
        </is>
      </c>
      <c r="E794" t="inlineStr">
        <is>
          <t>Revenue estimate FY2026</t>
        </is>
      </c>
      <c r="F794" s="53">
        <f>_xll.BDP("CVNA US Equity","BEST_SALES","BEST_FPERIOD_OVERRIDE","26Y")</f>
        <v/>
      </c>
    </row>
    <row r="795">
      <c r="A795" t="inlineStr">
        <is>
          <t>CVNA</t>
        </is>
      </c>
      <c r="B795" t="inlineStr">
        <is>
          <t>CVNA US Equity</t>
        </is>
      </c>
      <c r="C795" t="inlineStr">
        <is>
          <t>BEST_EBIT</t>
        </is>
      </c>
      <c r="D795" t="inlineStr">
        <is>
          <t>26Y</t>
        </is>
      </c>
      <c r="E795" t="inlineStr">
        <is>
          <t>EBIT estimate FY2026</t>
        </is>
      </c>
      <c r="F795" s="53">
        <f>_xll.BDP("CVNA US Equity","BEST_EBIT","BEST_FPERIOD_OVERRIDE","26Y")</f>
        <v/>
      </c>
    </row>
    <row r="796">
      <c r="A796" t="inlineStr">
        <is>
          <t>CVNA</t>
        </is>
      </c>
      <c r="B796" t="inlineStr">
        <is>
          <t>CVNA US Equity</t>
        </is>
      </c>
      <c r="C796" t="inlineStr">
        <is>
          <t>BEST_EPS</t>
        </is>
      </c>
      <c r="D796" t="inlineStr">
        <is>
          <t>27Y</t>
        </is>
      </c>
      <c r="E796" t="inlineStr">
        <is>
          <t>EPS estimate FY2027</t>
        </is>
      </c>
      <c r="F796" s="53">
        <f>_xll.BDP("CVNA US Equity","BEST_EPS","BEST_FPERIOD_OVERRIDE","27Y")</f>
        <v/>
      </c>
    </row>
    <row r="797">
      <c r="A797" t="inlineStr">
        <is>
          <t>CVNA</t>
        </is>
      </c>
      <c r="B797" t="inlineStr">
        <is>
          <t>CVNA US Equity</t>
        </is>
      </c>
      <c r="C797" t="inlineStr">
        <is>
          <t>BEST_SALES</t>
        </is>
      </c>
      <c r="D797" t="inlineStr">
        <is>
          <t>27Y</t>
        </is>
      </c>
      <c r="E797" t="inlineStr">
        <is>
          <t>Revenue estimate FY2027</t>
        </is>
      </c>
      <c r="F797" s="53">
        <f>_xll.BDP("CVNA US Equity","BEST_SALES","BEST_FPERIOD_OVERRIDE","27Y")</f>
        <v/>
      </c>
    </row>
    <row r="798">
      <c r="A798" t="inlineStr">
        <is>
          <t>CVNA</t>
        </is>
      </c>
      <c r="B798" t="inlineStr">
        <is>
          <t>CVNA US Equity</t>
        </is>
      </c>
      <c r="C798" t="inlineStr">
        <is>
          <t>BEST_EBIT</t>
        </is>
      </c>
      <c r="D798" t="inlineStr">
        <is>
          <t>27Y</t>
        </is>
      </c>
      <c r="E798" t="inlineStr">
        <is>
          <t>EBIT estimate FY2027</t>
        </is>
      </c>
      <c r="F798" s="53">
        <f>_xll.BDP("CVNA US Equity","BEST_EBIT","BEST_FPERIOD_OVERRIDE","27Y")</f>
        <v/>
      </c>
    </row>
    <row r="799">
      <c r="A799" t="inlineStr">
        <is>
          <t>CVNA</t>
        </is>
      </c>
      <c r="B799" t="inlineStr">
        <is>
          <t>CVNA US Equity</t>
        </is>
      </c>
      <c r="C799" t="inlineStr">
        <is>
          <t>BEST_EPS</t>
        </is>
      </c>
      <c r="D799" t="inlineStr">
        <is>
          <t>28Y</t>
        </is>
      </c>
      <c r="E799" t="inlineStr">
        <is>
          <t>EPS estimate FY2028</t>
        </is>
      </c>
      <c r="F799" s="53">
        <f>_xll.BDP("CVNA US Equity","BEST_EPS","BEST_FPERIOD_OVERRIDE","28Y")</f>
        <v/>
      </c>
    </row>
    <row r="800">
      <c r="A800" t="inlineStr">
        <is>
          <t>CVNA</t>
        </is>
      </c>
      <c r="B800" t="inlineStr">
        <is>
          <t>CVNA US Equity</t>
        </is>
      </c>
      <c r="C800" t="inlineStr">
        <is>
          <t>BEST_SALES</t>
        </is>
      </c>
      <c r="D800" t="inlineStr">
        <is>
          <t>28Y</t>
        </is>
      </c>
      <c r="E800" t="inlineStr">
        <is>
          <t>Revenue estimate FY2028</t>
        </is>
      </c>
      <c r="F800" s="53">
        <f>_xll.BDP("CVNA US Equity","BEST_SALES","BEST_FPERIOD_OVERRIDE","28Y")</f>
        <v/>
      </c>
    </row>
    <row r="801">
      <c r="A801" t="inlineStr">
        <is>
          <t>CVNA</t>
        </is>
      </c>
      <c r="B801" t="inlineStr">
        <is>
          <t>CVNA US Equity</t>
        </is>
      </c>
      <c r="C801" t="inlineStr">
        <is>
          <t>BEST_EBIT</t>
        </is>
      </c>
      <c r="D801" t="inlineStr">
        <is>
          <t>28Y</t>
        </is>
      </c>
      <c r="E801" t="inlineStr">
        <is>
          <t>EBIT estimate FY2028</t>
        </is>
      </c>
      <c r="F801" s="53">
        <f>_xll.BDP("CVNA US Equity","BEST_EBIT","BEST_FPERIOD_OVERRIDE","28Y")</f>
        <v/>
      </c>
    </row>
    <row r="802">
      <c r="A802" t="inlineStr">
        <is>
          <t>JPM</t>
        </is>
      </c>
      <c r="B802" t="inlineStr">
        <is>
          <t>JPM US Equity</t>
        </is>
      </c>
      <c r="C802" t="inlineStr">
        <is>
          <t>PX_LAST</t>
        </is>
      </c>
      <c r="E802" t="inlineStr">
        <is>
          <t>Last price</t>
        </is>
      </c>
      <c r="F802" s="53">
        <f>_xll.BDP("JPM US Equity","PX_LAST")</f>
        <v/>
      </c>
    </row>
    <row r="803">
      <c r="A803" t="inlineStr">
        <is>
          <t>JPM</t>
        </is>
      </c>
      <c r="B803" t="inlineStr">
        <is>
          <t>JPM US Equity</t>
        </is>
      </c>
      <c r="C803" t="inlineStr">
        <is>
          <t>CUR_MKT_CAP</t>
        </is>
      </c>
      <c r="E803" t="inlineStr">
        <is>
          <t>Market cap (raw)</t>
        </is>
      </c>
      <c r="F803" s="53">
        <f>_xll.BDP("JPM US Equity","CUR_MKT_CAP")</f>
        <v/>
      </c>
    </row>
    <row r="804">
      <c r="A804" t="inlineStr">
        <is>
          <t>JPM</t>
        </is>
      </c>
      <c r="B804" t="inlineStr">
        <is>
          <t>JPM US Equity</t>
        </is>
      </c>
      <c r="C804" t="inlineStr">
        <is>
          <t>CHG_PCT_YTD</t>
        </is>
      </c>
      <c r="E804" t="inlineStr">
        <is>
          <t>YTD price change %</t>
        </is>
      </c>
      <c r="F804" s="53">
        <f>_xll.BDP("JPM US Equity","CHG_PCT_YTD")</f>
        <v/>
      </c>
    </row>
    <row r="805">
      <c r="A805" t="inlineStr">
        <is>
          <t>JPM</t>
        </is>
      </c>
      <c r="B805" t="inlineStr">
        <is>
          <t>JPM US Equity</t>
        </is>
      </c>
      <c r="C805" t="inlineStr">
        <is>
          <t>NET_DEBT_TO_EBITDA</t>
        </is>
      </c>
      <c r="E805" t="inlineStr">
        <is>
          <t>Net debt / EBITDA</t>
        </is>
      </c>
      <c r="F805" s="53">
        <f>_xll.BDP("JPM US Equity","NET_DEBT_TO_EBITDA")</f>
        <v/>
      </c>
    </row>
    <row r="806">
      <c r="A806" t="inlineStr">
        <is>
          <t>JPM</t>
        </is>
      </c>
      <c r="B806" t="inlineStr">
        <is>
          <t>JPM US Equity</t>
        </is>
      </c>
      <c r="C806" t="inlineStr">
        <is>
          <t>RETURN_ON_INV_CAPITAL</t>
        </is>
      </c>
      <c r="E806" t="inlineStr">
        <is>
          <t>ROIC (LTM)</t>
        </is>
      </c>
      <c r="F806" s="53">
        <f>_xll.BDP("JPM US Equity","RETURN_ON_INV_CAPITAL")</f>
        <v/>
      </c>
    </row>
    <row r="807">
      <c r="A807" t="inlineStr">
        <is>
          <t>JPM</t>
        </is>
      </c>
      <c r="B807" t="inlineStr">
        <is>
          <t>JPM US Equity</t>
        </is>
      </c>
      <c r="C807" t="inlineStr">
        <is>
          <t>TRAIL_12M_OPER_INC</t>
        </is>
      </c>
      <c r="E807" t="inlineStr">
        <is>
          <t>LTM operating income</t>
        </is>
      </c>
      <c r="F807" s="53">
        <f>_xll.BDP("JPM US Equity","TRAIL_12M_OPER_INC")</f>
        <v/>
      </c>
    </row>
    <row r="808">
      <c r="A808" t="inlineStr">
        <is>
          <t>JPM</t>
        </is>
      </c>
      <c r="B808" t="inlineStr">
        <is>
          <t>JPM US Equity</t>
        </is>
      </c>
      <c r="C808" t="inlineStr">
        <is>
          <t>TRAIL_12M_EBITDA</t>
        </is>
      </c>
      <c r="E808" t="inlineStr">
        <is>
          <t>LTM EBITDA</t>
        </is>
      </c>
      <c r="F808" s="53">
        <f>_xll.BDP("JPM US Equity","TRAIL_12M_EBITDA")</f>
        <v/>
      </c>
    </row>
    <row r="809">
      <c r="A809" t="inlineStr">
        <is>
          <t>JPM</t>
        </is>
      </c>
      <c r="B809" t="inlineStr">
        <is>
          <t>JPM US Equity</t>
        </is>
      </c>
      <c r="C809" t="inlineStr">
        <is>
          <t>SHORT_AND_LONG_TERM_DEBT</t>
        </is>
      </c>
      <c r="E809" t="inlineStr">
        <is>
          <t>Total debt</t>
        </is>
      </c>
      <c r="F809" s="53">
        <f>_xll.BDP("JPM US Equity","SHORT_AND_LONG_TERM_DEBT")</f>
        <v/>
      </c>
    </row>
    <row r="810">
      <c r="A810" t="inlineStr">
        <is>
          <t>JPM</t>
        </is>
      </c>
      <c r="B810" t="inlineStr">
        <is>
          <t>JPM US Equity</t>
        </is>
      </c>
      <c r="C810" t="inlineStr">
        <is>
          <t>TOTAL_EQUITY</t>
        </is>
      </c>
      <c r="E810" t="inlineStr">
        <is>
          <t>Total equity</t>
        </is>
      </c>
      <c r="F810" s="53">
        <f>_xll.BDP("JPM US Equity","TOTAL_EQUITY")</f>
        <v/>
      </c>
    </row>
    <row r="811">
      <c r="A811" t="inlineStr">
        <is>
          <t>JPM</t>
        </is>
      </c>
      <c r="B811" t="inlineStr">
        <is>
          <t>JPM US Equity</t>
        </is>
      </c>
      <c r="C811" t="inlineStr">
        <is>
          <t>BS_CASH_NEAR_CASH_ITEM</t>
        </is>
      </c>
      <c r="E811" t="inlineStr">
        <is>
          <t>Cash &amp; equivalents</t>
        </is>
      </c>
      <c r="F811" s="53">
        <f>_xll.BDP("JPM US Equity","BS_CASH_NEAR_CASH_ITEM")</f>
        <v/>
      </c>
    </row>
    <row r="812">
      <c r="A812" t="inlineStr">
        <is>
          <t>JPM</t>
        </is>
      </c>
      <c r="B812" t="inlineStr">
        <is>
          <t>JPM US Equity</t>
        </is>
      </c>
      <c r="C812" t="inlineStr">
        <is>
          <t>BEST_EPS</t>
        </is>
      </c>
      <c r="D812" t="inlineStr">
        <is>
          <t>24Y</t>
        </is>
      </c>
      <c r="E812" t="inlineStr">
        <is>
          <t>EPS estimate FY2024</t>
        </is>
      </c>
      <c r="F812" s="53">
        <f>_xll.BDP("JPM US Equity","BEST_EPS","BEST_FPERIOD_OVERRIDE","24Y")</f>
        <v/>
      </c>
    </row>
    <row r="813">
      <c r="A813" t="inlineStr">
        <is>
          <t>JPM</t>
        </is>
      </c>
      <c r="B813" t="inlineStr">
        <is>
          <t>JPM US Equity</t>
        </is>
      </c>
      <c r="C813" t="inlineStr">
        <is>
          <t>BEST_SALES</t>
        </is>
      </c>
      <c r="D813" t="inlineStr">
        <is>
          <t>24Y</t>
        </is>
      </c>
      <c r="E813" t="inlineStr">
        <is>
          <t>Revenue estimate FY2024</t>
        </is>
      </c>
      <c r="F813" s="53">
        <f>_xll.BDP("JPM US Equity","BEST_SALES","BEST_FPERIOD_OVERRIDE","24Y")</f>
        <v/>
      </c>
    </row>
    <row r="814">
      <c r="A814" t="inlineStr">
        <is>
          <t>JPM</t>
        </is>
      </c>
      <c r="B814" t="inlineStr">
        <is>
          <t>JPM US Equity</t>
        </is>
      </c>
      <c r="C814" t="inlineStr">
        <is>
          <t>BEST_EBIT</t>
        </is>
      </c>
      <c r="D814" t="inlineStr">
        <is>
          <t>24Y</t>
        </is>
      </c>
      <c r="E814" t="inlineStr">
        <is>
          <t>EBIT estimate FY2024</t>
        </is>
      </c>
      <c r="F814" s="53">
        <f>_xll.BDP("JPM US Equity","BEST_EBIT","BEST_FPERIOD_OVERRIDE","24Y")</f>
        <v/>
      </c>
    </row>
    <row r="815">
      <c r="A815" t="inlineStr">
        <is>
          <t>JPM</t>
        </is>
      </c>
      <c r="B815" t="inlineStr">
        <is>
          <t>JPM US Equity</t>
        </is>
      </c>
      <c r="C815" t="inlineStr">
        <is>
          <t>BEST_EPS</t>
        </is>
      </c>
      <c r="D815" t="inlineStr">
        <is>
          <t>25Y</t>
        </is>
      </c>
      <c r="E815" t="inlineStr">
        <is>
          <t>EPS estimate FY2025</t>
        </is>
      </c>
      <c r="F815" s="53">
        <f>_xll.BDP("JPM US Equity","BEST_EPS","BEST_FPERIOD_OVERRIDE","25Y")</f>
        <v/>
      </c>
    </row>
    <row r="816">
      <c r="A816" t="inlineStr">
        <is>
          <t>JPM</t>
        </is>
      </c>
      <c r="B816" t="inlineStr">
        <is>
          <t>JPM US Equity</t>
        </is>
      </c>
      <c r="C816" t="inlineStr">
        <is>
          <t>BEST_SALES</t>
        </is>
      </c>
      <c r="D816" t="inlineStr">
        <is>
          <t>25Y</t>
        </is>
      </c>
      <c r="E816" t="inlineStr">
        <is>
          <t>Revenue estimate FY2025</t>
        </is>
      </c>
      <c r="F816" s="53">
        <f>_xll.BDP("JPM US Equity","BEST_SALES","BEST_FPERIOD_OVERRIDE","25Y")</f>
        <v/>
      </c>
    </row>
    <row r="817">
      <c r="A817" t="inlineStr">
        <is>
          <t>JPM</t>
        </is>
      </c>
      <c r="B817" t="inlineStr">
        <is>
          <t>JPM US Equity</t>
        </is>
      </c>
      <c r="C817" t="inlineStr">
        <is>
          <t>BEST_EBIT</t>
        </is>
      </c>
      <c r="D817" t="inlineStr">
        <is>
          <t>25Y</t>
        </is>
      </c>
      <c r="E817" t="inlineStr">
        <is>
          <t>EBIT estimate FY2025</t>
        </is>
      </c>
      <c r="F817" s="53">
        <f>_xll.BDP("JPM US Equity","BEST_EBIT","BEST_FPERIOD_OVERRIDE","25Y")</f>
        <v/>
      </c>
    </row>
    <row r="818">
      <c r="A818" t="inlineStr">
        <is>
          <t>JPM</t>
        </is>
      </c>
      <c r="B818" t="inlineStr">
        <is>
          <t>JPM US Equity</t>
        </is>
      </c>
      <c r="C818" t="inlineStr">
        <is>
          <t>BEST_EPS</t>
        </is>
      </c>
      <c r="D818" t="inlineStr">
        <is>
          <t>26Y</t>
        </is>
      </c>
      <c r="E818" t="inlineStr">
        <is>
          <t>EPS estimate FY2026</t>
        </is>
      </c>
      <c r="F818" s="53">
        <f>_xll.BDP("JPM US Equity","BEST_EPS","BEST_FPERIOD_OVERRIDE","26Y")</f>
        <v/>
      </c>
    </row>
    <row r="819">
      <c r="A819" t="inlineStr">
        <is>
          <t>JPM</t>
        </is>
      </c>
      <c r="B819" t="inlineStr">
        <is>
          <t>JPM US Equity</t>
        </is>
      </c>
      <c r="C819" t="inlineStr">
        <is>
          <t>BEST_SALES</t>
        </is>
      </c>
      <c r="D819" t="inlineStr">
        <is>
          <t>26Y</t>
        </is>
      </c>
      <c r="E819" t="inlineStr">
        <is>
          <t>Revenue estimate FY2026</t>
        </is>
      </c>
      <c r="F819" s="53">
        <f>_xll.BDP("JPM US Equity","BEST_SALES","BEST_FPERIOD_OVERRIDE","26Y")</f>
        <v/>
      </c>
    </row>
    <row r="820">
      <c r="A820" t="inlineStr">
        <is>
          <t>JPM</t>
        </is>
      </c>
      <c r="B820" t="inlineStr">
        <is>
          <t>JPM US Equity</t>
        </is>
      </c>
      <c r="C820" t="inlineStr">
        <is>
          <t>BEST_EBIT</t>
        </is>
      </c>
      <c r="D820" t="inlineStr">
        <is>
          <t>26Y</t>
        </is>
      </c>
      <c r="E820" t="inlineStr">
        <is>
          <t>EBIT estimate FY2026</t>
        </is>
      </c>
      <c r="F820" s="53">
        <f>_xll.BDP("JPM US Equity","BEST_EBIT","BEST_FPERIOD_OVERRIDE","26Y")</f>
        <v/>
      </c>
    </row>
    <row r="821">
      <c r="A821" t="inlineStr">
        <is>
          <t>JPM</t>
        </is>
      </c>
      <c r="B821" t="inlineStr">
        <is>
          <t>JPM US Equity</t>
        </is>
      </c>
      <c r="C821" t="inlineStr">
        <is>
          <t>BEST_EPS</t>
        </is>
      </c>
      <c r="D821" t="inlineStr">
        <is>
          <t>27Y</t>
        </is>
      </c>
      <c r="E821" t="inlineStr">
        <is>
          <t>EPS estimate FY2027</t>
        </is>
      </c>
      <c r="F821" s="53">
        <f>_xll.BDP("JPM US Equity","BEST_EPS","BEST_FPERIOD_OVERRIDE","27Y")</f>
        <v/>
      </c>
    </row>
    <row r="822">
      <c r="A822" t="inlineStr">
        <is>
          <t>JPM</t>
        </is>
      </c>
      <c r="B822" t="inlineStr">
        <is>
          <t>JPM US Equity</t>
        </is>
      </c>
      <c r="C822" t="inlineStr">
        <is>
          <t>BEST_SALES</t>
        </is>
      </c>
      <c r="D822" t="inlineStr">
        <is>
          <t>27Y</t>
        </is>
      </c>
      <c r="E822" t="inlineStr">
        <is>
          <t>Revenue estimate FY2027</t>
        </is>
      </c>
      <c r="F822" s="53">
        <f>_xll.BDP("JPM US Equity","BEST_SALES","BEST_FPERIOD_OVERRIDE","27Y")</f>
        <v/>
      </c>
    </row>
    <row r="823">
      <c r="A823" t="inlineStr">
        <is>
          <t>JPM</t>
        </is>
      </c>
      <c r="B823" t="inlineStr">
        <is>
          <t>JPM US Equity</t>
        </is>
      </c>
      <c r="C823" t="inlineStr">
        <is>
          <t>BEST_EBIT</t>
        </is>
      </c>
      <c r="D823" t="inlineStr">
        <is>
          <t>27Y</t>
        </is>
      </c>
      <c r="E823" t="inlineStr">
        <is>
          <t>EBIT estimate FY2027</t>
        </is>
      </c>
      <c r="F823" s="53">
        <f>_xll.BDP("JPM US Equity","BEST_EBIT","BEST_FPERIOD_OVERRIDE","27Y")</f>
        <v/>
      </c>
    </row>
    <row r="824">
      <c r="A824" t="inlineStr">
        <is>
          <t>JPM</t>
        </is>
      </c>
      <c r="B824" t="inlineStr">
        <is>
          <t>JPM US Equity</t>
        </is>
      </c>
      <c r="C824" t="inlineStr">
        <is>
          <t>BEST_EPS</t>
        </is>
      </c>
      <c r="D824" t="inlineStr">
        <is>
          <t>28Y</t>
        </is>
      </c>
      <c r="E824" t="inlineStr">
        <is>
          <t>EPS estimate FY2028</t>
        </is>
      </c>
      <c r="F824" s="53">
        <f>_xll.BDP("JPM US Equity","BEST_EPS","BEST_FPERIOD_OVERRIDE","28Y")</f>
        <v/>
      </c>
    </row>
    <row r="825">
      <c r="A825" t="inlineStr">
        <is>
          <t>JPM</t>
        </is>
      </c>
      <c r="B825" t="inlineStr">
        <is>
          <t>JPM US Equity</t>
        </is>
      </c>
      <c r="C825" t="inlineStr">
        <is>
          <t>BEST_SALES</t>
        </is>
      </c>
      <c r="D825" t="inlineStr">
        <is>
          <t>28Y</t>
        </is>
      </c>
      <c r="E825" t="inlineStr">
        <is>
          <t>Revenue estimate FY2028</t>
        </is>
      </c>
      <c r="F825" s="53">
        <f>_xll.BDP("JPM US Equity","BEST_SALES","BEST_FPERIOD_OVERRIDE","28Y")</f>
        <v/>
      </c>
    </row>
    <row r="826">
      <c r="A826" t="inlineStr">
        <is>
          <t>JPM</t>
        </is>
      </c>
      <c r="B826" t="inlineStr">
        <is>
          <t>JPM US Equity</t>
        </is>
      </c>
      <c r="C826" t="inlineStr">
        <is>
          <t>BEST_EBIT</t>
        </is>
      </c>
      <c r="D826" t="inlineStr">
        <is>
          <t>28Y</t>
        </is>
      </c>
      <c r="E826" t="inlineStr">
        <is>
          <t>EBIT estimate FY2028</t>
        </is>
      </c>
      <c r="F826" s="53">
        <f>_xll.BDP("JPM US Equity","BEST_EBIT","BEST_FPERIOD_OVERRIDE","28Y")</f>
        <v/>
      </c>
    </row>
    <row r="827">
      <c r="A827" t="inlineStr">
        <is>
          <t>BX</t>
        </is>
      </c>
      <c r="B827" t="inlineStr">
        <is>
          <t>BX US Equity</t>
        </is>
      </c>
      <c r="C827" t="inlineStr">
        <is>
          <t>PX_LAST</t>
        </is>
      </c>
      <c r="E827" t="inlineStr">
        <is>
          <t>Last price</t>
        </is>
      </c>
      <c r="F827" s="53">
        <f>_xll.BDP("BX US Equity","PX_LAST")</f>
        <v/>
      </c>
    </row>
    <row r="828">
      <c r="A828" t="inlineStr">
        <is>
          <t>BX</t>
        </is>
      </c>
      <c r="B828" t="inlineStr">
        <is>
          <t>BX US Equity</t>
        </is>
      </c>
      <c r="C828" t="inlineStr">
        <is>
          <t>CUR_MKT_CAP</t>
        </is>
      </c>
      <c r="E828" t="inlineStr">
        <is>
          <t>Market cap (raw)</t>
        </is>
      </c>
      <c r="F828" s="53">
        <f>_xll.BDP("BX US Equity","CUR_MKT_CAP")</f>
        <v/>
      </c>
    </row>
    <row r="829">
      <c r="A829" t="inlineStr">
        <is>
          <t>BX</t>
        </is>
      </c>
      <c r="B829" t="inlineStr">
        <is>
          <t>BX US Equity</t>
        </is>
      </c>
      <c r="C829" t="inlineStr">
        <is>
          <t>CHG_PCT_YTD</t>
        </is>
      </c>
      <c r="E829" t="inlineStr">
        <is>
          <t>YTD price change %</t>
        </is>
      </c>
      <c r="F829" s="53">
        <f>_xll.BDP("BX US Equity","CHG_PCT_YTD")</f>
        <v/>
      </c>
    </row>
    <row r="830">
      <c r="A830" t="inlineStr">
        <is>
          <t>BX</t>
        </is>
      </c>
      <c r="B830" t="inlineStr">
        <is>
          <t>BX US Equity</t>
        </is>
      </c>
      <c r="C830" t="inlineStr">
        <is>
          <t>NET_DEBT_TO_EBITDA</t>
        </is>
      </c>
      <c r="E830" t="inlineStr">
        <is>
          <t>Net debt / EBITDA</t>
        </is>
      </c>
      <c r="F830" s="53">
        <f>_xll.BDP("BX US Equity","NET_DEBT_TO_EBITDA")</f>
        <v/>
      </c>
    </row>
    <row r="831">
      <c r="A831" t="inlineStr">
        <is>
          <t>BX</t>
        </is>
      </c>
      <c r="B831" t="inlineStr">
        <is>
          <t>BX US Equity</t>
        </is>
      </c>
      <c r="C831" t="inlineStr">
        <is>
          <t>RETURN_ON_INV_CAPITAL</t>
        </is>
      </c>
      <c r="E831" t="inlineStr">
        <is>
          <t>ROIC (LTM)</t>
        </is>
      </c>
      <c r="F831" s="53">
        <f>_xll.BDP("BX US Equity","RETURN_ON_INV_CAPITAL")</f>
        <v/>
      </c>
    </row>
    <row r="832">
      <c r="A832" t="inlineStr">
        <is>
          <t>BX</t>
        </is>
      </c>
      <c r="B832" t="inlineStr">
        <is>
          <t>BX US Equity</t>
        </is>
      </c>
      <c r="C832" t="inlineStr">
        <is>
          <t>TRAIL_12M_OPER_INC</t>
        </is>
      </c>
      <c r="E832" t="inlineStr">
        <is>
          <t>LTM operating income</t>
        </is>
      </c>
      <c r="F832" s="53">
        <f>_xll.BDP("BX US Equity","TRAIL_12M_OPER_INC")</f>
        <v/>
      </c>
    </row>
    <row r="833">
      <c r="A833" t="inlineStr">
        <is>
          <t>BX</t>
        </is>
      </c>
      <c r="B833" t="inlineStr">
        <is>
          <t>BX US Equity</t>
        </is>
      </c>
      <c r="C833" t="inlineStr">
        <is>
          <t>TRAIL_12M_EBITDA</t>
        </is>
      </c>
      <c r="E833" t="inlineStr">
        <is>
          <t>LTM EBITDA</t>
        </is>
      </c>
      <c r="F833" s="53">
        <f>_xll.BDP("BX US Equity","TRAIL_12M_EBITDA")</f>
        <v/>
      </c>
    </row>
    <row r="834">
      <c r="A834" t="inlineStr">
        <is>
          <t>BX</t>
        </is>
      </c>
      <c r="B834" t="inlineStr">
        <is>
          <t>BX US Equity</t>
        </is>
      </c>
      <c r="C834" t="inlineStr">
        <is>
          <t>SHORT_AND_LONG_TERM_DEBT</t>
        </is>
      </c>
      <c r="E834" t="inlineStr">
        <is>
          <t>Total debt</t>
        </is>
      </c>
      <c r="F834" s="53">
        <f>_xll.BDP("BX US Equity","SHORT_AND_LONG_TERM_DEBT")</f>
        <v/>
      </c>
    </row>
    <row r="835">
      <c r="A835" t="inlineStr">
        <is>
          <t>BX</t>
        </is>
      </c>
      <c r="B835" t="inlineStr">
        <is>
          <t>BX US Equity</t>
        </is>
      </c>
      <c r="C835" t="inlineStr">
        <is>
          <t>TOTAL_EQUITY</t>
        </is>
      </c>
      <c r="E835" t="inlineStr">
        <is>
          <t>Total equity</t>
        </is>
      </c>
      <c r="F835" s="53">
        <f>_xll.BDP("BX US Equity","TOTAL_EQUITY")</f>
        <v/>
      </c>
    </row>
    <row r="836">
      <c r="A836" t="inlineStr">
        <is>
          <t>BX</t>
        </is>
      </c>
      <c r="B836" t="inlineStr">
        <is>
          <t>BX US Equity</t>
        </is>
      </c>
      <c r="C836" t="inlineStr">
        <is>
          <t>BS_CASH_NEAR_CASH_ITEM</t>
        </is>
      </c>
      <c r="E836" t="inlineStr">
        <is>
          <t>Cash &amp; equivalents</t>
        </is>
      </c>
      <c r="F836" s="53">
        <f>_xll.BDP("BX US Equity","BS_CASH_NEAR_CASH_ITEM")</f>
        <v/>
      </c>
    </row>
    <row r="837">
      <c r="A837" t="inlineStr">
        <is>
          <t>BX</t>
        </is>
      </c>
      <c r="B837" t="inlineStr">
        <is>
          <t>BX US Equity</t>
        </is>
      </c>
      <c r="C837" t="inlineStr">
        <is>
          <t>BEST_EPS</t>
        </is>
      </c>
      <c r="D837" t="inlineStr">
        <is>
          <t>24Y</t>
        </is>
      </c>
      <c r="E837" t="inlineStr">
        <is>
          <t>EPS estimate FY2024</t>
        </is>
      </c>
      <c r="F837" s="53">
        <f>_xll.BDP("BX US Equity","BEST_EPS","BEST_FPERIOD_OVERRIDE","24Y")</f>
        <v/>
      </c>
    </row>
    <row r="838">
      <c r="A838" t="inlineStr">
        <is>
          <t>BX</t>
        </is>
      </c>
      <c r="B838" t="inlineStr">
        <is>
          <t>BX US Equity</t>
        </is>
      </c>
      <c r="C838" t="inlineStr">
        <is>
          <t>BEST_SALES</t>
        </is>
      </c>
      <c r="D838" t="inlineStr">
        <is>
          <t>24Y</t>
        </is>
      </c>
      <c r="E838" t="inlineStr">
        <is>
          <t>Revenue estimate FY2024</t>
        </is>
      </c>
      <c r="F838" s="53">
        <f>_xll.BDP("BX US Equity","BEST_SALES","BEST_FPERIOD_OVERRIDE","24Y")</f>
        <v/>
      </c>
    </row>
    <row r="839">
      <c r="A839" t="inlineStr">
        <is>
          <t>BX</t>
        </is>
      </c>
      <c r="B839" t="inlineStr">
        <is>
          <t>BX US Equity</t>
        </is>
      </c>
      <c r="C839" t="inlineStr">
        <is>
          <t>BEST_EBIT</t>
        </is>
      </c>
      <c r="D839" t="inlineStr">
        <is>
          <t>24Y</t>
        </is>
      </c>
      <c r="E839" t="inlineStr">
        <is>
          <t>EBIT estimate FY2024</t>
        </is>
      </c>
      <c r="F839" s="53">
        <f>_xll.BDP("BX US Equity","BEST_EBIT","BEST_FPERIOD_OVERRIDE","24Y")</f>
        <v/>
      </c>
    </row>
    <row r="840">
      <c r="A840" t="inlineStr">
        <is>
          <t>BX</t>
        </is>
      </c>
      <c r="B840" t="inlineStr">
        <is>
          <t>BX US Equity</t>
        </is>
      </c>
      <c r="C840" t="inlineStr">
        <is>
          <t>BEST_EPS</t>
        </is>
      </c>
      <c r="D840" t="inlineStr">
        <is>
          <t>25Y</t>
        </is>
      </c>
      <c r="E840" t="inlineStr">
        <is>
          <t>EPS estimate FY2025</t>
        </is>
      </c>
      <c r="F840" s="53">
        <f>_xll.BDP("BX US Equity","BEST_EPS","BEST_FPERIOD_OVERRIDE","25Y")</f>
        <v/>
      </c>
    </row>
    <row r="841">
      <c r="A841" t="inlineStr">
        <is>
          <t>BX</t>
        </is>
      </c>
      <c r="B841" t="inlineStr">
        <is>
          <t>BX US Equity</t>
        </is>
      </c>
      <c r="C841" t="inlineStr">
        <is>
          <t>BEST_SALES</t>
        </is>
      </c>
      <c r="D841" t="inlineStr">
        <is>
          <t>25Y</t>
        </is>
      </c>
      <c r="E841" t="inlineStr">
        <is>
          <t>Revenue estimate FY2025</t>
        </is>
      </c>
      <c r="F841" s="53">
        <f>_xll.BDP("BX US Equity","BEST_SALES","BEST_FPERIOD_OVERRIDE","25Y")</f>
        <v/>
      </c>
    </row>
    <row r="842">
      <c r="A842" t="inlineStr">
        <is>
          <t>BX</t>
        </is>
      </c>
      <c r="B842" t="inlineStr">
        <is>
          <t>BX US Equity</t>
        </is>
      </c>
      <c r="C842" t="inlineStr">
        <is>
          <t>BEST_EBIT</t>
        </is>
      </c>
      <c r="D842" t="inlineStr">
        <is>
          <t>25Y</t>
        </is>
      </c>
      <c r="E842" t="inlineStr">
        <is>
          <t>EBIT estimate FY2025</t>
        </is>
      </c>
      <c r="F842" s="53">
        <f>_xll.BDP("BX US Equity","BEST_EBIT","BEST_FPERIOD_OVERRIDE","25Y")</f>
        <v/>
      </c>
    </row>
    <row r="843">
      <c r="A843" t="inlineStr">
        <is>
          <t>BX</t>
        </is>
      </c>
      <c r="B843" t="inlineStr">
        <is>
          <t>BX US Equity</t>
        </is>
      </c>
      <c r="C843" t="inlineStr">
        <is>
          <t>BEST_EPS</t>
        </is>
      </c>
      <c r="D843" t="inlineStr">
        <is>
          <t>26Y</t>
        </is>
      </c>
      <c r="E843" t="inlineStr">
        <is>
          <t>EPS estimate FY2026</t>
        </is>
      </c>
      <c r="F843" s="53">
        <f>_xll.BDP("BX US Equity","BEST_EPS","BEST_FPERIOD_OVERRIDE","26Y")</f>
        <v/>
      </c>
    </row>
    <row r="844">
      <c r="A844" t="inlineStr">
        <is>
          <t>BX</t>
        </is>
      </c>
      <c r="B844" t="inlineStr">
        <is>
          <t>BX US Equity</t>
        </is>
      </c>
      <c r="C844" t="inlineStr">
        <is>
          <t>BEST_SALES</t>
        </is>
      </c>
      <c r="D844" t="inlineStr">
        <is>
          <t>26Y</t>
        </is>
      </c>
      <c r="E844" t="inlineStr">
        <is>
          <t>Revenue estimate FY2026</t>
        </is>
      </c>
      <c r="F844" s="53">
        <f>_xll.BDP("BX US Equity","BEST_SALES","BEST_FPERIOD_OVERRIDE","26Y")</f>
        <v/>
      </c>
    </row>
    <row r="845">
      <c r="A845" t="inlineStr">
        <is>
          <t>BX</t>
        </is>
      </c>
      <c r="B845" t="inlineStr">
        <is>
          <t>BX US Equity</t>
        </is>
      </c>
      <c r="C845" t="inlineStr">
        <is>
          <t>BEST_EBIT</t>
        </is>
      </c>
      <c r="D845" t="inlineStr">
        <is>
          <t>26Y</t>
        </is>
      </c>
      <c r="E845" t="inlineStr">
        <is>
          <t>EBIT estimate FY2026</t>
        </is>
      </c>
      <c r="F845" s="53">
        <f>_xll.BDP("BX US Equity","BEST_EBIT","BEST_FPERIOD_OVERRIDE","26Y")</f>
        <v/>
      </c>
    </row>
    <row r="846">
      <c r="A846" t="inlineStr">
        <is>
          <t>BX</t>
        </is>
      </c>
      <c r="B846" t="inlineStr">
        <is>
          <t>BX US Equity</t>
        </is>
      </c>
      <c r="C846" t="inlineStr">
        <is>
          <t>BEST_EPS</t>
        </is>
      </c>
      <c r="D846" t="inlineStr">
        <is>
          <t>27Y</t>
        </is>
      </c>
      <c r="E846" t="inlineStr">
        <is>
          <t>EPS estimate FY2027</t>
        </is>
      </c>
      <c r="F846" s="53">
        <f>_xll.BDP("BX US Equity","BEST_EPS","BEST_FPERIOD_OVERRIDE","27Y")</f>
        <v/>
      </c>
    </row>
    <row r="847">
      <c r="A847" t="inlineStr">
        <is>
          <t>BX</t>
        </is>
      </c>
      <c r="B847" t="inlineStr">
        <is>
          <t>BX US Equity</t>
        </is>
      </c>
      <c r="C847" t="inlineStr">
        <is>
          <t>BEST_SALES</t>
        </is>
      </c>
      <c r="D847" t="inlineStr">
        <is>
          <t>27Y</t>
        </is>
      </c>
      <c r="E847" t="inlineStr">
        <is>
          <t>Revenue estimate FY2027</t>
        </is>
      </c>
      <c r="F847" s="53">
        <f>_xll.BDP("BX US Equity","BEST_SALES","BEST_FPERIOD_OVERRIDE","27Y")</f>
        <v/>
      </c>
    </row>
    <row r="848">
      <c r="A848" t="inlineStr">
        <is>
          <t>BX</t>
        </is>
      </c>
      <c r="B848" t="inlineStr">
        <is>
          <t>BX US Equity</t>
        </is>
      </c>
      <c r="C848" t="inlineStr">
        <is>
          <t>BEST_EBIT</t>
        </is>
      </c>
      <c r="D848" t="inlineStr">
        <is>
          <t>27Y</t>
        </is>
      </c>
      <c r="E848" t="inlineStr">
        <is>
          <t>EBIT estimate FY2027</t>
        </is>
      </c>
      <c r="F848" s="53">
        <f>_xll.BDP("BX US Equity","BEST_EBIT","BEST_FPERIOD_OVERRIDE","27Y")</f>
        <v/>
      </c>
    </row>
    <row r="849">
      <c r="A849" t="inlineStr">
        <is>
          <t>BX</t>
        </is>
      </c>
      <c r="B849" t="inlineStr">
        <is>
          <t>BX US Equity</t>
        </is>
      </c>
      <c r="C849" t="inlineStr">
        <is>
          <t>BEST_EPS</t>
        </is>
      </c>
      <c r="D849" t="inlineStr">
        <is>
          <t>28Y</t>
        </is>
      </c>
      <c r="E849" t="inlineStr">
        <is>
          <t>EPS estimate FY2028</t>
        </is>
      </c>
      <c r="F849" s="53">
        <f>_xll.BDP("BX US Equity","BEST_EPS","BEST_FPERIOD_OVERRIDE","28Y")</f>
        <v/>
      </c>
    </row>
    <row r="850">
      <c r="A850" t="inlineStr">
        <is>
          <t>BX</t>
        </is>
      </c>
      <c r="B850" t="inlineStr">
        <is>
          <t>BX US Equity</t>
        </is>
      </c>
      <c r="C850" t="inlineStr">
        <is>
          <t>BEST_SALES</t>
        </is>
      </c>
      <c r="D850" t="inlineStr">
        <is>
          <t>28Y</t>
        </is>
      </c>
      <c r="E850" t="inlineStr">
        <is>
          <t>Revenue estimate FY2028</t>
        </is>
      </c>
      <c r="F850" s="53">
        <f>_xll.BDP("BX US Equity","BEST_SALES","BEST_FPERIOD_OVERRIDE","28Y")</f>
        <v/>
      </c>
    </row>
    <row r="851">
      <c r="A851" t="inlineStr">
        <is>
          <t>BX</t>
        </is>
      </c>
      <c r="B851" t="inlineStr">
        <is>
          <t>BX US Equity</t>
        </is>
      </c>
      <c r="C851" t="inlineStr">
        <is>
          <t>BEST_EBIT</t>
        </is>
      </c>
      <c r="D851" t="inlineStr">
        <is>
          <t>28Y</t>
        </is>
      </c>
      <c r="E851" t="inlineStr">
        <is>
          <t>EBIT estimate FY2028</t>
        </is>
      </c>
      <c r="F851" s="53">
        <f>_xll.BDP("BX US Equity","BEST_EBIT","BEST_FPERIOD_OVERRIDE","28Y")</f>
        <v/>
      </c>
    </row>
    <row r="852">
      <c r="A852" t="inlineStr">
        <is>
          <t>KKR</t>
        </is>
      </c>
      <c r="B852" t="inlineStr">
        <is>
          <t>KKR US Equity</t>
        </is>
      </c>
      <c r="C852" t="inlineStr">
        <is>
          <t>PX_LAST</t>
        </is>
      </c>
      <c r="E852" t="inlineStr">
        <is>
          <t>Last price</t>
        </is>
      </c>
      <c r="F852" s="53">
        <f>_xll.BDP("KKR US Equity","PX_LAST")</f>
        <v/>
      </c>
    </row>
    <row r="853">
      <c r="A853" t="inlineStr">
        <is>
          <t>KKR</t>
        </is>
      </c>
      <c r="B853" t="inlineStr">
        <is>
          <t>KKR US Equity</t>
        </is>
      </c>
      <c r="C853" t="inlineStr">
        <is>
          <t>CUR_MKT_CAP</t>
        </is>
      </c>
      <c r="E853" t="inlineStr">
        <is>
          <t>Market cap (raw)</t>
        </is>
      </c>
      <c r="F853" s="53">
        <f>_xll.BDP("KKR US Equity","CUR_MKT_CAP")</f>
        <v/>
      </c>
    </row>
    <row r="854">
      <c r="A854" t="inlineStr">
        <is>
          <t>KKR</t>
        </is>
      </c>
      <c r="B854" t="inlineStr">
        <is>
          <t>KKR US Equity</t>
        </is>
      </c>
      <c r="C854" t="inlineStr">
        <is>
          <t>CHG_PCT_YTD</t>
        </is>
      </c>
      <c r="E854" t="inlineStr">
        <is>
          <t>YTD price change %</t>
        </is>
      </c>
      <c r="F854" s="53">
        <f>_xll.BDP("KKR US Equity","CHG_PCT_YTD")</f>
        <v/>
      </c>
    </row>
    <row r="855">
      <c r="A855" t="inlineStr">
        <is>
          <t>KKR</t>
        </is>
      </c>
      <c r="B855" t="inlineStr">
        <is>
          <t>KKR US Equity</t>
        </is>
      </c>
      <c r="C855" t="inlineStr">
        <is>
          <t>NET_DEBT_TO_EBITDA</t>
        </is>
      </c>
      <c r="E855" t="inlineStr">
        <is>
          <t>Net debt / EBITDA</t>
        </is>
      </c>
      <c r="F855" s="53">
        <f>_xll.BDP("KKR US Equity","NET_DEBT_TO_EBITDA")</f>
        <v/>
      </c>
    </row>
    <row r="856">
      <c r="A856" t="inlineStr">
        <is>
          <t>KKR</t>
        </is>
      </c>
      <c r="B856" t="inlineStr">
        <is>
          <t>KKR US Equity</t>
        </is>
      </c>
      <c r="C856" t="inlineStr">
        <is>
          <t>RETURN_ON_INV_CAPITAL</t>
        </is>
      </c>
      <c r="E856" t="inlineStr">
        <is>
          <t>ROIC (LTM)</t>
        </is>
      </c>
      <c r="F856" s="53">
        <f>_xll.BDP("KKR US Equity","RETURN_ON_INV_CAPITAL")</f>
        <v/>
      </c>
    </row>
    <row r="857">
      <c r="A857" t="inlineStr">
        <is>
          <t>KKR</t>
        </is>
      </c>
      <c r="B857" t="inlineStr">
        <is>
          <t>KKR US Equity</t>
        </is>
      </c>
      <c r="C857" t="inlineStr">
        <is>
          <t>TRAIL_12M_OPER_INC</t>
        </is>
      </c>
      <c r="E857" t="inlineStr">
        <is>
          <t>LTM operating income</t>
        </is>
      </c>
      <c r="F857" s="53">
        <f>_xll.BDP("KKR US Equity","TRAIL_12M_OPER_INC")</f>
        <v/>
      </c>
    </row>
    <row r="858">
      <c r="A858" t="inlineStr">
        <is>
          <t>KKR</t>
        </is>
      </c>
      <c r="B858" t="inlineStr">
        <is>
          <t>KKR US Equity</t>
        </is>
      </c>
      <c r="C858" t="inlineStr">
        <is>
          <t>TRAIL_12M_EBITDA</t>
        </is>
      </c>
      <c r="E858" t="inlineStr">
        <is>
          <t>LTM EBITDA</t>
        </is>
      </c>
      <c r="F858" s="53">
        <f>_xll.BDP("KKR US Equity","TRAIL_12M_EBITDA")</f>
        <v/>
      </c>
    </row>
    <row r="859">
      <c r="A859" t="inlineStr">
        <is>
          <t>KKR</t>
        </is>
      </c>
      <c r="B859" t="inlineStr">
        <is>
          <t>KKR US Equity</t>
        </is>
      </c>
      <c r="C859" t="inlineStr">
        <is>
          <t>SHORT_AND_LONG_TERM_DEBT</t>
        </is>
      </c>
      <c r="E859" t="inlineStr">
        <is>
          <t>Total debt</t>
        </is>
      </c>
      <c r="F859" s="53">
        <f>_xll.BDP("KKR US Equity","SHORT_AND_LONG_TERM_DEBT")</f>
        <v/>
      </c>
    </row>
    <row r="860">
      <c r="A860" t="inlineStr">
        <is>
          <t>KKR</t>
        </is>
      </c>
      <c r="B860" t="inlineStr">
        <is>
          <t>KKR US Equity</t>
        </is>
      </c>
      <c r="C860" t="inlineStr">
        <is>
          <t>TOTAL_EQUITY</t>
        </is>
      </c>
      <c r="E860" t="inlineStr">
        <is>
          <t>Total equity</t>
        </is>
      </c>
      <c r="F860" s="53">
        <f>_xll.BDP("KKR US Equity","TOTAL_EQUITY")</f>
        <v/>
      </c>
    </row>
    <row r="861">
      <c r="A861" t="inlineStr">
        <is>
          <t>KKR</t>
        </is>
      </c>
      <c r="B861" t="inlineStr">
        <is>
          <t>KKR US Equity</t>
        </is>
      </c>
      <c r="C861" t="inlineStr">
        <is>
          <t>BS_CASH_NEAR_CASH_ITEM</t>
        </is>
      </c>
      <c r="E861" t="inlineStr">
        <is>
          <t>Cash &amp; equivalents</t>
        </is>
      </c>
      <c r="F861" s="53">
        <f>_xll.BDP("KKR US Equity","BS_CASH_NEAR_CASH_ITEM")</f>
        <v/>
      </c>
    </row>
    <row r="862">
      <c r="A862" t="inlineStr">
        <is>
          <t>KKR</t>
        </is>
      </c>
      <c r="B862" t="inlineStr">
        <is>
          <t>KKR US Equity</t>
        </is>
      </c>
      <c r="C862" t="inlineStr">
        <is>
          <t>BEST_EPS</t>
        </is>
      </c>
      <c r="D862" t="inlineStr">
        <is>
          <t>24Y</t>
        </is>
      </c>
      <c r="E862" t="inlineStr">
        <is>
          <t>EPS estimate FY2024</t>
        </is>
      </c>
      <c r="F862" s="53">
        <f>_xll.BDP("KKR US Equity","BEST_EPS","BEST_FPERIOD_OVERRIDE","24Y")</f>
        <v/>
      </c>
    </row>
    <row r="863">
      <c r="A863" t="inlineStr">
        <is>
          <t>KKR</t>
        </is>
      </c>
      <c r="B863" t="inlineStr">
        <is>
          <t>KKR US Equity</t>
        </is>
      </c>
      <c r="C863" t="inlineStr">
        <is>
          <t>BEST_SALES</t>
        </is>
      </c>
      <c r="D863" t="inlineStr">
        <is>
          <t>24Y</t>
        </is>
      </c>
      <c r="E863" t="inlineStr">
        <is>
          <t>Revenue estimate FY2024</t>
        </is>
      </c>
      <c r="F863" s="53">
        <f>_xll.BDP("KKR US Equity","BEST_SALES","BEST_FPERIOD_OVERRIDE","24Y")</f>
        <v/>
      </c>
    </row>
    <row r="864">
      <c r="A864" t="inlineStr">
        <is>
          <t>KKR</t>
        </is>
      </c>
      <c r="B864" t="inlineStr">
        <is>
          <t>KKR US Equity</t>
        </is>
      </c>
      <c r="C864" t="inlineStr">
        <is>
          <t>BEST_EBIT</t>
        </is>
      </c>
      <c r="D864" t="inlineStr">
        <is>
          <t>24Y</t>
        </is>
      </c>
      <c r="E864" t="inlineStr">
        <is>
          <t>EBIT estimate FY2024</t>
        </is>
      </c>
      <c r="F864" s="53">
        <f>_xll.BDP("KKR US Equity","BEST_EBIT","BEST_FPERIOD_OVERRIDE","24Y")</f>
        <v/>
      </c>
    </row>
    <row r="865">
      <c r="A865" t="inlineStr">
        <is>
          <t>KKR</t>
        </is>
      </c>
      <c r="B865" t="inlineStr">
        <is>
          <t>KKR US Equity</t>
        </is>
      </c>
      <c r="C865" t="inlineStr">
        <is>
          <t>BEST_EPS</t>
        </is>
      </c>
      <c r="D865" t="inlineStr">
        <is>
          <t>25Y</t>
        </is>
      </c>
      <c r="E865" t="inlineStr">
        <is>
          <t>EPS estimate FY2025</t>
        </is>
      </c>
      <c r="F865" s="53">
        <f>_xll.BDP("KKR US Equity","BEST_EPS","BEST_FPERIOD_OVERRIDE","25Y")</f>
        <v/>
      </c>
    </row>
    <row r="866">
      <c r="A866" t="inlineStr">
        <is>
          <t>KKR</t>
        </is>
      </c>
      <c r="B866" t="inlineStr">
        <is>
          <t>KKR US Equity</t>
        </is>
      </c>
      <c r="C866" t="inlineStr">
        <is>
          <t>BEST_SALES</t>
        </is>
      </c>
      <c r="D866" t="inlineStr">
        <is>
          <t>25Y</t>
        </is>
      </c>
      <c r="E866" t="inlineStr">
        <is>
          <t>Revenue estimate FY2025</t>
        </is>
      </c>
      <c r="F866" s="53">
        <f>_xll.BDP("KKR US Equity","BEST_SALES","BEST_FPERIOD_OVERRIDE","25Y")</f>
        <v/>
      </c>
    </row>
    <row r="867">
      <c r="A867" t="inlineStr">
        <is>
          <t>KKR</t>
        </is>
      </c>
      <c r="B867" t="inlineStr">
        <is>
          <t>KKR US Equity</t>
        </is>
      </c>
      <c r="C867" t="inlineStr">
        <is>
          <t>BEST_EBIT</t>
        </is>
      </c>
      <c r="D867" t="inlineStr">
        <is>
          <t>25Y</t>
        </is>
      </c>
      <c r="E867" t="inlineStr">
        <is>
          <t>EBIT estimate FY2025</t>
        </is>
      </c>
      <c r="F867" s="53">
        <f>_xll.BDP("KKR US Equity","BEST_EBIT","BEST_FPERIOD_OVERRIDE","25Y")</f>
        <v/>
      </c>
    </row>
    <row r="868">
      <c r="A868" t="inlineStr">
        <is>
          <t>KKR</t>
        </is>
      </c>
      <c r="B868" t="inlineStr">
        <is>
          <t>KKR US Equity</t>
        </is>
      </c>
      <c r="C868" t="inlineStr">
        <is>
          <t>BEST_EPS</t>
        </is>
      </c>
      <c r="D868" t="inlineStr">
        <is>
          <t>26Y</t>
        </is>
      </c>
      <c r="E868" t="inlineStr">
        <is>
          <t>EPS estimate FY2026</t>
        </is>
      </c>
      <c r="F868" s="53">
        <f>_xll.BDP("KKR US Equity","BEST_EPS","BEST_FPERIOD_OVERRIDE","26Y")</f>
        <v/>
      </c>
    </row>
    <row r="869">
      <c r="A869" t="inlineStr">
        <is>
          <t>KKR</t>
        </is>
      </c>
      <c r="B869" t="inlineStr">
        <is>
          <t>KKR US Equity</t>
        </is>
      </c>
      <c r="C869" t="inlineStr">
        <is>
          <t>BEST_SALES</t>
        </is>
      </c>
      <c r="D869" t="inlineStr">
        <is>
          <t>26Y</t>
        </is>
      </c>
      <c r="E869" t="inlineStr">
        <is>
          <t>Revenue estimate FY2026</t>
        </is>
      </c>
      <c r="F869" s="53">
        <f>_xll.BDP("KKR US Equity","BEST_SALES","BEST_FPERIOD_OVERRIDE","26Y")</f>
        <v/>
      </c>
    </row>
    <row r="870">
      <c r="A870" t="inlineStr">
        <is>
          <t>KKR</t>
        </is>
      </c>
      <c r="B870" t="inlineStr">
        <is>
          <t>KKR US Equity</t>
        </is>
      </c>
      <c r="C870" t="inlineStr">
        <is>
          <t>BEST_EBIT</t>
        </is>
      </c>
      <c r="D870" t="inlineStr">
        <is>
          <t>26Y</t>
        </is>
      </c>
      <c r="E870" t="inlineStr">
        <is>
          <t>EBIT estimate FY2026</t>
        </is>
      </c>
      <c r="F870" s="53">
        <f>_xll.BDP("KKR US Equity","BEST_EBIT","BEST_FPERIOD_OVERRIDE","26Y")</f>
        <v/>
      </c>
    </row>
    <row r="871">
      <c r="A871" t="inlineStr">
        <is>
          <t>KKR</t>
        </is>
      </c>
      <c r="B871" t="inlineStr">
        <is>
          <t>KKR US Equity</t>
        </is>
      </c>
      <c r="C871" t="inlineStr">
        <is>
          <t>BEST_EPS</t>
        </is>
      </c>
      <c r="D871" t="inlineStr">
        <is>
          <t>27Y</t>
        </is>
      </c>
      <c r="E871" t="inlineStr">
        <is>
          <t>EPS estimate FY2027</t>
        </is>
      </c>
      <c r="F871" s="53">
        <f>_xll.BDP("KKR US Equity","BEST_EPS","BEST_FPERIOD_OVERRIDE","27Y")</f>
        <v/>
      </c>
    </row>
    <row r="872">
      <c r="A872" t="inlineStr">
        <is>
          <t>KKR</t>
        </is>
      </c>
      <c r="B872" t="inlineStr">
        <is>
          <t>KKR US Equity</t>
        </is>
      </c>
      <c r="C872" t="inlineStr">
        <is>
          <t>BEST_SALES</t>
        </is>
      </c>
      <c r="D872" t="inlineStr">
        <is>
          <t>27Y</t>
        </is>
      </c>
      <c r="E872" t="inlineStr">
        <is>
          <t>Revenue estimate FY2027</t>
        </is>
      </c>
      <c r="F872" s="53">
        <f>_xll.BDP("KKR US Equity","BEST_SALES","BEST_FPERIOD_OVERRIDE","27Y")</f>
        <v/>
      </c>
    </row>
    <row r="873">
      <c r="A873" t="inlineStr">
        <is>
          <t>KKR</t>
        </is>
      </c>
      <c r="B873" t="inlineStr">
        <is>
          <t>KKR US Equity</t>
        </is>
      </c>
      <c r="C873" t="inlineStr">
        <is>
          <t>BEST_EBIT</t>
        </is>
      </c>
      <c r="D873" t="inlineStr">
        <is>
          <t>27Y</t>
        </is>
      </c>
      <c r="E873" t="inlineStr">
        <is>
          <t>EBIT estimate FY2027</t>
        </is>
      </c>
      <c r="F873" s="53">
        <f>_xll.BDP("KKR US Equity","BEST_EBIT","BEST_FPERIOD_OVERRIDE","27Y")</f>
        <v/>
      </c>
    </row>
    <row r="874">
      <c r="A874" t="inlineStr">
        <is>
          <t>KKR</t>
        </is>
      </c>
      <c r="B874" t="inlineStr">
        <is>
          <t>KKR US Equity</t>
        </is>
      </c>
      <c r="C874" t="inlineStr">
        <is>
          <t>BEST_EPS</t>
        </is>
      </c>
      <c r="D874" t="inlineStr">
        <is>
          <t>28Y</t>
        </is>
      </c>
      <c r="E874" t="inlineStr">
        <is>
          <t>EPS estimate FY2028</t>
        </is>
      </c>
      <c r="F874" s="53">
        <f>_xll.BDP("KKR US Equity","BEST_EPS","BEST_FPERIOD_OVERRIDE","28Y")</f>
        <v/>
      </c>
    </row>
    <row r="875">
      <c r="A875" t="inlineStr">
        <is>
          <t>KKR</t>
        </is>
      </c>
      <c r="B875" t="inlineStr">
        <is>
          <t>KKR US Equity</t>
        </is>
      </c>
      <c r="C875" t="inlineStr">
        <is>
          <t>BEST_SALES</t>
        </is>
      </c>
      <c r="D875" t="inlineStr">
        <is>
          <t>28Y</t>
        </is>
      </c>
      <c r="E875" t="inlineStr">
        <is>
          <t>Revenue estimate FY2028</t>
        </is>
      </c>
      <c r="F875" s="53">
        <f>_xll.BDP("KKR US Equity","BEST_SALES","BEST_FPERIOD_OVERRIDE","28Y")</f>
        <v/>
      </c>
    </row>
    <row r="876">
      <c r="A876" t="inlineStr">
        <is>
          <t>KKR</t>
        </is>
      </c>
      <c r="B876" t="inlineStr">
        <is>
          <t>KKR US Equity</t>
        </is>
      </c>
      <c r="C876" t="inlineStr">
        <is>
          <t>BEST_EBIT</t>
        </is>
      </c>
      <c r="D876" t="inlineStr">
        <is>
          <t>28Y</t>
        </is>
      </c>
      <c r="E876" t="inlineStr">
        <is>
          <t>EBIT estimate FY2028</t>
        </is>
      </c>
      <c r="F876" s="53">
        <f>_xll.BDP("KKR US Equity","BEST_EBIT","BEST_FPERIOD_OVERRIDE","28Y")</f>
        <v/>
      </c>
    </row>
    <row r="877">
      <c r="A877" t="inlineStr">
        <is>
          <t>IBKR</t>
        </is>
      </c>
      <c r="B877" t="inlineStr">
        <is>
          <t>IBKR US Equity</t>
        </is>
      </c>
      <c r="C877" t="inlineStr">
        <is>
          <t>PX_LAST</t>
        </is>
      </c>
      <c r="E877" t="inlineStr">
        <is>
          <t>Last price</t>
        </is>
      </c>
      <c r="F877" s="53">
        <f>_xll.BDP("IBKR US Equity","PX_LAST")</f>
        <v/>
      </c>
    </row>
    <row r="878">
      <c r="A878" t="inlineStr">
        <is>
          <t>IBKR</t>
        </is>
      </c>
      <c r="B878" t="inlineStr">
        <is>
          <t>IBKR US Equity</t>
        </is>
      </c>
      <c r="C878" t="inlineStr">
        <is>
          <t>CUR_MKT_CAP</t>
        </is>
      </c>
      <c r="E878" t="inlineStr">
        <is>
          <t>Market cap (raw)</t>
        </is>
      </c>
      <c r="F878" s="53">
        <f>_xll.BDP("IBKR US Equity","CUR_MKT_CAP")</f>
        <v/>
      </c>
    </row>
    <row r="879">
      <c r="A879" t="inlineStr">
        <is>
          <t>IBKR</t>
        </is>
      </c>
      <c r="B879" t="inlineStr">
        <is>
          <t>IBKR US Equity</t>
        </is>
      </c>
      <c r="C879" t="inlineStr">
        <is>
          <t>CHG_PCT_YTD</t>
        </is>
      </c>
      <c r="E879" t="inlineStr">
        <is>
          <t>YTD price change %</t>
        </is>
      </c>
      <c r="F879" s="53">
        <f>_xll.BDP("IBKR US Equity","CHG_PCT_YTD")</f>
        <v/>
      </c>
    </row>
    <row r="880">
      <c r="A880" t="inlineStr">
        <is>
          <t>IBKR</t>
        </is>
      </c>
      <c r="B880" t="inlineStr">
        <is>
          <t>IBKR US Equity</t>
        </is>
      </c>
      <c r="C880" t="inlineStr">
        <is>
          <t>NET_DEBT_TO_EBITDA</t>
        </is>
      </c>
      <c r="E880" t="inlineStr">
        <is>
          <t>Net debt / EBITDA</t>
        </is>
      </c>
      <c r="F880" s="53">
        <f>_xll.BDP("IBKR US Equity","NET_DEBT_TO_EBITDA")</f>
        <v/>
      </c>
    </row>
    <row r="881">
      <c r="A881" t="inlineStr">
        <is>
          <t>IBKR</t>
        </is>
      </c>
      <c r="B881" t="inlineStr">
        <is>
          <t>IBKR US Equity</t>
        </is>
      </c>
      <c r="C881" t="inlineStr">
        <is>
          <t>RETURN_ON_INV_CAPITAL</t>
        </is>
      </c>
      <c r="E881" t="inlineStr">
        <is>
          <t>ROIC (LTM)</t>
        </is>
      </c>
      <c r="F881" s="53">
        <f>_xll.BDP("IBKR US Equity","RETURN_ON_INV_CAPITAL")</f>
        <v/>
      </c>
    </row>
    <row r="882">
      <c r="A882" t="inlineStr">
        <is>
          <t>IBKR</t>
        </is>
      </c>
      <c r="B882" t="inlineStr">
        <is>
          <t>IBKR US Equity</t>
        </is>
      </c>
      <c r="C882" t="inlineStr">
        <is>
          <t>TRAIL_12M_OPER_INC</t>
        </is>
      </c>
      <c r="E882" t="inlineStr">
        <is>
          <t>LTM operating income</t>
        </is>
      </c>
      <c r="F882" s="53">
        <f>_xll.BDP("IBKR US Equity","TRAIL_12M_OPER_INC")</f>
        <v/>
      </c>
    </row>
    <row r="883">
      <c r="A883" t="inlineStr">
        <is>
          <t>IBKR</t>
        </is>
      </c>
      <c r="B883" t="inlineStr">
        <is>
          <t>IBKR US Equity</t>
        </is>
      </c>
      <c r="C883" t="inlineStr">
        <is>
          <t>TRAIL_12M_EBITDA</t>
        </is>
      </c>
      <c r="E883" t="inlineStr">
        <is>
          <t>LTM EBITDA</t>
        </is>
      </c>
      <c r="F883" s="53">
        <f>_xll.BDP("IBKR US Equity","TRAIL_12M_EBITDA")</f>
        <v/>
      </c>
    </row>
    <row r="884">
      <c r="A884" t="inlineStr">
        <is>
          <t>IBKR</t>
        </is>
      </c>
      <c r="B884" t="inlineStr">
        <is>
          <t>IBKR US Equity</t>
        </is>
      </c>
      <c r="C884" t="inlineStr">
        <is>
          <t>SHORT_AND_LONG_TERM_DEBT</t>
        </is>
      </c>
      <c r="E884" t="inlineStr">
        <is>
          <t>Total debt</t>
        </is>
      </c>
      <c r="F884" s="53">
        <f>_xll.BDP("IBKR US Equity","SHORT_AND_LONG_TERM_DEBT")</f>
        <v/>
      </c>
    </row>
    <row r="885">
      <c r="A885" t="inlineStr">
        <is>
          <t>IBKR</t>
        </is>
      </c>
      <c r="B885" t="inlineStr">
        <is>
          <t>IBKR US Equity</t>
        </is>
      </c>
      <c r="C885" t="inlineStr">
        <is>
          <t>TOTAL_EQUITY</t>
        </is>
      </c>
      <c r="E885" t="inlineStr">
        <is>
          <t>Total equity</t>
        </is>
      </c>
      <c r="F885" s="53">
        <f>_xll.BDP("IBKR US Equity","TOTAL_EQUITY")</f>
        <v/>
      </c>
    </row>
    <row r="886">
      <c r="A886" t="inlineStr">
        <is>
          <t>IBKR</t>
        </is>
      </c>
      <c r="B886" t="inlineStr">
        <is>
          <t>IBKR US Equity</t>
        </is>
      </c>
      <c r="C886" t="inlineStr">
        <is>
          <t>BS_CASH_NEAR_CASH_ITEM</t>
        </is>
      </c>
      <c r="E886" t="inlineStr">
        <is>
          <t>Cash &amp; equivalents</t>
        </is>
      </c>
      <c r="F886" s="53">
        <f>_xll.BDP("IBKR US Equity","BS_CASH_NEAR_CASH_ITEM")</f>
        <v/>
      </c>
    </row>
    <row r="887">
      <c r="A887" t="inlineStr">
        <is>
          <t>IBKR</t>
        </is>
      </c>
      <c r="B887" t="inlineStr">
        <is>
          <t>IBKR US Equity</t>
        </is>
      </c>
      <c r="C887" t="inlineStr">
        <is>
          <t>BEST_EPS</t>
        </is>
      </c>
      <c r="D887" t="inlineStr">
        <is>
          <t>24Y</t>
        </is>
      </c>
      <c r="E887" t="inlineStr">
        <is>
          <t>EPS estimate FY2024</t>
        </is>
      </c>
      <c r="F887" s="53">
        <f>_xll.BDP("IBKR US Equity","BEST_EPS","BEST_FPERIOD_OVERRIDE","24Y")</f>
        <v/>
      </c>
    </row>
    <row r="888">
      <c r="A888" t="inlineStr">
        <is>
          <t>IBKR</t>
        </is>
      </c>
      <c r="B888" t="inlineStr">
        <is>
          <t>IBKR US Equity</t>
        </is>
      </c>
      <c r="C888" t="inlineStr">
        <is>
          <t>BEST_SALES</t>
        </is>
      </c>
      <c r="D888" t="inlineStr">
        <is>
          <t>24Y</t>
        </is>
      </c>
      <c r="E888" t="inlineStr">
        <is>
          <t>Revenue estimate FY2024</t>
        </is>
      </c>
      <c r="F888" s="53">
        <f>_xll.BDP("IBKR US Equity","BEST_SALES","BEST_FPERIOD_OVERRIDE","24Y")</f>
        <v/>
      </c>
    </row>
    <row r="889">
      <c r="A889" t="inlineStr">
        <is>
          <t>IBKR</t>
        </is>
      </c>
      <c r="B889" t="inlineStr">
        <is>
          <t>IBKR US Equity</t>
        </is>
      </c>
      <c r="C889" t="inlineStr">
        <is>
          <t>BEST_EBIT</t>
        </is>
      </c>
      <c r="D889" t="inlineStr">
        <is>
          <t>24Y</t>
        </is>
      </c>
      <c r="E889" t="inlineStr">
        <is>
          <t>EBIT estimate FY2024</t>
        </is>
      </c>
      <c r="F889" s="53">
        <f>_xll.BDP("IBKR US Equity","BEST_EBIT","BEST_FPERIOD_OVERRIDE","24Y")</f>
        <v/>
      </c>
    </row>
    <row r="890">
      <c r="A890" t="inlineStr">
        <is>
          <t>IBKR</t>
        </is>
      </c>
      <c r="B890" t="inlineStr">
        <is>
          <t>IBKR US Equity</t>
        </is>
      </c>
      <c r="C890" t="inlineStr">
        <is>
          <t>BEST_EPS</t>
        </is>
      </c>
      <c r="D890" t="inlineStr">
        <is>
          <t>25Y</t>
        </is>
      </c>
      <c r="E890" t="inlineStr">
        <is>
          <t>EPS estimate FY2025</t>
        </is>
      </c>
      <c r="F890" s="53">
        <f>_xll.BDP("IBKR US Equity","BEST_EPS","BEST_FPERIOD_OVERRIDE","25Y")</f>
        <v/>
      </c>
    </row>
    <row r="891">
      <c r="A891" t="inlineStr">
        <is>
          <t>IBKR</t>
        </is>
      </c>
      <c r="B891" t="inlineStr">
        <is>
          <t>IBKR US Equity</t>
        </is>
      </c>
      <c r="C891" t="inlineStr">
        <is>
          <t>BEST_SALES</t>
        </is>
      </c>
      <c r="D891" t="inlineStr">
        <is>
          <t>25Y</t>
        </is>
      </c>
      <c r="E891" t="inlineStr">
        <is>
          <t>Revenue estimate FY2025</t>
        </is>
      </c>
      <c r="F891" s="53">
        <f>_xll.BDP("IBKR US Equity","BEST_SALES","BEST_FPERIOD_OVERRIDE","25Y")</f>
        <v/>
      </c>
    </row>
    <row r="892">
      <c r="A892" t="inlineStr">
        <is>
          <t>IBKR</t>
        </is>
      </c>
      <c r="B892" t="inlineStr">
        <is>
          <t>IBKR US Equity</t>
        </is>
      </c>
      <c r="C892" t="inlineStr">
        <is>
          <t>BEST_EBIT</t>
        </is>
      </c>
      <c r="D892" t="inlineStr">
        <is>
          <t>25Y</t>
        </is>
      </c>
      <c r="E892" t="inlineStr">
        <is>
          <t>EBIT estimate FY2025</t>
        </is>
      </c>
      <c r="F892" s="53">
        <f>_xll.BDP("IBKR US Equity","BEST_EBIT","BEST_FPERIOD_OVERRIDE","25Y")</f>
        <v/>
      </c>
    </row>
    <row r="893">
      <c r="A893" t="inlineStr">
        <is>
          <t>IBKR</t>
        </is>
      </c>
      <c r="B893" t="inlineStr">
        <is>
          <t>IBKR US Equity</t>
        </is>
      </c>
      <c r="C893" t="inlineStr">
        <is>
          <t>BEST_EPS</t>
        </is>
      </c>
      <c r="D893" t="inlineStr">
        <is>
          <t>26Y</t>
        </is>
      </c>
      <c r="E893" t="inlineStr">
        <is>
          <t>EPS estimate FY2026</t>
        </is>
      </c>
      <c r="F893" s="53">
        <f>_xll.BDP("IBKR US Equity","BEST_EPS","BEST_FPERIOD_OVERRIDE","26Y")</f>
        <v/>
      </c>
    </row>
    <row r="894">
      <c r="A894" t="inlineStr">
        <is>
          <t>IBKR</t>
        </is>
      </c>
      <c r="B894" t="inlineStr">
        <is>
          <t>IBKR US Equity</t>
        </is>
      </c>
      <c r="C894" t="inlineStr">
        <is>
          <t>BEST_SALES</t>
        </is>
      </c>
      <c r="D894" t="inlineStr">
        <is>
          <t>26Y</t>
        </is>
      </c>
      <c r="E894" t="inlineStr">
        <is>
          <t>Revenue estimate FY2026</t>
        </is>
      </c>
      <c r="F894" s="53">
        <f>_xll.BDP("IBKR US Equity","BEST_SALES","BEST_FPERIOD_OVERRIDE","26Y")</f>
        <v/>
      </c>
    </row>
    <row r="895">
      <c r="A895" t="inlineStr">
        <is>
          <t>IBKR</t>
        </is>
      </c>
      <c r="B895" t="inlineStr">
        <is>
          <t>IBKR US Equity</t>
        </is>
      </c>
      <c r="C895" t="inlineStr">
        <is>
          <t>BEST_EBIT</t>
        </is>
      </c>
      <c r="D895" t="inlineStr">
        <is>
          <t>26Y</t>
        </is>
      </c>
      <c r="E895" t="inlineStr">
        <is>
          <t>EBIT estimate FY2026</t>
        </is>
      </c>
      <c r="F895" s="53">
        <f>_xll.BDP("IBKR US Equity","BEST_EBIT","BEST_FPERIOD_OVERRIDE","26Y")</f>
        <v/>
      </c>
    </row>
    <row r="896">
      <c r="A896" t="inlineStr">
        <is>
          <t>IBKR</t>
        </is>
      </c>
      <c r="B896" t="inlineStr">
        <is>
          <t>IBKR US Equity</t>
        </is>
      </c>
      <c r="C896" t="inlineStr">
        <is>
          <t>BEST_EPS</t>
        </is>
      </c>
      <c r="D896" t="inlineStr">
        <is>
          <t>27Y</t>
        </is>
      </c>
      <c r="E896" t="inlineStr">
        <is>
          <t>EPS estimate FY2027</t>
        </is>
      </c>
      <c r="F896" s="53">
        <f>_xll.BDP("IBKR US Equity","BEST_EPS","BEST_FPERIOD_OVERRIDE","27Y")</f>
        <v/>
      </c>
    </row>
    <row r="897">
      <c r="A897" t="inlineStr">
        <is>
          <t>IBKR</t>
        </is>
      </c>
      <c r="B897" t="inlineStr">
        <is>
          <t>IBKR US Equity</t>
        </is>
      </c>
      <c r="C897" t="inlineStr">
        <is>
          <t>BEST_SALES</t>
        </is>
      </c>
      <c r="D897" t="inlineStr">
        <is>
          <t>27Y</t>
        </is>
      </c>
      <c r="E897" t="inlineStr">
        <is>
          <t>Revenue estimate FY2027</t>
        </is>
      </c>
      <c r="F897" s="53">
        <f>_xll.BDP("IBKR US Equity","BEST_SALES","BEST_FPERIOD_OVERRIDE","27Y")</f>
        <v/>
      </c>
    </row>
    <row r="898">
      <c r="A898" t="inlineStr">
        <is>
          <t>IBKR</t>
        </is>
      </c>
      <c r="B898" t="inlineStr">
        <is>
          <t>IBKR US Equity</t>
        </is>
      </c>
      <c r="C898" t="inlineStr">
        <is>
          <t>BEST_EBIT</t>
        </is>
      </c>
      <c r="D898" t="inlineStr">
        <is>
          <t>27Y</t>
        </is>
      </c>
      <c r="E898" t="inlineStr">
        <is>
          <t>EBIT estimate FY2027</t>
        </is>
      </c>
      <c r="F898" s="53">
        <f>_xll.BDP("IBKR US Equity","BEST_EBIT","BEST_FPERIOD_OVERRIDE","27Y")</f>
        <v/>
      </c>
    </row>
    <row r="899">
      <c r="A899" t="inlineStr">
        <is>
          <t>IBKR</t>
        </is>
      </c>
      <c r="B899" t="inlineStr">
        <is>
          <t>IBKR US Equity</t>
        </is>
      </c>
      <c r="C899" t="inlineStr">
        <is>
          <t>BEST_EPS</t>
        </is>
      </c>
      <c r="D899" t="inlineStr">
        <is>
          <t>28Y</t>
        </is>
      </c>
      <c r="E899" t="inlineStr">
        <is>
          <t>EPS estimate FY2028</t>
        </is>
      </c>
      <c r="F899" s="53">
        <f>_xll.BDP("IBKR US Equity","BEST_EPS","BEST_FPERIOD_OVERRIDE","28Y")</f>
        <v/>
      </c>
    </row>
    <row r="900">
      <c r="A900" t="inlineStr">
        <is>
          <t>IBKR</t>
        </is>
      </c>
      <c r="B900" t="inlineStr">
        <is>
          <t>IBKR US Equity</t>
        </is>
      </c>
      <c r="C900" t="inlineStr">
        <is>
          <t>BEST_SALES</t>
        </is>
      </c>
      <c r="D900" t="inlineStr">
        <is>
          <t>28Y</t>
        </is>
      </c>
      <c r="E900" t="inlineStr">
        <is>
          <t>Revenue estimate FY2028</t>
        </is>
      </c>
      <c r="F900" s="53">
        <f>_xll.BDP("IBKR US Equity","BEST_SALES","BEST_FPERIOD_OVERRIDE","28Y")</f>
        <v/>
      </c>
    </row>
    <row r="901">
      <c r="A901" t="inlineStr">
        <is>
          <t>IBKR</t>
        </is>
      </c>
      <c r="B901" t="inlineStr">
        <is>
          <t>IBKR US Equity</t>
        </is>
      </c>
      <c r="C901" t="inlineStr">
        <is>
          <t>BEST_EBIT</t>
        </is>
      </c>
      <c r="D901" t="inlineStr">
        <is>
          <t>28Y</t>
        </is>
      </c>
      <c r="E901" t="inlineStr">
        <is>
          <t>EBIT estimate FY2028</t>
        </is>
      </c>
      <c r="F901" s="53">
        <f>_xll.BDP("IBKR US Equity","BEST_EBIT","BEST_FPERIOD_OVERRIDE","28Y")</f>
        <v/>
      </c>
    </row>
    <row r="902">
      <c r="A902" t="inlineStr">
        <is>
          <t>AXP</t>
        </is>
      </c>
      <c r="B902" t="inlineStr">
        <is>
          <t>AXP US Equity</t>
        </is>
      </c>
      <c r="C902" t="inlineStr">
        <is>
          <t>PX_LAST</t>
        </is>
      </c>
      <c r="E902" t="inlineStr">
        <is>
          <t>Last price</t>
        </is>
      </c>
      <c r="F902" s="53">
        <f>_xll.BDP("AXP US Equity","PX_LAST")</f>
        <v/>
      </c>
    </row>
    <row r="903">
      <c r="A903" t="inlineStr">
        <is>
          <t>AXP</t>
        </is>
      </c>
      <c r="B903" t="inlineStr">
        <is>
          <t>AXP US Equity</t>
        </is>
      </c>
      <c r="C903" t="inlineStr">
        <is>
          <t>CUR_MKT_CAP</t>
        </is>
      </c>
      <c r="E903" t="inlineStr">
        <is>
          <t>Market cap (raw)</t>
        </is>
      </c>
      <c r="F903" s="53">
        <f>_xll.BDP("AXP US Equity","CUR_MKT_CAP")</f>
        <v/>
      </c>
    </row>
    <row r="904">
      <c r="A904" t="inlineStr">
        <is>
          <t>AXP</t>
        </is>
      </c>
      <c r="B904" t="inlineStr">
        <is>
          <t>AXP US Equity</t>
        </is>
      </c>
      <c r="C904" t="inlineStr">
        <is>
          <t>CHG_PCT_YTD</t>
        </is>
      </c>
      <c r="E904" t="inlineStr">
        <is>
          <t>YTD price change %</t>
        </is>
      </c>
      <c r="F904" s="53">
        <f>_xll.BDP("AXP US Equity","CHG_PCT_YTD")</f>
        <v/>
      </c>
    </row>
    <row r="905">
      <c r="A905" t="inlineStr">
        <is>
          <t>AXP</t>
        </is>
      </c>
      <c r="B905" t="inlineStr">
        <is>
          <t>AXP US Equity</t>
        </is>
      </c>
      <c r="C905" t="inlineStr">
        <is>
          <t>NET_DEBT_TO_EBITDA</t>
        </is>
      </c>
      <c r="E905" t="inlineStr">
        <is>
          <t>Net debt / EBITDA</t>
        </is>
      </c>
      <c r="F905" s="53">
        <f>_xll.BDP("AXP US Equity","NET_DEBT_TO_EBITDA")</f>
        <v/>
      </c>
    </row>
    <row r="906">
      <c r="A906" t="inlineStr">
        <is>
          <t>AXP</t>
        </is>
      </c>
      <c r="B906" t="inlineStr">
        <is>
          <t>AXP US Equity</t>
        </is>
      </c>
      <c r="C906" t="inlineStr">
        <is>
          <t>RETURN_ON_INV_CAPITAL</t>
        </is>
      </c>
      <c r="E906" t="inlineStr">
        <is>
          <t>ROIC (LTM)</t>
        </is>
      </c>
      <c r="F906" s="53">
        <f>_xll.BDP("AXP US Equity","RETURN_ON_INV_CAPITAL")</f>
        <v/>
      </c>
    </row>
    <row r="907">
      <c r="A907" t="inlineStr">
        <is>
          <t>AXP</t>
        </is>
      </c>
      <c r="B907" t="inlineStr">
        <is>
          <t>AXP US Equity</t>
        </is>
      </c>
      <c r="C907" t="inlineStr">
        <is>
          <t>TRAIL_12M_OPER_INC</t>
        </is>
      </c>
      <c r="E907" t="inlineStr">
        <is>
          <t>LTM operating income</t>
        </is>
      </c>
      <c r="F907" s="53">
        <f>_xll.BDP("AXP US Equity","TRAIL_12M_OPER_INC")</f>
        <v/>
      </c>
    </row>
    <row r="908">
      <c r="A908" t="inlineStr">
        <is>
          <t>AXP</t>
        </is>
      </c>
      <c r="B908" t="inlineStr">
        <is>
          <t>AXP US Equity</t>
        </is>
      </c>
      <c r="C908" t="inlineStr">
        <is>
          <t>TRAIL_12M_EBITDA</t>
        </is>
      </c>
      <c r="E908" t="inlineStr">
        <is>
          <t>LTM EBITDA</t>
        </is>
      </c>
      <c r="F908" s="53">
        <f>_xll.BDP("AXP US Equity","TRAIL_12M_EBITDA")</f>
        <v/>
      </c>
    </row>
    <row r="909">
      <c r="A909" t="inlineStr">
        <is>
          <t>AXP</t>
        </is>
      </c>
      <c r="B909" t="inlineStr">
        <is>
          <t>AXP US Equity</t>
        </is>
      </c>
      <c r="C909" t="inlineStr">
        <is>
          <t>SHORT_AND_LONG_TERM_DEBT</t>
        </is>
      </c>
      <c r="E909" t="inlineStr">
        <is>
          <t>Total debt</t>
        </is>
      </c>
      <c r="F909" s="53">
        <f>_xll.BDP("AXP US Equity","SHORT_AND_LONG_TERM_DEBT")</f>
        <v/>
      </c>
    </row>
    <row r="910">
      <c r="A910" t="inlineStr">
        <is>
          <t>AXP</t>
        </is>
      </c>
      <c r="B910" t="inlineStr">
        <is>
          <t>AXP US Equity</t>
        </is>
      </c>
      <c r="C910" t="inlineStr">
        <is>
          <t>TOTAL_EQUITY</t>
        </is>
      </c>
      <c r="E910" t="inlineStr">
        <is>
          <t>Total equity</t>
        </is>
      </c>
      <c r="F910" s="53">
        <f>_xll.BDP("AXP US Equity","TOTAL_EQUITY")</f>
        <v/>
      </c>
    </row>
    <row r="911">
      <c r="A911" t="inlineStr">
        <is>
          <t>AXP</t>
        </is>
      </c>
      <c r="B911" t="inlineStr">
        <is>
          <t>AXP US Equity</t>
        </is>
      </c>
      <c r="C911" t="inlineStr">
        <is>
          <t>BS_CASH_NEAR_CASH_ITEM</t>
        </is>
      </c>
      <c r="E911" t="inlineStr">
        <is>
          <t>Cash &amp; equivalents</t>
        </is>
      </c>
      <c r="F911" s="53">
        <f>_xll.BDP("AXP US Equity","BS_CASH_NEAR_CASH_ITEM")</f>
        <v/>
      </c>
    </row>
    <row r="912">
      <c r="A912" t="inlineStr">
        <is>
          <t>AXP</t>
        </is>
      </c>
      <c r="B912" t="inlineStr">
        <is>
          <t>AXP US Equity</t>
        </is>
      </c>
      <c r="C912" t="inlineStr">
        <is>
          <t>BEST_EPS</t>
        </is>
      </c>
      <c r="D912" t="inlineStr">
        <is>
          <t>24Y</t>
        </is>
      </c>
      <c r="E912" t="inlineStr">
        <is>
          <t>EPS estimate FY2024</t>
        </is>
      </c>
      <c r="F912" s="53">
        <f>_xll.BDP("AXP US Equity","BEST_EPS","BEST_FPERIOD_OVERRIDE","24Y")</f>
        <v/>
      </c>
    </row>
    <row r="913">
      <c r="A913" t="inlineStr">
        <is>
          <t>AXP</t>
        </is>
      </c>
      <c r="B913" t="inlineStr">
        <is>
          <t>AXP US Equity</t>
        </is>
      </c>
      <c r="C913" t="inlineStr">
        <is>
          <t>BEST_SALES</t>
        </is>
      </c>
      <c r="D913" t="inlineStr">
        <is>
          <t>24Y</t>
        </is>
      </c>
      <c r="E913" t="inlineStr">
        <is>
          <t>Revenue estimate FY2024</t>
        </is>
      </c>
      <c r="F913" s="53">
        <f>_xll.BDP("AXP US Equity","BEST_SALES","BEST_FPERIOD_OVERRIDE","24Y")</f>
        <v/>
      </c>
    </row>
    <row r="914">
      <c r="A914" t="inlineStr">
        <is>
          <t>AXP</t>
        </is>
      </c>
      <c r="B914" t="inlineStr">
        <is>
          <t>AXP US Equity</t>
        </is>
      </c>
      <c r="C914" t="inlineStr">
        <is>
          <t>BEST_EBIT</t>
        </is>
      </c>
      <c r="D914" t="inlineStr">
        <is>
          <t>24Y</t>
        </is>
      </c>
      <c r="E914" t="inlineStr">
        <is>
          <t>EBIT estimate FY2024</t>
        </is>
      </c>
      <c r="F914" s="53">
        <f>_xll.BDP("AXP US Equity","BEST_EBIT","BEST_FPERIOD_OVERRIDE","24Y")</f>
        <v/>
      </c>
    </row>
    <row r="915">
      <c r="A915" t="inlineStr">
        <is>
          <t>AXP</t>
        </is>
      </c>
      <c r="B915" t="inlineStr">
        <is>
          <t>AXP US Equity</t>
        </is>
      </c>
      <c r="C915" t="inlineStr">
        <is>
          <t>BEST_EPS</t>
        </is>
      </c>
      <c r="D915" t="inlineStr">
        <is>
          <t>25Y</t>
        </is>
      </c>
      <c r="E915" t="inlineStr">
        <is>
          <t>EPS estimate FY2025</t>
        </is>
      </c>
      <c r="F915" s="53">
        <f>_xll.BDP("AXP US Equity","BEST_EPS","BEST_FPERIOD_OVERRIDE","25Y")</f>
        <v/>
      </c>
    </row>
    <row r="916">
      <c r="A916" t="inlineStr">
        <is>
          <t>AXP</t>
        </is>
      </c>
      <c r="B916" t="inlineStr">
        <is>
          <t>AXP US Equity</t>
        </is>
      </c>
      <c r="C916" t="inlineStr">
        <is>
          <t>BEST_SALES</t>
        </is>
      </c>
      <c r="D916" t="inlineStr">
        <is>
          <t>25Y</t>
        </is>
      </c>
      <c r="E916" t="inlineStr">
        <is>
          <t>Revenue estimate FY2025</t>
        </is>
      </c>
      <c r="F916" s="53">
        <f>_xll.BDP("AXP US Equity","BEST_SALES","BEST_FPERIOD_OVERRIDE","25Y")</f>
        <v/>
      </c>
    </row>
    <row r="917">
      <c r="A917" t="inlineStr">
        <is>
          <t>AXP</t>
        </is>
      </c>
      <c r="B917" t="inlineStr">
        <is>
          <t>AXP US Equity</t>
        </is>
      </c>
      <c r="C917" t="inlineStr">
        <is>
          <t>BEST_EBIT</t>
        </is>
      </c>
      <c r="D917" t="inlineStr">
        <is>
          <t>25Y</t>
        </is>
      </c>
      <c r="E917" t="inlineStr">
        <is>
          <t>EBIT estimate FY2025</t>
        </is>
      </c>
      <c r="F917" s="53">
        <f>_xll.BDP("AXP US Equity","BEST_EBIT","BEST_FPERIOD_OVERRIDE","25Y")</f>
        <v/>
      </c>
    </row>
    <row r="918">
      <c r="A918" t="inlineStr">
        <is>
          <t>AXP</t>
        </is>
      </c>
      <c r="B918" t="inlineStr">
        <is>
          <t>AXP US Equity</t>
        </is>
      </c>
      <c r="C918" t="inlineStr">
        <is>
          <t>BEST_EPS</t>
        </is>
      </c>
      <c r="D918" t="inlineStr">
        <is>
          <t>26Y</t>
        </is>
      </c>
      <c r="E918" t="inlineStr">
        <is>
          <t>EPS estimate FY2026</t>
        </is>
      </c>
      <c r="F918" s="53">
        <f>_xll.BDP("AXP US Equity","BEST_EPS","BEST_FPERIOD_OVERRIDE","26Y")</f>
        <v/>
      </c>
    </row>
    <row r="919">
      <c r="A919" t="inlineStr">
        <is>
          <t>AXP</t>
        </is>
      </c>
      <c r="B919" t="inlineStr">
        <is>
          <t>AXP US Equity</t>
        </is>
      </c>
      <c r="C919" t="inlineStr">
        <is>
          <t>BEST_SALES</t>
        </is>
      </c>
      <c r="D919" t="inlineStr">
        <is>
          <t>26Y</t>
        </is>
      </c>
      <c r="E919" t="inlineStr">
        <is>
          <t>Revenue estimate FY2026</t>
        </is>
      </c>
      <c r="F919" s="53">
        <f>_xll.BDP("AXP US Equity","BEST_SALES","BEST_FPERIOD_OVERRIDE","26Y")</f>
        <v/>
      </c>
    </row>
    <row r="920">
      <c r="A920" t="inlineStr">
        <is>
          <t>AXP</t>
        </is>
      </c>
      <c r="B920" t="inlineStr">
        <is>
          <t>AXP US Equity</t>
        </is>
      </c>
      <c r="C920" t="inlineStr">
        <is>
          <t>BEST_EBIT</t>
        </is>
      </c>
      <c r="D920" t="inlineStr">
        <is>
          <t>26Y</t>
        </is>
      </c>
      <c r="E920" t="inlineStr">
        <is>
          <t>EBIT estimate FY2026</t>
        </is>
      </c>
      <c r="F920" s="53">
        <f>_xll.BDP("AXP US Equity","BEST_EBIT","BEST_FPERIOD_OVERRIDE","26Y")</f>
        <v/>
      </c>
    </row>
    <row r="921">
      <c r="A921" t="inlineStr">
        <is>
          <t>AXP</t>
        </is>
      </c>
      <c r="B921" t="inlineStr">
        <is>
          <t>AXP US Equity</t>
        </is>
      </c>
      <c r="C921" t="inlineStr">
        <is>
          <t>BEST_EPS</t>
        </is>
      </c>
      <c r="D921" t="inlineStr">
        <is>
          <t>27Y</t>
        </is>
      </c>
      <c r="E921" t="inlineStr">
        <is>
          <t>EPS estimate FY2027</t>
        </is>
      </c>
      <c r="F921" s="53">
        <f>_xll.BDP("AXP US Equity","BEST_EPS","BEST_FPERIOD_OVERRIDE","27Y")</f>
        <v/>
      </c>
    </row>
    <row r="922">
      <c r="A922" t="inlineStr">
        <is>
          <t>AXP</t>
        </is>
      </c>
      <c r="B922" t="inlineStr">
        <is>
          <t>AXP US Equity</t>
        </is>
      </c>
      <c r="C922" t="inlineStr">
        <is>
          <t>BEST_SALES</t>
        </is>
      </c>
      <c r="D922" t="inlineStr">
        <is>
          <t>27Y</t>
        </is>
      </c>
      <c r="E922" t="inlineStr">
        <is>
          <t>Revenue estimate FY2027</t>
        </is>
      </c>
      <c r="F922" s="53">
        <f>_xll.BDP("AXP US Equity","BEST_SALES","BEST_FPERIOD_OVERRIDE","27Y")</f>
        <v/>
      </c>
    </row>
    <row r="923">
      <c r="A923" t="inlineStr">
        <is>
          <t>AXP</t>
        </is>
      </c>
      <c r="B923" t="inlineStr">
        <is>
          <t>AXP US Equity</t>
        </is>
      </c>
      <c r="C923" t="inlineStr">
        <is>
          <t>BEST_EBIT</t>
        </is>
      </c>
      <c r="D923" t="inlineStr">
        <is>
          <t>27Y</t>
        </is>
      </c>
      <c r="E923" t="inlineStr">
        <is>
          <t>EBIT estimate FY2027</t>
        </is>
      </c>
      <c r="F923" s="53">
        <f>_xll.BDP("AXP US Equity","BEST_EBIT","BEST_FPERIOD_OVERRIDE","27Y")</f>
        <v/>
      </c>
    </row>
    <row r="924">
      <c r="A924" t="inlineStr">
        <is>
          <t>AXP</t>
        </is>
      </c>
      <c r="B924" t="inlineStr">
        <is>
          <t>AXP US Equity</t>
        </is>
      </c>
      <c r="C924" t="inlineStr">
        <is>
          <t>BEST_EPS</t>
        </is>
      </c>
      <c r="D924" t="inlineStr">
        <is>
          <t>28Y</t>
        </is>
      </c>
      <c r="E924" t="inlineStr">
        <is>
          <t>EPS estimate FY2028</t>
        </is>
      </c>
      <c r="F924" s="53">
        <f>_xll.BDP("AXP US Equity","BEST_EPS","BEST_FPERIOD_OVERRIDE","28Y")</f>
        <v/>
      </c>
    </row>
    <row r="925">
      <c r="A925" t="inlineStr">
        <is>
          <t>AXP</t>
        </is>
      </c>
      <c r="B925" t="inlineStr">
        <is>
          <t>AXP US Equity</t>
        </is>
      </c>
      <c r="C925" t="inlineStr">
        <is>
          <t>BEST_SALES</t>
        </is>
      </c>
      <c r="D925" t="inlineStr">
        <is>
          <t>28Y</t>
        </is>
      </c>
      <c r="E925" t="inlineStr">
        <is>
          <t>Revenue estimate FY2028</t>
        </is>
      </c>
      <c r="F925" s="53">
        <f>_xll.BDP("AXP US Equity","BEST_SALES","BEST_FPERIOD_OVERRIDE","28Y")</f>
        <v/>
      </c>
    </row>
    <row r="926">
      <c r="A926" t="inlineStr">
        <is>
          <t>AXP</t>
        </is>
      </c>
      <c r="B926" t="inlineStr">
        <is>
          <t>AXP US Equity</t>
        </is>
      </c>
      <c r="C926" t="inlineStr">
        <is>
          <t>BEST_EBIT</t>
        </is>
      </c>
      <c r="D926" t="inlineStr">
        <is>
          <t>28Y</t>
        </is>
      </c>
      <c r="E926" t="inlineStr">
        <is>
          <t>EBIT estimate FY2028</t>
        </is>
      </c>
      <c r="F926" s="53">
        <f>_xll.BDP("AXP US Equity","BEST_EBIT","BEST_FPERIOD_OVERRIDE","28Y")</f>
        <v/>
      </c>
    </row>
    <row r="927">
      <c r="A927" t="inlineStr">
        <is>
          <t>AON</t>
        </is>
      </c>
      <c r="B927" t="inlineStr">
        <is>
          <t>AON US Equity</t>
        </is>
      </c>
      <c r="C927" t="inlineStr">
        <is>
          <t>PX_LAST</t>
        </is>
      </c>
      <c r="E927" t="inlineStr">
        <is>
          <t>Last price</t>
        </is>
      </c>
      <c r="F927" s="53">
        <f>_xll.BDP("AON US Equity","PX_LAST")</f>
        <v/>
      </c>
    </row>
    <row r="928">
      <c r="A928" t="inlineStr">
        <is>
          <t>AON</t>
        </is>
      </c>
      <c r="B928" t="inlineStr">
        <is>
          <t>AON US Equity</t>
        </is>
      </c>
      <c r="C928" t="inlineStr">
        <is>
          <t>CUR_MKT_CAP</t>
        </is>
      </c>
      <c r="E928" t="inlineStr">
        <is>
          <t>Market cap (raw)</t>
        </is>
      </c>
      <c r="F928" s="53">
        <f>_xll.BDP("AON US Equity","CUR_MKT_CAP")</f>
        <v/>
      </c>
    </row>
    <row r="929">
      <c r="A929" t="inlineStr">
        <is>
          <t>AON</t>
        </is>
      </c>
      <c r="B929" t="inlineStr">
        <is>
          <t>AON US Equity</t>
        </is>
      </c>
      <c r="C929" t="inlineStr">
        <is>
          <t>CHG_PCT_YTD</t>
        </is>
      </c>
      <c r="E929" t="inlineStr">
        <is>
          <t>YTD price change %</t>
        </is>
      </c>
      <c r="F929" s="53">
        <f>_xll.BDP("AON US Equity","CHG_PCT_YTD")</f>
        <v/>
      </c>
    </row>
    <row r="930">
      <c r="A930" t="inlineStr">
        <is>
          <t>AON</t>
        </is>
      </c>
      <c r="B930" t="inlineStr">
        <is>
          <t>AON US Equity</t>
        </is>
      </c>
      <c r="C930" t="inlineStr">
        <is>
          <t>NET_DEBT_TO_EBITDA</t>
        </is>
      </c>
      <c r="E930" t="inlineStr">
        <is>
          <t>Net debt / EBITDA</t>
        </is>
      </c>
      <c r="F930" s="53">
        <f>_xll.BDP("AON US Equity","NET_DEBT_TO_EBITDA")</f>
        <v/>
      </c>
    </row>
    <row r="931">
      <c r="A931" t="inlineStr">
        <is>
          <t>AON</t>
        </is>
      </c>
      <c r="B931" t="inlineStr">
        <is>
          <t>AON US Equity</t>
        </is>
      </c>
      <c r="C931" t="inlineStr">
        <is>
          <t>RETURN_ON_INV_CAPITAL</t>
        </is>
      </c>
      <c r="E931" t="inlineStr">
        <is>
          <t>ROIC (LTM)</t>
        </is>
      </c>
      <c r="F931" s="53">
        <f>_xll.BDP("AON US Equity","RETURN_ON_INV_CAPITAL")</f>
        <v/>
      </c>
    </row>
    <row r="932">
      <c r="A932" t="inlineStr">
        <is>
          <t>AON</t>
        </is>
      </c>
      <c r="B932" t="inlineStr">
        <is>
          <t>AON US Equity</t>
        </is>
      </c>
      <c r="C932" t="inlineStr">
        <is>
          <t>TRAIL_12M_OPER_INC</t>
        </is>
      </c>
      <c r="E932" t="inlineStr">
        <is>
          <t>LTM operating income</t>
        </is>
      </c>
      <c r="F932" s="53">
        <f>_xll.BDP("AON US Equity","TRAIL_12M_OPER_INC")</f>
        <v/>
      </c>
    </row>
    <row r="933">
      <c r="A933" t="inlineStr">
        <is>
          <t>AON</t>
        </is>
      </c>
      <c r="B933" t="inlineStr">
        <is>
          <t>AON US Equity</t>
        </is>
      </c>
      <c r="C933" t="inlineStr">
        <is>
          <t>TRAIL_12M_EBITDA</t>
        </is>
      </c>
      <c r="E933" t="inlineStr">
        <is>
          <t>LTM EBITDA</t>
        </is>
      </c>
      <c r="F933" s="53">
        <f>_xll.BDP("AON US Equity","TRAIL_12M_EBITDA")</f>
        <v/>
      </c>
    </row>
    <row r="934">
      <c r="A934" t="inlineStr">
        <is>
          <t>AON</t>
        </is>
      </c>
      <c r="B934" t="inlineStr">
        <is>
          <t>AON US Equity</t>
        </is>
      </c>
      <c r="C934" t="inlineStr">
        <is>
          <t>SHORT_AND_LONG_TERM_DEBT</t>
        </is>
      </c>
      <c r="E934" t="inlineStr">
        <is>
          <t>Total debt</t>
        </is>
      </c>
      <c r="F934" s="53">
        <f>_xll.BDP("AON US Equity","SHORT_AND_LONG_TERM_DEBT")</f>
        <v/>
      </c>
    </row>
    <row r="935">
      <c r="A935" t="inlineStr">
        <is>
          <t>AON</t>
        </is>
      </c>
      <c r="B935" t="inlineStr">
        <is>
          <t>AON US Equity</t>
        </is>
      </c>
      <c r="C935" t="inlineStr">
        <is>
          <t>TOTAL_EQUITY</t>
        </is>
      </c>
      <c r="E935" t="inlineStr">
        <is>
          <t>Total equity</t>
        </is>
      </c>
      <c r="F935" s="53">
        <f>_xll.BDP("AON US Equity","TOTAL_EQUITY")</f>
        <v/>
      </c>
    </row>
    <row r="936">
      <c r="A936" t="inlineStr">
        <is>
          <t>AON</t>
        </is>
      </c>
      <c r="B936" t="inlineStr">
        <is>
          <t>AON US Equity</t>
        </is>
      </c>
      <c r="C936" t="inlineStr">
        <is>
          <t>BS_CASH_NEAR_CASH_ITEM</t>
        </is>
      </c>
      <c r="E936" t="inlineStr">
        <is>
          <t>Cash &amp; equivalents</t>
        </is>
      </c>
      <c r="F936" s="53">
        <f>_xll.BDP("AON US Equity","BS_CASH_NEAR_CASH_ITEM")</f>
        <v/>
      </c>
    </row>
    <row r="937">
      <c r="A937" t="inlineStr">
        <is>
          <t>AON</t>
        </is>
      </c>
      <c r="B937" t="inlineStr">
        <is>
          <t>AON US Equity</t>
        </is>
      </c>
      <c r="C937" t="inlineStr">
        <is>
          <t>BEST_EPS</t>
        </is>
      </c>
      <c r="D937" t="inlineStr">
        <is>
          <t>24Y</t>
        </is>
      </c>
      <c r="E937" t="inlineStr">
        <is>
          <t>EPS estimate FY2024</t>
        </is>
      </c>
      <c r="F937" s="53">
        <f>_xll.BDP("AON US Equity","BEST_EPS","BEST_FPERIOD_OVERRIDE","24Y")</f>
        <v/>
      </c>
    </row>
    <row r="938">
      <c r="A938" t="inlineStr">
        <is>
          <t>AON</t>
        </is>
      </c>
      <c r="B938" t="inlineStr">
        <is>
          <t>AON US Equity</t>
        </is>
      </c>
      <c r="C938" t="inlineStr">
        <is>
          <t>BEST_SALES</t>
        </is>
      </c>
      <c r="D938" t="inlineStr">
        <is>
          <t>24Y</t>
        </is>
      </c>
      <c r="E938" t="inlineStr">
        <is>
          <t>Revenue estimate FY2024</t>
        </is>
      </c>
      <c r="F938" s="53">
        <f>_xll.BDP("AON US Equity","BEST_SALES","BEST_FPERIOD_OVERRIDE","24Y")</f>
        <v/>
      </c>
    </row>
    <row r="939">
      <c r="A939" t="inlineStr">
        <is>
          <t>AON</t>
        </is>
      </c>
      <c r="B939" t="inlineStr">
        <is>
          <t>AON US Equity</t>
        </is>
      </c>
      <c r="C939" t="inlineStr">
        <is>
          <t>BEST_EBIT</t>
        </is>
      </c>
      <c r="D939" t="inlineStr">
        <is>
          <t>24Y</t>
        </is>
      </c>
      <c r="E939" t="inlineStr">
        <is>
          <t>EBIT estimate FY2024</t>
        </is>
      </c>
      <c r="F939" s="53">
        <f>_xll.BDP("AON US Equity","BEST_EBIT","BEST_FPERIOD_OVERRIDE","24Y")</f>
        <v/>
      </c>
    </row>
    <row r="940">
      <c r="A940" t="inlineStr">
        <is>
          <t>AON</t>
        </is>
      </c>
      <c r="B940" t="inlineStr">
        <is>
          <t>AON US Equity</t>
        </is>
      </c>
      <c r="C940" t="inlineStr">
        <is>
          <t>BEST_EPS</t>
        </is>
      </c>
      <c r="D940" t="inlineStr">
        <is>
          <t>25Y</t>
        </is>
      </c>
      <c r="E940" t="inlineStr">
        <is>
          <t>EPS estimate FY2025</t>
        </is>
      </c>
      <c r="F940" s="53">
        <f>_xll.BDP("AON US Equity","BEST_EPS","BEST_FPERIOD_OVERRIDE","25Y")</f>
        <v/>
      </c>
    </row>
    <row r="941">
      <c r="A941" t="inlineStr">
        <is>
          <t>AON</t>
        </is>
      </c>
      <c r="B941" t="inlineStr">
        <is>
          <t>AON US Equity</t>
        </is>
      </c>
      <c r="C941" t="inlineStr">
        <is>
          <t>BEST_SALES</t>
        </is>
      </c>
      <c r="D941" t="inlineStr">
        <is>
          <t>25Y</t>
        </is>
      </c>
      <c r="E941" t="inlineStr">
        <is>
          <t>Revenue estimate FY2025</t>
        </is>
      </c>
      <c r="F941" s="53">
        <f>_xll.BDP("AON US Equity","BEST_SALES","BEST_FPERIOD_OVERRIDE","25Y")</f>
        <v/>
      </c>
    </row>
    <row r="942">
      <c r="A942" t="inlineStr">
        <is>
          <t>AON</t>
        </is>
      </c>
      <c r="B942" t="inlineStr">
        <is>
          <t>AON US Equity</t>
        </is>
      </c>
      <c r="C942" t="inlineStr">
        <is>
          <t>BEST_EBIT</t>
        </is>
      </c>
      <c r="D942" t="inlineStr">
        <is>
          <t>25Y</t>
        </is>
      </c>
      <c r="E942" t="inlineStr">
        <is>
          <t>EBIT estimate FY2025</t>
        </is>
      </c>
      <c r="F942" s="53">
        <f>_xll.BDP("AON US Equity","BEST_EBIT","BEST_FPERIOD_OVERRIDE","25Y")</f>
        <v/>
      </c>
    </row>
    <row r="943">
      <c r="A943" t="inlineStr">
        <is>
          <t>AON</t>
        </is>
      </c>
      <c r="B943" t="inlineStr">
        <is>
          <t>AON US Equity</t>
        </is>
      </c>
      <c r="C943" t="inlineStr">
        <is>
          <t>BEST_EPS</t>
        </is>
      </c>
      <c r="D943" t="inlineStr">
        <is>
          <t>26Y</t>
        </is>
      </c>
      <c r="E943" t="inlineStr">
        <is>
          <t>EPS estimate FY2026</t>
        </is>
      </c>
      <c r="F943" s="53">
        <f>_xll.BDP("AON US Equity","BEST_EPS","BEST_FPERIOD_OVERRIDE","26Y")</f>
        <v/>
      </c>
    </row>
    <row r="944">
      <c r="A944" t="inlineStr">
        <is>
          <t>AON</t>
        </is>
      </c>
      <c r="B944" t="inlineStr">
        <is>
          <t>AON US Equity</t>
        </is>
      </c>
      <c r="C944" t="inlineStr">
        <is>
          <t>BEST_SALES</t>
        </is>
      </c>
      <c r="D944" t="inlineStr">
        <is>
          <t>26Y</t>
        </is>
      </c>
      <c r="E944" t="inlineStr">
        <is>
          <t>Revenue estimate FY2026</t>
        </is>
      </c>
      <c r="F944" s="53">
        <f>_xll.BDP("AON US Equity","BEST_SALES","BEST_FPERIOD_OVERRIDE","26Y")</f>
        <v/>
      </c>
    </row>
    <row r="945">
      <c r="A945" t="inlineStr">
        <is>
          <t>AON</t>
        </is>
      </c>
      <c r="B945" t="inlineStr">
        <is>
          <t>AON US Equity</t>
        </is>
      </c>
      <c r="C945" t="inlineStr">
        <is>
          <t>BEST_EBIT</t>
        </is>
      </c>
      <c r="D945" t="inlineStr">
        <is>
          <t>26Y</t>
        </is>
      </c>
      <c r="E945" t="inlineStr">
        <is>
          <t>EBIT estimate FY2026</t>
        </is>
      </c>
      <c r="F945" s="53">
        <f>_xll.BDP("AON US Equity","BEST_EBIT","BEST_FPERIOD_OVERRIDE","26Y")</f>
        <v/>
      </c>
    </row>
    <row r="946">
      <c r="A946" t="inlineStr">
        <is>
          <t>AON</t>
        </is>
      </c>
      <c r="B946" t="inlineStr">
        <is>
          <t>AON US Equity</t>
        </is>
      </c>
      <c r="C946" t="inlineStr">
        <is>
          <t>BEST_EPS</t>
        </is>
      </c>
      <c r="D946" t="inlineStr">
        <is>
          <t>27Y</t>
        </is>
      </c>
      <c r="E946" t="inlineStr">
        <is>
          <t>EPS estimate FY2027</t>
        </is>
      </c>
      <c r="F946" s="53">
        <f>_xll.BDP("AON US Equity","BEST_EPS","BEST_FPERIOD_OVERRIDE","27Y")</f>
        <v/>
      </c>
    </row>
    <row r="947">
      <c r="A947" t="inlineStr">
        <is>
          <t>AON</t>
        </is>
      </c>
      <c r="B947" t="inlineStr">
        <is>
          <t>AON US Equity</t>
        </is>
      </c>
      <c r="C947" t="inlineStr">
        <is>
          <t>BEST_SALES</t>
        </is>
      </c>
      <c r="D947" t="inlineStr">
        <is>
          <t>27Y</t>
        </is>
      </c>
      <c r="E947" t="inlineStr">
        <is>
          <t>Revenue estimate FY2027</t>
        </is>
      </c>
      <c r="F947" s="53">
        <f>_xll.BDP("AON US Equity","BEST_SALES","BEST_FPERIOD_OVERRIDE","27Y")</f>
        <v/>
      </c>
    </row>
    <row r="948">
      <c r="A948" t="inlineStr">
        <is>
          <t>AON</t>
        </is>
      </c>
      <c r="B948" t="inlineStr">
        <is>
          <t>AON US Equity</t>
        </is>
      </c>
      <c r="C948" t="inlineStr">
        <is>
          <t>BEST_EBIT</t>
        </is>
      </c>
      <c r="D948" t="inlineStr">
        <is>
          <t>27Y</t>
        </is>
      </c>
      <c r="E948" t="inlineStr">
        <is>
          <t>EBIT estimate FY2027</t>
        </is>
      </c>
      <c r="F948" s="53">
        <f>_xll.BDP("AON US Equity","BEST_EBIT","BEST_FPERIOD_OVERRIDE","27Y")</f>
        <v/>
      </c>
    </row>
    <row r="949">
      <c r="A949" t="inlineStr">
        <is>
          <t>AON</t>
        </is>
      </c>
      <c r="B949" t="inlineStr">
        <is>
          <t>AON US Equity</t>
        </is>
      </c>
      <c r="C949" t="inlineStr">
        <is>
          <t>BEST_EPS</t>
        </is>
      </c>
      <c r="D949" t="inlineStr">
        <is>
          <t>28Y</t>
        </is>
      </c>
      <c r="E949" t="inlineStr">
        <is>
          <t>EPS estimate FY2028</t>
        </is>
      </c>
      <c r="F949" s="53">
        <f>_xll.BDP("AON US Equity","BEST_EPS","BEST_FPERIOD_OVERRIDE","28Y")</f>
        <v/>
      </c>
    </row>
    <row r="950">
      <c r="A950" t="inlineStr">
        <is>
          <t>AON</t>
        </is>
      </c>
      <c r="B950" t="inlineStr">
        <is>
          <t>AON US Equity</t>
        </is>
      </c>
      <c r="C950" t="inlineStr">
        <is>
          <t>BEST_SALES</t>
        </is>
      </c>
      <c r="D950" t="inlineStr">
        <is>
          <t>28Y</t>
        </is>
      </c>
      <c r="E950" t="inlineStr">
        <is>
          <t>Revenue estimate FY2028</t>
        </is>
      </c>
      <c r="F950" s="53">
        <f>_xll.BDP("AON US Equity","BEST_SALES","BEST_FPERIOD_OVERRIDE","28Y")</f>
        <v/>
      </c>
    </row>
    <row r="951">
      <c r="A951" t="inlineStr">
        <is>
          <t>AON</t>
        </is>
      </c>
      <c r="B951" t="inlineStr">
        <is>
          <t>AON US Equity</t>
        </is>
      </c>
      <c r="C951" t="inlineStr">
        <is>
          <t>BEST_EBIT</t>
        </is>
      </c>
      <c r="D951" t="inlineStr">
        <is>
          <t>28Y</t>
        </is>
      </c>
      <c r="E951" t="inlineStr">
        <is>
          <t>EBIT estimate FY2028</t>
        </is>
      </c>
      <c r="F951" s="53">
        <f>_xll.BDP("AON US Equity","BEST_EBIT","BEST_FPERIOD_OVERRIDE","28Y")</f>
        <v/>
      </c>
    </row>
    <row r="952">
      <c r="A952" t="inlineStr">
        <is>
          <t>MMC</t>
        </is>
      </c>
      <c r="B952" t="inlineStr">
        <is>
          <t>MMC US Equity</t>
        </is>
      </c>
      <c r="C952" t="inlineStr">
        <is>
          <t>PX_LAST</t>
        </is>
      </c>
      <c r="E952" t="inlineStr">
        <is>
          <t>Last price</t>
        </is>
      </c>
      <c r="F952" s="53">
        <f>_xll.BDP("MMC US Equity","PX_LAST")</f>
        <v/>
      </c>
    </row>
    <row r="953">
      <c r="A953" t="inlineStr">
        <is>
          <t>MMC</t>
        </is>
      </c>
      <c r="B953" t="inlineStr">
        <is>
          <t>MMC US Equity</t>
        </is>
      </c>
      <c r="C953" t="inlineStr">
        <is>
          <t>CUR_MKT_CAP</t>
        </is>
      </c>
      <c r="E953" t="inlineStr">
        <is>
          <t>Market cap (raw)</t>
        </is>
      </c>
      <c r="F953" s="53">
        <f>_xll.BDP("MMC US Equity","CUR_MKT_CAP")</f>
        <v/>
      </c>
    </row>
    <row r="954">
      <c r="A954" t="inlineStr">
        <is>
          <t>MMC</t>
        </is>
      </c>
      <c r="B954" t="inlineStr">
        <is>
          <t>MMC US Equity</t>
        </is>
      </c>
      <c r="C954" t="inlineStr">
        <is>
          <t>CHG_PCT_YTD</t>
        </is>
      </c>
      <c r="E954" t="inlineStr">
        <is>
          <t>YTD price change %</t>
        </is>
      </c>
      <c r="F954" s="53">
        <f>_xll.BDP("MMC US Equity","CHG_PCT_YTD")</f>
        <v/>
      </c>
    </row>
    <row r="955">
      <c r="A955" t="inlineStr">
        <is>
          <t>MMC</t>
        </is>
      </c>
      <c r="B955" t="inlineStr">
        <is>
          <t>MMC US Equity</t>
        </is>
      </c>
      <c r="C955" t="inlineStr">
        <is>
          <t>NET_DEBT_TO_EBITDA</t>
        </is>
      </c>
      <c r="E955" t="inlineStr">
        <is>
          <t>Net debt / EBITDA</t>
        </is>
      </c>
      <c r="F955" s="53">
        <f>_xll.BDP("MMC US Equity","NET_DEBT_TO_EBITDA")</f>
        <v/>
      </c>
    </row>
    <row r="956">
      <c r="A956" t="inlineStr">
        <is>
          <t>MMC</t>
        </is>
      </c>
      <c r="B956" t="inlineStr">
        <is>
          <t>MMC US Equity</t>
        </is>
      </c>
      <c r="C956" t="inlineStr">
        <is>
          <t>RETURN_ON_INV_CAPITAL</t>
        </is>
      </c>
      <c r="E956" t="inlineStr">
        <is>
          <t>ROIC (LTM)</t>
        </is>
      </c>
      <c r="F956" s="53">
        <f>_xll.BDP("MMC US Equity","RETURN_ON_INV_CAPITAL")</f>
        <v/>
      </c>
    </row>
    <row r="957">
      <c r="A957" t="inlineStr">
        <is>
          <t>MMC</t>
        </is>
      </c>
      <c r="B957" t="inlineStr">
        <is>
          <t>MMC US Equity</t>
        </is>
      </c>
      <c r="C957" t="inlineStr">
        <is>
          <t>TRAIL_12M_OPER_INC</t>
        </is>
      </c>
      <c r="E957" t="inlineStr">
        <is>
          <t>LTM operating income</t>
        </is>
      </c>
      <c r="F957" s="53">
        <f>_xll.BDP("MMC US Equity","TRAIL_12M_OPER_INC")</f>
        <v/>
      </c>
    </row>
    <row r="958">
      <c r="A958" t="inlineStr">
        <is>
          <t>MMC</t>
        </is>
      </c>
      <c r="B958" t="inlineStr">
        <is>
          <t>MMC US Equity</t>
        </is>
      </c>
      <c r="C958" t="inlineStr">
        <is>
          <t>TRAIL_12M_EBITDA</t>
        </is>
      </c>
      <c r="E958" t="inlineStr">
        <is>
          <t>LTM EBITDA</t>
        </is>
      </c>
      <c r="F958" s="53">
        <f>_xll.BDP("MMC US Equity","TRAIL_12M_EBITDA")</f>
        <v/>
      </c>
    </row>
    <row r="959">
      <c r="A959" t="inlineStr">
        <is>
          <t>MMC</t>
        </is>
      </c>
      <c r="B959" t="inlineStr">
        <is>
          <t>MMC US Equity</t>
        </is>
      </c>
      <c r="C959" t="inlineStr">
        <is>
          <t>SHORT_AND_LONG_TERM_DEBT</t>
        </is>
      </c>
      <c r="E959" t="inlineStr">
        <is>
          <t>Total debt</t>
        </is>
      </c>
      <c r="F959" s="53">
        <f>_xll.BDP("MMC US Equity","SHORT_AND_LONG_TERM_DEBT")</f>
        <v/>
      </c>
    </row>
    <row r="960">
      <c r="A960" t="inlineStr">
        <is>
          <t>MMC</t>
        </is>
      </c>
      <c r="B960" t="inlineStr">
        <is>
          <t>MMC US Equity</t>
        </is>
      </c>
      <c r="C960" t="inlineStr">
        <is>
          <t>TOTAL_EQUITY</t>
        </is>
      </c>
      <c r="E960" t="inlineStr">
        <is>
          <t>Total equity</t>
        </is>
      </c>
      <c r="F960" s="53">
        <f>_xll.BDP("MMC US Equity","TOTAL_EQUITY")</f>
        <v/>
      </c>
    </row>
    <row r="961">
      <c r="A961" t="inlineStr">
        <is>
          <t>MMC</t>
        </is>
      </c>
      <c r="B961" t="inlineStr">
        <is>
          <t>MMC US Equity</t>
        </is>
      </c>
      <c r="C961" t="inlineStr">
        <is>
          <t>BS_CASH_NEAR_CASH_ITEM</t>
        </is>
      </c>
      <c r="E961" t="inlineStr">
        <is>
          <t>Cash &amp; equivalents</t>
        </is>
      </c>
      <c r="F961" s="53">
        <f>_xll.BDP("MMC US Equity","BS_CASH_NEAR_CASH_ITEM")</f>
        <v/>
      </c>
    </row>
    <row r="962">
      <c r="A962" t="inlineStr">
        <is>
          <t>MMC</t>
        </is>
      </c>
      <c r="B962" t="inlineStr">
        <is>
          <t>MMC US Equity</t>
        </is>
      </c>
      <c r="C962" t="inlineStr">
        <is>
          <t>BEST_EPS</t>
        </is>
      </c>
      <c r="D962" t="inlineStr">
        <is>
          <t>24Y</t>
        </is>
      </c>
      <c r="E962" t="inlineStr">
        <is>
          <t>EPS estimate FY2024</t>
        </is>
      </c>
      <c r="F962" s="53">
        <f>_xll.BDP("MMC US Equity","BEST_EPS","BEST_FPERIOD_OVERRIDE","24Y")</f>
        <v/>
      </c>
    </row>
    <row r="963">
      <c r="A963" t="inlineStr">
        <is>
          <t>MMC</t>
        </is>
      </c>
      <c r="B963" t="inlineStr">
        <is>
          <t>MMC US Equity</t>
        </is>
      </c>
      <c r="C963" t="inlineStr">
        <is>
          <t>BEST_SALES</t>
        </is>
      </c>
      <c r="D963" t="inlineStr">
        <is>
          <t>24Y</t>
        </is>
      </c>
      <c r="E963" t="inlineStr">
        <is>
          <t>Revenue estimate FY2024</t>
        </is>
      </c>
      <c r="F963" s="53">
        <f>_xll.BDP("MMC US Equity","BEST_SALES","BEST_FPERIOD_OVERRIDE","24Y")</f>
        <v/>
      </c>
    </row>
    <row r="964">
      <c r="A964" t="inlineStr">
        <is>
          <t>MMC</t>
        </is>
      </c>
      <c r="B964" t="inlineStr">
        <is>
          <t>MMC US Equity</t>
        </is>
      </c>
      <c r="C964" t="inlineStr">
        <is>
          <t>BEST_EBIT</t>
        </is>
      </c>
      <c r="D964" t="inlineStr">
        <is>
          <t>24Y</t>
        </is>
      </c>
      <c r="E964" t="inlineStr">
        <is>
          <t>EBIT estimate FY2024</t>
        </is>
      </c>
      <c r="F964" s="53">
        <f>_xll.BDP("MMC US Equity","BEST_EBIT","BEST_FPERIOD_OVERRIDE","24Y")</f>
        <v/>
      </c>
    </row>
    <row r="965">
      <c r="A965" t="inlineStr">
        <is>
          <t>MMC</t>
        </is>
      </c>
      <c r="B965" t="inlineStr">
        <is>
          <t>MMC US Equity</t>
        </is>
      </c>
      <c r="C965" t="inlineStr">
        <is>
          <t>BEST_EPS</t>
        </is>
      </c>
      <c r="D965" t="inlineStr">
        <is>
          <t>25Y</t>
        </is>
      </c>
      <c r="E965" t="inlineStr">
        <is>
          <t>EPS estimate FY2025</t>
        </is>
      </c>
      <c r="F965" s="53">
        <f>_xll.BDP("MMC US Equity","BEST_EPS","BEST_FPERIOD_OVERRIDE","25Y")</f>
        <v/>
      </c>
    </row>
    <row r="966">
      <c r="A966" t="inlineStr">
        <is>
          <t>MMC</t>
        </is>
      </c>
      <c r="B966" t="inlineStr">
        <is>
          <t>MMC US Equity</t>
        </is>
      </c>
      <c r="C966" t="inlineStr">
        <is>
          <t>BEST_SALES</t>
        </is>
      </c>
      <c r="D966" t="inlineStr">
        <is>
          <t>25Y</t>
        </is>
      </c>
      <c r="E966" t="inlineStr">
        <is>
          <t>Revenue estimate FY2025</t>
        </is>
      </c>
      <c r="F966" s="53">
        <f>_xll.BDP("MMC US Equity","BEST_SALES","BEST_FPERIOD_OVERRIDE","25Y")</f>
        <v/>
      </c>
    </row>
    <row r="967">
      <c r="A967" t="inlineStr">
        <is>
          <t>MMC</t>
        </is>
      </c>
      <c r="B967" t="inlineStr">
        <is>
          <t>MMC US Equity</t>
        </is>
      </c>
      <c r="C967" t="inlineStr">
        <is>
          <t>BEST_EBIT</t>
        </is>
      </c>
      <c r="D967" t="inlineStr">
        <is>
          <t>25Y</t>
        </is>
      </c>
      <c r="E967" t="inlineStr">
        <is>
          <t>EBIT estimate FY2025</t>
        </is>
      </c>
      <c r="F967" s="53">
        <f>_xll.BDP("MMC US Equity","BEST_EBIT","BEST_FPERIOD_OVERRIDE","25Y")</f>
        <v/>
      </c>
    </row>
    <row r="968">
      <c r="A968" t="inlineStr">
        <is>
          <t>MMC</t>
        </is>
      </c>
      <c r="B968" t="inlineStr">
        <is>
          <t>MMC US Equity</t>
        </is>
      </c>
      <c r="C968" t="inlineStr">
        <is>
          <t>BEST_EPS</t>
        </is>
      </c>
      <c r="D968" t="inlineStr">
        <is>
          <t>26Y</t>
        </is>
      </c>
      <c r="E968" t="inlineStr">
        <is>
          <t>EPS estimate FY2026</t>
        </is>
      </c>
      <c r="F968" s="53">
        <f>_xll.BDP("MMC US Equity","BEST_EPS","BEST_FPERIOD_OVERRIDE","26Y")</f>
        <v/>
      </c>
    </row>
    <row r="969">
      <c r="A969" t="inlineStr">
        <is>
          <t>MMC</t>
        </is>
      </c>
      <c r="B969" t="inlineStr">
        <is>
          <t>MMC US Equity</t>
        </is>
      </c>
      <c r="C969" t="inlineStr">
        <is>
          <t>BEST_SALES</t>
        </is>
      </c>
      <c r="D969" t="inlineStr">
        <is>
          <t>26Y</t>
        </is>
      </c>
      <c r="E969" t="inlineStr">
        <is>
          <t>Revenue estimate FY2026</t>
        </is>
      </c>
      <c r="F969" s="53">
        <f>_xll.BDP("MMC US Equity","BEST_SALES","BEST_FPERIOD_OVERRIDE","26Y")</f>
        <v/>
      </c>
    </row>
    <row r="970">
      <c r="A970" t="inlineStr">
        <is>
          <t>MMC</t>
        </is>
      </c>
      <c r="B970" t="inlineStr">
        <is>
          <t>MMC US Equity</t>
        </is>
      </c>
      <c r="C970" t="inlineStr">
        <is>
          <t>BEST_EBIT</t>
        </is>
      </c>
      <c r="D970" t="inlineStr">
        <is>
          <t>26Y</t>
        </is>
      </c>
      <c r="E970" t="inlineStr">
        <is>
          <t>EBIT estimate FY2026</t>
        </is>
      </c>
      <c r="F970" s="53">
        <f>_xll.BDP("MMC US Equity","BEST_EBIT","BEST_FPERIOD_OVERRIDE","26Y")</f>
        <v/>
      </c>
    </row>
    <row r="971">
      <c r="A971" t="inlineStr">
        <is>
          <t>MMC</t>
        </is>
      </c>
      <c r="B971" t="inlineStr">
        <is>
          <t>MMC US Equity</t>
        </is>
      </c>
      <c r="C971" t="inlineStr">
        <is>
          <t>BEST_EPS</t>
        </is>
      </c>
      <c r="D971" t="inlineStr">
        <is>
          <t>27Y</t>
        </is>
      </c>
      <c r="E971" t="inlineStr">
        <is>
          <t>EPS estimate FY2027</t>
        </is>
      </c>
      <c r="F971" s="53">
        <f>_xll.BDP("MMC US Equity","BEST_EPS","BEST_FPERIOD_OVERRIDE","27Y")</f>
        <v/>
      </c>
    </row>
    <row r="972">
      <c r="A972" t="inlineStr">
        <is>
          <t>MMC</t>
        </is>
      </c>
      <c r="B972" t="inlineStr">
        <is>
          <t>MMC US Equity</t>
        </is>
      </c>
      <c r="C972" t="inlineStr">
        <is>
          <t>BEST_SALES</t>
        </is>
      </c>
      <c r="D972" t="inlineStr">
        <is>
          <t>27Y</t>
        </is>
      </c>
      <c r="E972" t="inlineStr">
        <is>
          <t>Revenue estimate FY2027</t>
        </is>
      </c>
      <c r="F972" s="53">
        <f>_xll.BDP("MMC US Equity","BEST_SALES","BEST_FPERIOD_OVERRIDE","27Y")</f>
        <v/>
      </c>
    </row>
    <row r="973">
      <c r="A973" t="inlineStr">
        <is>
          <t>MMC</t>
        </is>
      </c>
      <c r="B973" t="inlineStr">
        <is>
          <t>MMC US Equity</t>
        </is>
      </c>
      <c r="C973" t="inlineStr">
        <is>
          <t>BEST_EBIT</t>
        </is>
      </c>
      <c r="D973" t="inlineStr">
        <is>
          <t>27Y</t>
        </is>
      </c>
      <c r="E973" t="inlineStr">
        <is>
          <t>EBIT estimate FY2027</t>
        </is>
      </c>
      <c r="F973" s="53">
        <f>_xll.BDP("MMC US Equity","BEST_EBIT","BEST_FPERIOD_OVERRIDE","27Y")</f>
        <v/>
      </c>
    </row>
    <row r="974">
      <c r="A974" t="inlineStr">
        <is>
          <t>MMC</t>
        </is>
      </c>
      <c r="B974" t="inlineStr">
        <is>
          <t>MMC US Equity</t>
        </is>
      </c>
      <c r="C974" t="inlineStr">
        <is>
          <t>BEST_EPS</t>
        </is>
      </c>
      <c r="D974" t="inlineStr">
        <is>
          <t>28Y</t>
        </is>
      </c>
      <c r="E974" t="inlineStr">
        <is>
          <t>EPS estimate FY2028</t>
        </is>
      </c>
      <c r="F974" s="53">
        <f>_xll.BDP("MMC US Equity","BEST_EPS","BEST_FPERIOD_OVERRIDE","28Y")</f>
        <v/>
      </c>
    </row>
    <row r="975">
      <c r="A975" t="inlineStr">
        <is>
          <t>MMC</t>
        </is>
      </c>
      <c r="B975" t="inlineStr">
        <is>
          <t>MMC US Equity</t>
        </is>
      </c>
      <c r="C975" t="inlineStr">
        <is>
          <t>BEST_SALES</t>
        </is>
      </c>
      <c r="D975" t="inlineStr">
        <is>
          <t>28Y</t>
        </is>
      </c>
      <c r="E975" t="inlineStr">
        <is>
          <t>Revenue estimate FY2028</t>
        </is>
      </c>
      <c r="F975" s="53">
        <f>_xll.BDP("MMC US Equity","BEST_SALES","BEST_FPERIOD_OVERRIDE","28Y")</f>
        <v/>
      </c>
    </row>
    <row r="976">
      <c r="A976" t="inlineStr">
        <is>
          <t>MMC</t>
        </is>
      </c>
      <c r="B976" t="inlineStr">
        <is>
          <t>MMC US Equity</t>
        </is>
      </c>
      <c r="C976" t="inlineStr">
        <is>
          <t>BEST_EBIT</t>
        </is>
      </c>
      <c r="D976" t="inlineStr">
        <is>
          <t>28Y</t>
        </is>
      </c>
      <c r="E976" t="inlineStr">
        <is>
          <t>EBIT estimate FY2028</t>
        </is>
      </c>
      <c r="F976" s="53">
        <f>_xll.BDP("MMC US Equity","BEST_EBIT","BEST_FPERIOD_OVERRIDE","28Y")</f>
        <v/>
      </c>
    </row>
    <row r="977">
      <c r="A977" t="inlineStr">
        <is>
          <t>MSCI</t>
        </is>
      </c>
      <c r="B977" t="inlineStr">
        <is>
          <t>MSCI US Equity</t>
        </is>
      </c>
      <c r="C977" t="inlineStr">
        <is>
          <t>PX_LAST</t>
        </is>
      </c>
      <c r="E977" t="inlineStr">
        <is>
          <t>Last price</t>
        </is>
      </c>
      <c r="F977" s="53">
        <f>_xll.BDP("MSCI US Equity","PX_LAST")</f>
        <v/>
      </c>
    </row>
    <row r="978">
      <c r="A978" t="inlineStr">
        <is>
          <t>MSCI</t>
        </is>
      </c>
      <c r="B978" t="inlineStr">
        <is>
          <t>MSCI US Equity</t>
        </is>
      </c>
      <c r="C978" t="inlineStr">
        <is>
          <t>CUR_MKT_CAP</t>
        </is>
      </c>
      <c r="E978" t="inlineStr">
        <is>
          <t>Market cap (raw)</t>
        </is>
      </c>
      <c r="F978" s="53">
        <f>_xll.BDP("MSCI US Equity","CUR_MKT_CAP")</f>
        <v/>
      </c>
    </row>
    <row r="979">
      <c r="A979" t="inlineStr">
        <is>
          <t>MSCI</t>
        </is>
      </c>
      <c r="B979" t="inlineStr">
        <is>
          <t>MSCI US Equity</t>
        </is>
      </c>
      <c r="C979" t="inlineStr">
        <is>
          <t>CHG_PCT_YTD</t>
        </is>
      </c>
      <c r="E979" t="inlineStr">
        <is>
          <t>YTD price change %</t>
        </is>
      </c>
      <c r="F979" s="53">
        <f>_xll.BDP("MSCI US Equity","CHG_PCT_YTD")</f>
        <v/>
      </c>
    </row>
    <row r="980">
      <c r="A980" t="inlineStr">
        <is>
          <t>MSCI</t>
        </is>
      </c>
      <c r="B980" t="inlineStr">
        <is>
          <t>MSCI US Equity</t>
        </is>
      </c>
      <c r="C980" t="inlineStr">
        <is>
          <t>NET_DEBT_TO_EBITDA</t>
        </is>
      </c>
      <c r="E980" t="inlineStr">
        <is>
          <t>Net debt / EBITDA</t>
        </is>
      </c>
      <c r="F980" s="53">
        <f>_xll.BDP("MSCI US Equity","NET_DEBT_TO_EBITDA")</f>
        <v/>
      </c>
    </row>
    <row r="981">
      <c r="A981" t="inlineStr">
        <is>
          <t>MSCI</t>
        </is>
      </c>
      <c r="B981" t="inlineStr">
        <is>
          <t>MSCI US Equity</t>
        </is>
      </c>
      <c r="C981" t="inlineStr">
        <is>
          <t>RETURN_ON_INV_CAPITAL</t>
        </is>
      </c>
      <c r="E981" t="inlineStr">
        <is>
          <t>ROIC (LTM)</t>
        </is>
      </c>
      <c r="F981" s="53">
        <f>_xll.BDP("MSCI US Equity","RETURN_ON_INV_CAPITAL")</f>
        <v/>
      </c>
    </row>
    <row r="982">
      <c r="A982" t="inlineStr">
        <is>
          <t>MSCI</t>
        </is>
      </c>
      <c r="B982" t="inlineStr">
        <is>
          <t>MSCI US Equity</t>
        </is>
      </c>
      <c r="C982" t="inlineStr">
        <is>
          <t>TRAIL_12M_OPER_INC</t>
        </is>
      </c>
      <c r="E982" t="inlineStr">
        <is>
          <t>LTM operating income</t>
        </is>
      </c>
      <c r="F982" s="53">
        <f>_xll.BDP("MSCI US Equity","TRAIL_12M_OPER_INC")</f>
        <v/>
      </c>
    </row>
    <row r="983">
      <c r="A983" t="inlineStr">
        <is>
          <t>MSCI</t>
        </is>
      </c>
      <c r="B983" t="inlineStr">
        <is>
          <t>MSCI US Equity</t>
        </is>
      </c>
      <c r="C983" t="inlineStr">
        <is>
          <t>TRAIL_12M_EBITDA</t>
        </is>
      </c>
      <c r="E983" t="inlineStr">
        <is>
          <t>LTM EBITDA</t>
        </is>
      </c>
      <c r="F983" s="53">
        <f>_xll.BDP("MSCI US Equity","TRAIL_12M_EBITDA")</f>
        <v/>
      </c>
    </row>
    <row r="984">
      <c r="A984" t="inlineStr">
        <is>
          <t>MSCI</t>
        </is>
      </c>
      <c r="B984" t="inlineStr">
        <is>
          <t>MSCI US Equity</t>
        </is>
      </c>
      <c r="C984" t="inlineStr">
        <is>
          <t>SHORT_AND_LONG_TERM_DEBT</t>
        </is>
      </c>
      <c r="E984" t="inlineStr">
        <is>
          <t>Total debt</t>
        </is>
      </c>
      <c r="F984" s="53">
        <f>_xll.BDP("MSCI US Equity","SHORT_AND_LONG_TERM_DEBT")</f>
        <v/>
      </c>
    </row>
    <row r="985">
      <c r="A985" t="inlineStr">
        <is>
          <t>MSCI</t>
        </is>
      </c>
      <c r="B985" t="inlineStr">
        <is>
          <t>MSCI US Equity</t>
        </is>
      </c>
      <c r="C985" t="inlineStr">
        <is>
          <t>TOTAL_EQUITY</t>
        </is>
      </c>
      <c r="E985" t="inlineStr">
        <is>
          <t>Total equity</t>
        </is>
      </c>
      <c r="F985" s="53">
        <f>_xll.BDP("MSCI US Equity","TOTAL_EQUITY")</f>
        <v/>
      </c>
    </row>
    <row r="986">
      <c r="A986" t="inlineStr">
        <is>
          <t>MSCI</t>
        </is>
      </c>
      <c r="B986" t="inlineStr">
        <is>
          <t>MSCI US Equity</t>
        </is>
      </c>
      <c r="C986" t="inlineStr">
        <is>
          <t>BS_CASH_NEAR_CASH_ITEM</t>
        </is>
      </c>
      <c r="E986" t="inlineStr">
        <is>
          <t>Cash &amp; equivalents</t>
        </is>
      </c>
      <c r="F986" s="53">
        <f>_xll.BDP("MSCI US Equity","BS_CASH_NEAR_CASH_ITEM")</f>
        <v/>
      </c>
    </row>
    <row r="987">
      <c r="A987" t="inlineStr">
        <is>
          <t>MSCI</t>
        </is>
      </c>
      <c r="B987" t="inlineStr">
        <is>
          <t>MSCI US Equity</t>
        </is>
      </c>
      <c r="C987" t="inlineStr">
        <is>
          <t>BEST_EPS</t>
        </is>
      </c>
      <c r="D987" t="inlineStr">
        <is>
          <t>24Y</t>
        </is>
      </c>
      <c r="E987" t="inlineStr">
        <is>
          <t>EPS estimate FY2024</t>
        </is>
      </c>
      <c r="F987" s="53">
        <f>_xll.BDP("MSCI US Equity","BEST_EPS","BEST_FPERIOD_OVERRIDE","24Y")</f>
        <v/>
      </c>
    </row>
    <row r="988">
      <c r="A988" t="inlineStr">
        <is>
          <t>MSCI</t>
        </is>
      </c>
      <c r="B988" t="inlineStr">
        <is>
          <t>MSCI US Equity</t>
        </is>
      </c>
      <c r="C988" t="inlineStr">
        <is>
          <t>BEST_SALES</t>
        </is>
      </c>
      <c r="D988" t="inlineStr">
        <is>
          <t>24Y</t>
        </is>
      </c>
      <c r="E988" t="inlineStr">
        <is>
          <t>Revenue estimate FY2024</t>
        </is>
      </c>
      <c r="F988" s="53">
        <f>_xll.BDP("MSCI US Equity","BEST_SALES","BEST_FPERIOD_OVERRIDE","24Y")</f>
        <v/>
      </c>
    </row>
    <row r="989">
      <c r="A989" t="inlineStr">
        <is>
          <t>MSCI</t>
        </is>
      </c>
      <c r="B989" t="inlineStr">
        <is>
          <t>MSCI US Equity</t>
        </is>
      </c>
      <c r="C989" t="inlineStr">
        <is>
          <t>BEST_EBIT</t>
        </is>
      </c>
      <c r="D989" t="inlineStr">
        <is>
          <t>24Y</t>
        </is>
      </c>
      <c r="E989" t="inlineStr">
        <is>
          <t>EBIT estimate FY2024</t>
        </is>
      </c>
      <c r="F989" s="53">
        <f>_xll.BDP("MSCI US Equity","BEST_EBIT","BEST_FPERIOD_OVERRIDE","24Y")</f>
        <v/>
      </c>
    </row>
    <row r="990">
      <c r="A990" t="inlineStr">
        <is>
          <t>MSCI</t>
        </is>
      </c>
      <c r="B990" t="inlineStr">
        <is>
          <t>MSCI US Equity</t>
        </is>
      </c>
      <c r="C990" t="inlineStr">
        <is>
          <t>BEST_EPS</t>
        </is>
      </c>
      <c r="D990" t="inlineStr">
        <is>
          <t>25Y</t>
        </is>
      </c>
      <c r="E990" t="inlineStr">
        <is>
          <t>EPS estimate FY2025</t>
        </is>
      </c>
      <c r="F990" s="53">
        <f>_xll.BDP("MSCI US Equity","BEST_EPS","BEST_FPERIOD_OVERRIDE","25Y")</f>
        <v/>
      </c>
    </row>
    <row r="991">
      <c r="A991" t="inlineStr">
        <is>
          <t>MSCI</t>
        </is>
      </c>
      <c r="B991" t="inlineStr">
        <is>
          <t>MSCI US Equity</t>
        </is>
      </c>
      <c r="C991" t="inlineStr">
        <is>
          <t>BEST_SALES</t>
        </is>
      </c>
      <c r="D991" t="inlineStr">
        <is>
          <t>25Y</t>
        </is>
      </c>
      <c r="E991" t="inlineStr">
        <is>
          <t>Revenue estimate FY2025</t>
        </is>
      </c>
      <c r="F991" s="53">
        <f>_xll.BDP("MSCI US Equity","BEST_SALES","BEST_FPERIOD_OVERRIDE","25Y")</f>
        <v/>
      </c>
    </row>
    <row r="992">
      <c r="A992" t="inlineStr">
        <is>
          <t>MSCI</t>
        </is>
      </c>
      <c r="B992" t="inlineStr">
        <is>
          <t>MSCI US Equity</t>
        </is>
      </c>
      <c r="C992" t="inlineStr">
        <is>
          <t>BEST_EBIT</t>
        </is>
      </c>
      <c r="D992" t="inlineStr">
        <is>
          <t>25Y</t>
        </is>
      </c>
      <c r="E992" t="inlineStr">
        <is>
          <t>EBIT estimate FY2025</t>
        </is>
      </c>
      <c r="F992" s="53">
        <f>_xll.BDP("MSCI US Equity","BEST_EBIT","BEST_FPERIOD_OVERRIDE","25Y")</f>
        <v/>
      </c>
    </row>
    <row r="993">
      <c r="A993" t="inlineStr">
        <is>
          <t>MSCI</t>
        </is>
      </c>
      <c r="B993" t="inlineStr">
        <is>
          <t>MSCI US Equity</t>
        </is>
      </c>
      <c r="C993" t="inlineStr">
        <is>
          <t>BEST_EPS</t>
        </is>
      </c>
      <c r="D993" t="inlineStr">
        <is>
          <t>26Y</t>
        </is>
      </c>
      <c r="E993" t="inlineStr">
        <is>
          <t>EPS estimate FY2026</t>
        </is>
      </c>
      <c r="F993" s="53">
        <f>_xll.BDP("MSCI US Equity","BEST_EPS","BEST_FPERIOD_OVERRIDE","26Y")</f>
        <v/>
      </c>
    </row>
    <row r="994">
      <c r="A994" t="inlineStr">
        <is>
          <t>MSCI</t>
        </is>
      </c>
      <c r="B994" t="inlineStr">
        <is>
          <t>MSCI US Equity</t>
        </is>
      </c>
      <c r="C994" t="inlineStr">
        <is>
          <t>BEST_SALES</t>
        </is>
      </c>
      <c r="D994" t="inlineStr">
        <is>
          <t>26Y</t>
        </is>
      </c>
      <c r="E994" t="inlineStr">
        <is>
          <t>Revenue estimate FY2026</t>
        </is>
      </c>
      <c r="F994" s="53">
        <f>_xll.BDP("MSCI US Equity","BEST_SALES","BEST_FPERIOD_OVERRIDE","26Y")</f>
        <v/>
      </c>
    </row>
    <row r="995">
      <c r="A995" t="inlineStr">
        <is>
          <t>MSCI</t>
        </is>
      </c>
      <c r="B995" t="inlineStr">
        <is>
          <t>MSCI US Equity</t>
        </is>
      </c>
      <c r="C995" t="inlineStr">
        <is>
          <t>BEST_EBIT</t>
        </is>
      </c>
      <c r="D995" t="inlineStr">
        <is>
          <t>26Y</t>
        </is>
      </c>
      <c r="E995" t="inlineStr">
        <is>
          <t>EBIT estimate FY2026</t>
        </is>
      </c>
      <c r="F995" s="53">
        <f>_xll.BDP("MSCI US Equity","BEST_EBIT","BEST_FPERIOD_OVERRIDE","26Y")</f>
        <v/>
      </c>
    </row>
    <row r="996">
      <c r="A996" t="inlineStr">
        <is>
          <t>MSCI</t>
        </is>
      </c>
      <c r="B996" t="inlineStr">
        <is>
          <t>MSCI US Equity</t>
        </is>
      </c>
      <c r="C996" t="inlineStr">
        <is>
          <t>BEST_EPS</t>
        </is>
      </c>
      <c r="D996" t="inlineStr">
        <is>
          <t>27Y</t>
        </is>
      </c>
      <c r="E996" t="inlineStr">
        <is>
          <t>EPS estimate FY2027</t>
        </is>
      </c>
      <c r="F996" s="53">
        <f>_xll.BDP("MSCI US Equity","BEST_EPS","BEST_FPERIOD_OVERRIDE","27Y")</f>
        <v/>
      </c>
    </row>
    <row r="997">
      <c r="A997" t="inlineStr">
        <is>
          <t>MSCI</t>
        </is>
      </c>
      <c r="B997" t="inlineStr">
        <is>
          <t>MSCI US Equity</t>
        </is>
      </c>
      <c r="C997" t="inlineStr">
        <is>
          <t>BEST_SALES</t>
        </is>
      </c>
      <c r="D997" t="inlineStr">
        <is>
          <t>27Y</t>
        </is>
      </c>
      <c r="E997" t="inlineStr">
        <is>
          <t>Revenue estimate FY2027</t>
        </is>
      </c>
      <c r="F997" s="53">
        <f>_xll.BDP("MSCI US Equity","BEST_SALES","BEST_FPERIOD_OVERRIDE","27Y")</f>
        <v/>
      </c>
    </row>
    <row r="998">
      <c r="A998" t="inlineStr">
        <is>
          <t>MSCI</t>
        </is>
      </c>
      <c r="B998" t="inlineStr">
        <is>
          <t>MSCI US Equity</t>
        </is>
      </c>
      <c r="C998" t="inlineStr">
        <is>
          <t>BEST_EBIT</t>
        </is>
      </c>
      <c r="D998" t="inlineStr">
        <is>
          <t>27Y</t>
        </is>
      </c>
      <c r="E998" t="inlineStr">
        <is>
          <t>EBIT estimate FY2027</t>
        </is>
      </c>
      <c r="F998" s="53">
        <f>_xll.BDP("MSCI US Equity","BEST_EBIT","BEST_FPERIOD_OVERRIDE","27Y")</f>
        <v/>
      </c>
    </row>
    <row r="999">
      <c r="A999" t="inlineStr">
        <is>
          <t>MSCI</t>
        </is>
      </c>
      <c r="B999" t="inlineStr">
        <is>
          <t>MSCI US Equity</t>
        </is>
      </c>
      <c r="C999" t="inlineStr">
        <is>
          <t>BEST_EPS</t>
        </is>
      </c>
      <c r="D999" t="inlineStr">
        <is>
          <t>28Y</t>
        </is>
      </c>
      <c r="E999" t="inlineStr">
        <is>
          <t>EPS estimate FY2028</t>
        </is>
      </c>
      <c r="F999" s="53">
        <f>_xll.BDP("MSCI US Equity","BEST_EPS","BEST_FPERIOD_OVERRIDE","28Y")</f>
        <v/>
      </c>
    </row>
    <row r="1000">
      <c r="A1000" t="inlineStr">
        <is>
          <t>MSCI</t>
        </is>
      </c>
      <c r="B1000" t="inlineStr">
        <is>
          <t>MSCI US Equity</t>
        </is>
      </c>
      <c r="C1000" t="inlineStr">
        <is>
          <t>BEST_SALES</t>
        </is>
      </c>
      <c r="D1000" t="inlineStr">
        <is>
          <t>28Y</t>
        </is>
      </c>
      <c r="E1000" t="inlineStr">
        <is>
          <t>Revenue estimate FY2028</t>
        </is>
      </c>
      <c r="F1000" s="53">
        <f>_xll.BDP("MSCI US Equity","BEST_SALES","BEST_FPERIOD_OVERRIDE","28Y")</f>
        <v/>
      </c>
    </row>
    <row r="1001">
      <c r="A1001" t="inlineStr">
        <is>
          <t>MSCI</t>
        </is>
      </c>
      <c r="B1001" t="inlineStr">
        <is>
          <t>MSCI US Equity</t>
        </is>
      </c>
      <c r="C1001" t="inlineStr">
        <is>
          <t>BEST_EBIT</t>
        </is>
      </c>
      <c r="D1001" t="inlineStr">
        <is>
          <t>28Y</t>
        </is>
      </c>
      <c r="E1001" t="inlineStr">
        <is>
          <t>EBIT estimate FY2028</t>
        </is>
      </c>
      <c r="F1001" s="53">
        <f>_xll.BDP("MSCI US Equity","BEST_EBIT","BEST_FPERIOD_OVERRIDE","28Y")</f>
        <v/>
      </c>
    </row>
    <row r="1002">
      <c r="A1002" t="inlineStr">
        <is>
          <t>FICO</t>
        </is>
      </c>
      <c r="B1002" t="inlineStr">
        <is>
          <t>FICO US Equity</t>
        </is>
      </c>
      <c r="C1002" t="inlineStr">
        <is>
          <t>PX_LAST</t>
        </is>
      </c>
      <c r="E1002" t="inlineStr">
        <is>
          <t>Last price</t>
        </is>
      </c>
      <c r="F1002" s="53">
        <f>_xll.BDP("FICO US Equity","PX_LAST")</f>
        <v/>
      </c>
    </row>
    <row r="1003">
      <c r="A1003" t="inlineStr">
        <is>
          <t>FICO</t>
        </is>
      </c>
      <c r="B1003" t="inlineStr">
        <is>
          <t>FICO US Equity</t>
        </is>
      </c>
      <c r="C1003" t="inlineStr">
        <is>
          <t>CUR_MKT_CAP</t>
        </is>
      </c>
      <c r="E1003" t="inlineStr">
        <is>
          <t>Market cap (raw)</t>
        </is>
      </c>
      <c r="F1003" s="53">
        <f>_xll.BDP("FICO US Equity","CUR_MKT_CAP")</f>
        <v/>
      </c>
    </row>
    <row r="1004">
      <c r="A1004" t="inlineStr">
        <is>
          <t>FICO</t>
        </is>
      </c>
      <c r="B1004" t="inlineStr">
        <is>
          <t>FICO US Equity</t>
        </is>
      </c>
      <c r="C1004" t="inlineStr">
        <is>
          <t>CHG_PCT_YTD</t>
        </is>
      </c>
      <c r="E1004" t="inlineStr">
        <is>
          <t>YTD price change %</t>
        </is>
      </c>
      <c r="F1004" s="53">
        <f>_xll.BDP("FICO US Equity","CHG_PCT_YTD")</f>
        <v/>
      </c>
    </row>
    <row r="1005">
      <c r="A1005" t="inlineStr">
        <is>
          <t>FICO</t>
        </is>
      </c>
      <c r="B1005" t="inlineStr">
        <is>
          <t>FICO US Equity</t>
        </is>
      </c>
      <c r="C1005" t="inlineStr">
        <is>
          <t>NET_DEBT_TO_EBITDA</t>
        </is>
      </c>
      <c r="E1005" t="inlineStr">
        <is>
          <t>Net debt / EBITDA</t>
        </is>
      </c>
      <c r="F1005" s="53">
        <f>_xll.BDP("FICO US Equity","NET_DEBT_TO_EBITDA")</f>
        <v/>
      </c>
    </row>
    <row r="1006">
      <c r="A1006" t="inlineStr">
        <is>
          <t>FICO</t>
        </is>
      </c>
      <c r="B1006" t="inlineStr">
        <is>
          <t>FICO US Equity</t>
        </is>
      </c>
      <c r="C1006" t="inlineStr">
        <is>
          <t>RETURN_ON_INV_CAPITAL</t>
        </is>
      </c>
      <c r="E1006" t="inlineStr">
        <is>
          <t>ROIC (LTM)</t>
        </is>
      </c>
      <c r="F1006" s="53">
        <f>_xll.BDP("FICO US Equity","RETURN_ON_INV_CAPITAL")</f>
        <v/>
      </c>
    </row>
    <row r="1007">
      <c r="A1007" t="inlineStr">
        <is>
          <t>FICO</t>
        </is>
      </c>
      <c r="B1007" t="inlineStr">
        <is>
          <t>FICO US Equity</t>
        </is>
      </c>
      <c r="C1007" t="inlineStr">
        <is>
          <t>TRAIL_12M_OPER_INC</t>
        </is>
      </c>
      <c r="E1007" t="inlineStr">
        <is>
          <t>LTM operating income</t>
        </is>
      </c>
      <c r="F1007" s="53">
        <f>_xll.BDP("FICO US Equity","TRAIL_12M_OPER_INC")</f>
        <v/>
      </c>
    </row>
    <row r="1008">
      <c r="A1008" t="inlineStr">
        <is>
          <t>FICO</t>
        </is>
      </c>
      <c r="B1008" t="inlineStr">
        <is>
          <t>FICO US Equity</t>
        </is>
      </c>
      <c r="C1008" t="inlineStr">
        <is>
          <t>TRAIL_12M_EBITDA</t>
        </is>
      </c>
      <c r="E1008" t="inlineStr">
        <is>
          <t>LTM EBITDA</t>
        </is>
      </c>
      <c r="F1008" s="53">
        <f>_xll.BDP("FICO US Equity","TRAIL_12M_EBITDA")</f>
        <v/>
      </c>
    </row>
    <row r="1009">
      <c r="A1009" t="inlineStr">
        <is>
          <t>FICO</t>
        </is>
      </c>
      <c r="B1009" t="inlineStr">
        <is>
          <t>FICO US Equity</t>
        </is>
      </c>
      <c r="C1009" t="inlineStr">
        <is>
          <t>SHORT_AND_LONG_TERM_DEBT</t>
        </is>
      </c>
      <c r="E1009" t="inlineStr">
        <is>
          <t>Total debt</t>
        </is>
      </c>
      <c r="F1009" s="53">
        <f>_xll.BDP("FICO US Equity","SHORT_AND_LONG_TERM_DEBT")</f>
        <v/>
      </c>
    </row>
    <row r="1010">
      <c r="A1010" t="inlineStr">
        <is>
          <t>FICO</t>
        </is>
      </c>
      <c r="B1010" t="inlineStr">
        <is>
          <t>FICO US Equity</t>
        </is>
      </c>
      <c r="C1010" t="inlineStr">
        <is>
          <t>TOTAL_EQUITY</t>
        </is>
      </c>
      <c r="E1010" t="inlineStr">
        <is>
          <t>Total equity</t>
        </is>
      </c>
      <c r="F1010" s="53">
        <f>_xll.BDP("FICO US Equity","TOTAL_EQUITY")</f>
        <v/>
      </c>
    </row>
    <row r="1011">
      <c r="A1011" t="inlineStr">
        <is>
          <t>FICO</t>
        </is>
      </c>
      <c r="B1011" t="inlineStr">
        <is>
          <t>FICO US Equity</t>
        </is>
      </c>
      <c r="C1011" t="inlineStr">
        <is>
          <t>BS_CASH_NEAR_CASH_ITEM</t>
        </is>
      </c>
      <c r="E1011" t="inlineStr">
        <is>
          <t>Cash &amp; equivalents</t>
        </is>
      </c>
      <c r="F1011" s="53">
        <f>_xll.BDP("FICO US Equity","BS_CASH_NEAR_CASH_ITEM")</f>
        <v/>
      </c>
    </row>
    <row r="1012">
      <c r="A1012" t="inlineStr">
        <is>
          <t>FICO</t>
        </is>
      </c>
      <c r="B1012" t="inlineStr">
        <is>
          <t>FICO US Equity</t>
        </is>
      </c>
      <c r="C1012" t="inlineStr">
        <is>
          <t>BEST_EPS</t>
        </is>
      </c>
      <c r="D1012" t="inlineStr">
        <is>
          <t>24Y</t>
        </is>
      </c>
      <c r="E1012" t="inlineStr">
        <is>
          <t>EPS estimate FY2024</t>
        </is>
      </c>
      <c r="F1012" s="53">
        <f>_xll.BDP("FICO US Equity","BEST_EPS","BEST_FPERIOD_OVERRIDE","24Y")</f>
        <v/>
      </c>
    </row>
    <row r="1013">
      <c r="A1013" t="inlineStr">
        <is>
          <t>FICO</t>
        </is>
      </c>
      <c r="B1013" t="inlineStr">
        <is>
          <t>FICO US Equity</t>
        </is>
      </c>
      <c r="C1013" t="inlineStr">
        <is>
          <t>BEST_SALES</t>
        </is>
      </c>
      <c r="D1013" t="inlineStr">
        <is>
          <t>24Y</t>
        </is>
      </c>
      <c r="E1013" t="inlineStr">
        <is>
          <t>Revenue estimate FY2024</t>
        </is>
      </c>
      <c r="F1013" s="53">
        <f>_xll.BDP("FICO US Equity","BEST_SALES","BEST_FPERIOD_OVERRIDE","24Y")</f>
        <v/>
      </c>
    </row>
    <row r="1014">
      <c r="A1014" t="inlineStr">
        <is>
          <t>FICO</t>
        </is>
      </c>
      <c r="B1014" t="inlineStr">
        <is>
          <t>FICO US Equity</t>
        </is>
      </c>
      <c r="C1014" t="inlineStr">
        <is>
          <t>BEST_EBIT</t>
        </is>
      </c>
      <c r="D1014" t="inlineStr">
        <is>
          <t>24Y</t>
        </is>
      </c>
      <c r="E1014" t="inlineStr">
        <is>
          <t>EBIT estimate FY2024</t>
        </is>
      </c>
      <c r="F1014" s="53">
        <f>_xll.BDP("FICO US Equity","BEST_EBIT","BEST_FPERIOD_OVERRIDE","24Y")</f>
        <v/>
      </c>
    </row>
    <row r="1015">
      <c r="A1015" t="inlineStr">
        <is>
          <t>FICO</t>
        </is>
      </c>
      <c r="B1015" t="inlineStr">
        <is>
          <t>FICO US Equity</t>
        </is>
      </c>
      <c r="C1015" t="inlineStr">
        <is>
          <t>BEST_EPS</t>
        </is>
      </c>
      <c r="D1015" t="inlineStr">
        <is>
          <t>25Y</t>
        </is>
      </c>
      <c r="E1015" t="inlineStr">
        <is>
          <t>EPS estimate FY2025</t>
        </is>
      </c>
      <c r="F1015" s="53">
        <f>_xll.BDP("FICO US Equity","BEST_EPS","BEST_FPERIOD_OVERRIDE","25Y")</f>
        <v/>
      </c>
    </row>
    <row r="1016">
      <c r="A1016" t="inlineStr">
        <is>
          <t>FICO</t>
        </is>
      </c>
      <c r="B1016" t="inlineStr">
        <is>
          <t>FICO US Equity</t>
        </is>
      </c>
      <c r="C1016" t="inlineStr">
        <is>
          <t>BEST_SALES</t>
        </is>
      </c>
      <c r="D1016" t="inlineStr">
        <is>
          <t>25Y</t>
        </is>
      </c>
      <c r="E1016" t="inlineStr">
        <is>
          <t>Revenue estimate FY2025</t>
        </is>
      </c>
      <c r="F1016" s="53">
        <f>_xll.BDP("FICO US Equity","BEST_SALES","BEST_FPERIOD_OVERRIDE","25Y")</f>
        <v/>
      </c>
    </row>
    <row r="1017">
      <c r="A1017" t="inlineStr">
        <is>
          <t>FICO</t>
        </is>
      </c>
      <c r="B1017" t="inlineStr">
        <is>
          <t>FICO US Equity</t>
        </is>
      </c>
      <c r="C1017" t="inlineStr">
        <is>
          <t>BEST_EBIT</t>
        </is>
      </c>
      <c r="D1017" t="inlineStr">
        <is>
          <t>25Y</t>
        </is>
      </c>
      <c r="E1017" t="inlineStr">
        <is>
          <t>EBIT estimate FY2025</t>
        </is>
      </c>
      <c r="F1017" s="53">
        <f>_xll.BDP("FICO US Equity","BEST_EBIT","BEST_FPERIOD_OVERRIDE","25Y")</f>
        <v/>
      </c>
    </row>
    <row r="1018">
      <c r="A1018" t="inlineStr">
        <is>
          <t>FICO</t>
        </is>
      </c>
      <c r="B1018" t="inlineStr">
        <is>
          <t>FICO US Equity</t>
        </is>
      </c>
      <c r="C1018" t="inlineStr">
        <is>
          <t>BEST_EPS</t>
        </is>
      </c>
      <c r="D1018" t="inlineStr">
        <is>
          <t>26Y</t>
        </is>
      </c>
      <c r="E1018" t="inlineStr">
        <is>
          <t>EPS estimate FY2026</t>
        </is>
      </c>
      <c r="F1018" s="53">
        <f>_xll.BDP("FICO US Equity","BEST_EPS","BEST_FPERIOD_OVERRIDE","26Y")</f>
        <v/>
      </c>
    </row>
    <row r="1019">
      <c r="A1019" t="inlineStr">
        <is>
          <t>FICO</t>
        </is>
      </c>
      <c r="B1019" t="inlineStr">
        <is>
          <t>FICO US Equity</t>
        </is>
      </c>
      <c r="C1019" t="inlineStr">
        <is>
          <t>BEST_SALES</t>
        </is>
      </c>
      <c r="D1019" t="inlineStr">
        <is>
          <t>26Y</t>
        </is>
      </c>
      <c r="E1019" t="inlineStr">
        <is>
          <t>Revenue estimate FY2026</t>
        </is>
      </c>
      <c r="F1019" s="53">
        <f>_xll.BDP("FICO US Equity","BEST_SALES","BEST_FPERIOD_OVERRIDE","26Y")</f>
        <v/>
      </c>
    </row>
    <row r="1020">
      <c r="A1020" t="inlineStr">
        <is>
          <t>FICO</t>
        </is>
      </c>
      <c r="B1020" t="inlineStr">
        <is>
          <t>FICO US Equity</t>
        </is>
      </c>
      <c r="C1020" t="inlineStr">
        <is>
          <t>BEST_EBIT</t>
        </is>
      </c>
      <c r="D1020" t="inlineStr">
        <is>
          <t>26Y</t>
        </is>
      </c>
      <c r="E1020" t="inlineStr">
        <is>
          <t>EBIT estimate FY2026</t>
        </is>
      </c>
      <c r="F1020" s="53">
        <f>_xll.BDP("FICO US Equity","BEST_EBIT","BEST_FPERIOD_OVERRIDE","26Y")</f>
        <v/>
      </c>
    </row>
    <row r="1021">
      <c r="A1021" t="inlineStr">
        <is>
          <t>FICO</t>
        </is>
      </c>
      <c r="B1021" t="inlineStr">
        <is>
          <t>FICO US Equity</t>
        </is>
      </c>
      <c r="C1021" t="inlineStr">
        <is>
          <t>BEST_EPS</t>
        </is>
      </c>
      <c r="D1021" t="inlineStr">
        <is>
          <t>27Y</t>
        </is>
      </c>
      <c r="E1021" t="inlineStr">
        <is>
          <t>EPS estimate FY2027</t>
        </is>
      </c>
      <c r="F1021" s="53">
        <f>_xll.BDP("FICO US Equity","BEST_EPS","BEST_FPERIOD_OVERRIDE","27Y")</f>
        <v/>
      </c>
    </row>
    <row r="1022">
      <c r="A1022" t="inlineStr">
        <is>
          <t>FICO</t>
        </is>
      </c>
      <c r="B1022" t="inlineStr">
        <is>
          <t>FICO US Equity</t>
        </is>
      </c>
      <c r="C1022" t="inlineStr">
        <is>
          <t>BEST_SALES</t>
        </is>
      </c>
      <c r="D1022" t="inlineStr">
        <is>
          <t>27Y</t>
        </is>
      </c>
      <c r="E1022" t="inlineStr">
        <is>
          <t>Revenue estimate FY2027</t>
        </is>
      </c>
      <c r="F1022" s="53">
        <f>_xll.BDP("FICO US Equity","BEST_SALES","BEST_FPERIOD_OVERRIDE","27Y")</f>
        <v/>
      </c>
    </row>
    <row r="1023">
      <c r="A1023" t="inlineStr">
        <is>
          <t>FICO</t>
        </is>
      </c>
      <c r="B1023" t="inlineStr">
        <is>
          <t>FICO US Equity</t>
        </is>
      </c>
      <c r="C1023" t="inlineStr">
        <is>
          <t>BEST_EBIT</t>
        </is>
      </c>
      <c r="D1023" t="inlineStr">
        <is>
          <t>27Y</t>
        </is>
      </c>
      <c r="E1023" t="inlineStr">
        <is>
          <t>EBIT estimate FY2027</t>
        </is>
      </c>
      <c r="F1023" s="53">
        <f>_xll.BDP("FICO US Equity","BEST_EBIT","BEST_FPERIOD_OVERRIDE","27Y")</f>
        <v/>
      </c>
    </row>
    <row r="1024">
      <c r="A1024" t="inlineStr">
        <is>
          <t>FICO</t>
        </is>
      </c>
      <c r="B1024" t="inlineStr">
        <is>
          <t>FICO US Equity</t>
        </is>
      </c>
      <c r="C1024" t="inlineStr">
        <is>
          <t>BEST_EPS</t>
        </is>
      </c>
      <c r="D1024" t="inlineStr">
        <is>
          <t>28Y</t>
        </is>
      </c>
      <c r="E1024" t="inlineStr">
        <is>
          <t>EPS estimate FY2028</t>
        </is>
      </c>
      <c r="F1024" s="53">
        <f>_xll.BDP("FICO US Equity","BEST_EPS","BEST_FPERIOD_OVERRIDE","28Y")</f>
        <v/>
      </c>
    </row>
    <row r="1025">
      <c r="A1025" t="inlineStr">
        <is>
          <t>FICO</t>
        </is>
      </c>
      <c r="B1025" t="inlineStr">
        <is>
          <t>FICO US Equity</t>
        </is>
      </c>
      <c r="C1025" t="inlineStr">
        <is>
          <t>BEST_SALES</t>
        </is>
      </c>
      <c r="D1025" t="inlineStr">
        <is>
          <t>28Y</t>
        </is>
      </c>
      <c r="E1025" t="inlineStr">
        <is>
          <t>Revenue estimate FY2028</t>
        </is>
      </c>
      <c r="F1025" s="53">
        <f>_xll.BDP("FICO US Equity","BEST_SALES","BEST_FPERIOD_OVERRIDE","28Y")</f>
        <v/>
      </c>
    </row>
    <row r="1026">
      <c r="A1026" t="inlineStr">
        <is>
          <t>FICO</t>
        </is>
      </c>
      <c r="B1026" t="inlineStr">
        <is>
          <t>FICO US Equity</t>
        </is>
      </c>
      <c r="C1026" t="inlineStr">
        <is>
          <t>BEST_EBIT</t>
        </is>
      </c>
      <c r="D1026" t="inlineStr">
        <is>
          <t>28Y</t>
        </is>
      </c>
      <c r="E1026" t="inlineStr">
        <is>
          <t>EBIT estimate FY2028</t>
        </is>
      </c>
      <c r="F1026" s="53">
        <f>_xll.BDP("FICO US Equity","BEST_EBIT","BEST_FPERIOD_OVERRIDE","28Y")</f>
        <v/>
      </c>
    </row>
    <row r="1027">
      <c r="A1027" t="inlineStr">
        <is>
          <t>PGR</t>
        </is>
      </c>
      <c r="B1027" t="inlineStr">
        <is>
          <t>PGR US Equity</t>
        </is>
      </c>
      <c r="C1027" t="inlineStr">
        <is>
          <t>PX_LAST</t>
        </is>
      </c>
      <c r="E1027" t="inlineStr">
        <is>
          <t>Last price</t>
        </is>
      </c>
      <c r="F1027" s="53">
        <f>_xll.BDP("PGR US Equity","PX_LAST")</f>
        <v/>
      </c>
    </row>
    <row r="1028">
      <c r="A1028" t="inlineStr">
        <is>
          <t>PGR</t>
        </is>
      </c>
      <c r="B1028" t="inlineStr">
        <is>
          <t>PGR US Equity</t>
        </is>
      </c>
      <c r="C1028" t="inlineStr">
        <is>
          <t>CUR_MKT_CAP</t>
        </is>
      </c>
      <c r="E1028" t="inlineStr">
        <is>
          <t>Market cap (raw)</t>
        </is>
      </c>
      <c r="F1028" s="53">
        <f>_xll.BDP("PGR US Equity","CUR_MKT_CAP")</f>
        <v/>
      </c>
    </row>
    <row r="1029">
      <c r="A1029" t="inlineStr">
        <is>
          <t>PGR</t>
        </is>
      </c>
      <c r="B1029" t="inlineStr">
        <is>
          <t>PGR US Equity</t>
        </is>
      </c>
      <c r="C1029" t="inlineStr">
        <is>
          <t>CHG_PCT_YTD</t>
        </is>
      </c>
      <c r="E1029" t="inlineStr">
        <is>
          <t>YTD price change %</t>
        </is>
      </c>
      <c r="F1029" s="53">
        <f>_xll.BDP("PGR US Equity","CHG_PCT_YTD")</f>
        <v/>
      </c>
    </row>
    <row r="1030">
      <c r="A1030" t="inlineStr">
        <is>
          <t>PGR</t>
        </is>
      </c>
      <c r="B1030" t="inlineStr">
        <is>
          <t>PGR US Equity</t>
        </is>
      </c>
      <c r="C1030" t="inlineStr">
        <is>
          <t>NET_DEBT_TO_EBITDA</t>
        </is>
      </c>
      <c r="E1030" t="inlineStr">
        <is>
          <t>Net debt / EBITDA</t>
        </is>
      </c>
      <c r="F1030" s="53">
        <f>_xll.BDP("PGR US Equity","NET_DEBT_TO_EBITDA")</f>
        <v/>
      </c>
    </row>
    <row r="1031">
      <c r="A1031" t="inlineStr">
        <is>
          <t>PGR</t>
        </is>
      </c>
      <c r="B1031" t="inlineStr">
        <is>
          <t>PGR US Equity</t>
        </is>
      </c>
      <c r="C1031" t="inlineStr">
        <is>
          <t>RETURN_ON_INV_CAPITAL</t>
        </is>
      </c>
      <c r="E1031" t="inlineStr">
        <is>
          <t>ROIC (LTM)</t>
        </is>
      </c>
      <c r="F1031" s="53">
        <f>_xll.BDP("PGR US Equity","RETURN_ON_INV_CAPITAL")</f>
        <v/>
      </c>
    </row>
    <row r="1032">
      <c r="A1032" t="inlineStr">
        <is>
          <t>PGR</t>
        </is>
      </c>
      <c r="B1032" t="inlineStr">
        <is>
          <t>PGR US Equity</t>
        </is>
      </c>
      <c r="C1032" t="inlineStr">
        <is>
          <t>TRAIL_12M_OPER_INC</t>
        </is>
      </c>
      <c r="E1032" t="inlineStr">
        <is>
          <t>LTM operating income</t>
        </is>
      </c>
      <c r="F1032" s="53">
        <f>_xll.BDP("PGR US Equity","TRAIL_12M_OPER_INC")</f>
        <v/>
      </c>
    </row>
    <row r="1033">
      <c r="A1033" t="inlineStr">
        <is>
          <t>PGR</t>
        </is>
      </c>
      <c r="B1033" t="inlineStr">
        <is>
          <t>PGR US Equity</t>
        </is>
      </c>
      <c r="C1033" t="inlineStr">
        <is>
          <t>TRAIL_12M_EBITDA</t>
        </is>
      </c>
      <c r="E1033" t="inlineStr">
        <is>
          <t>LTM EBITDA</t>
        </is>
      </c>
      <c r="F1033" s="53">
        <f>_xll.BDP("PGR US Equity","TRAIL_12M_EBITDA")</f>
        <v/>
      </c>
    </row>
    <row r="1034">
      <c r="A1034" t="inlineStr">
        <is>
          <t>PGR</t>
        </is>
      </c>
      <c r="B1034" t="inlineStr">
        <is>
          <t>PGR US Equity</t>
        </is>
      </c>
      <c r="C1034" t="inlineStr">
        <is>
          <t>SHORT_AND_LONG_TERM_DEBT</t>
        </is>
      </c>
      <c r="E1034" t="inlineStr">
        <is>
          <t>Total debt</t>
        </is>
      </c>
      <c r="F1034" s="53">
        <f>_xll.BDP("PGR US Equity","SHORT_AND_LONG_TERM_DEBT")</f>
        <v/>
      </c>
    </row>
    <row r="1035">
      <c r="A1035" t="inlineStr">
        <is>
          <t>PGR</t>
        </is>
      </c>
      <c r="B1035" t="inlineStr">
        <is>
          <t>PGR US Equity</t>
        </is>
      </c>
      <c r="C1035" t="inlineStr">
        <is>
          <t>TOTAL_EQUITY</t>
        </is>
      </c>
      <c r="E1035" t="inlineStr">
        <is>
          <t>Total equity</t>
        </is>
      </c>
      <c r="F1035" s="53">
        <f>_xll.BDP("PGR US Equity","TOTAL_EQUITY")</f>
        <v/>
      </c>
    </row>
    <row r="1036">
      <c r="A1036" t="inlineStr">
        <is>
          <t>PGR</t>
        </is>
      </c>
      <c r="B1036" t="inlineStr">
        <is>
          <t>PGR US Equity</t>
        </is>
      </c>
      <c r="C1036" t="inlineStr">
        <is>
          <t>BS_CASH_NEAR_CASH_ITEM</t>
        </is>
      </c>
      <c r="E1036" t="inlineStr">
        <is>
          <t>Cash &amp; equivalents</t>
        </is>
      </c>
      <c r="F1036" s="53">
        <f>_xll.BDP("PGR US Equity","BS_CASH_NEAR_CASH_ITEM")</f>
        <v/>
      </c>
    </row>
    <row r="1037">
      <c r="A1037" t="inlineStr">
        <is>
          <t>PGR</t>
        </is>
      </c>
      <c r="B1037" t="inlineStr">
        <is>
          <t>PGR US Equity</t>
        </is>
      </c>
      <c r="C1037" t="inlineStr">
        <is>
          <t>BEST_EPS</t>
        </is>
      </c>
      <c r="D1037" t="inlineStr">
        <is>
          <t>24Y</t>
        </is>
      </c>
      <c r="E1037" t="inlineStr">
        <is>
          <t>EPS estimate FY2024</t>
        </is>
      </c>
      <c r="F1037" s="53">
        <f>_xll.BDP("PGR US Equity","BEST_EPS","BEST_FPERIOD_OVERRIDE","24Y")</f>
        <v/>
      </c>
    </row>
    <row r="1038">
      <c r="A1038" t="inlineStr">
        <is>
          <t>PGR</t>
        </is>
      </c>
      <c r="B1038" t="inlineStr">
        <is>
          <t>PGR US Equity</t>
        </is>
      </c>
      <c r="C1038" t="inlineStr">
        <is>
          <t>BEST_SALES</t>
        </is>
      </c>
      <c r="D1038" t="inlineStr">
        <is>
          <t>24Y</t>
        </is>
      </c>
      <c r="E1038" t="inlineStr">
        <is>
          <t>Revenue estimate FY2024</t>
        </is>
      </c>
      <c r="F1038" s="53">
        <f>_xll.BDP("PGR US Equity","BEST_SALES","BEST_FPERIOD_OVERRIDE","24Y")</f>
        <v/>
      </c>
    </row>
    <row r="1039">
      <c r="A1039" t="inlineStr">
        <is>
          <t>PGR</t>
        </is>
      </c>
      <c r="B1039" t="inlineStr">
        <is>
          <t>PGR US Equity</t>
        </is>
      </c>
      <c r="C1039" t="inlineStr">
        <is>
          <t>BEST_EBIT</t>
        </is>
      </c>
      <c r="D1039" t="inlineStr">
        <is>
          <t>24Y</t>
        </is>
      </c>
      <c r="E1039" t="inlineStr">
        <is>
          <t>EBIT estimate FY2024</t>
        </is>
      </c>
      <c r="F1039" s="53">
        <f>_xll.BDP("PGR US Equity","BEST_EBIT","BEST_FPERIOD_OVERRIDE","24Y")</f>
        <v/>
      </c>
    </row>
    <row r="1040">
      <c r="A1040" t="inlineStr">
        <is>
          <t>PGR</t>
        </is>
      </c>
      <c r="B1040" t="inlineStr">
        <is>
          <t>PGR US Equity</t>
        </is>
      </c>
      <c r="C1040" t="inlineStr">
        <is>
          <t>BEST_EPS</t>
        </is>
      </c>
      <c r="D1040" t="inlineStr">
        <is>
          <t>25Y</t>
        </is>
      </c>
      <c r="E1040" t="inlineStr">
        <is>
          <t>EPS estimate FY2025</t>
        </is>
      </c>
      <c r="F1040" s="53">
        <f>_xll.BDP("PGR US Equity","BEST_EPS","BEST_FPERIOD_OVERRIDE","25Y")</f>
        <v/>
      </c>
    </row>
    <row r="1041">
      <c r="A1041" t="inlineStr">
        <is>
          <t>PGR</t>
        </is>
      </c>
      <c r="B1041" t="inlineStr">
        <is>
          <t>PGR US Equity</t>
        </is>
      </c>
      <c r="C1041" t="inlineStr">
        <is>
          <t>BEST_SALES</t>
        </is>
      </c>
      <c r="D1041" t="inlineStr">
        <is>
          <t>25Y</t>
        </is>
      </c>
      <c r="E1041" t="inlineStr">
        <is>
          <t>Revenue estimate FY2025</t>
        </is>
      </c>
      <c r="F1041" s="53">
        <f>_xll.BDP("PGR US Equity","BEST_SALES","BEST_FPERIOD_OVERRIDE","25Y")</f>
        <v/>
      </c>
    </row>
    <row r="1042">
      <c r="A1042" t="inlineStr">
        <is>
          <t>PGR</t>
        </is>
      </c>
      <c r="B1042" t="inlineStr">
        <is>
          <t>PGR US Equity</t>
        </is>
      </c>
      <c r="C1042" t="inlineStr">
        <is>
          <t>BEST_EBIT</t>
        </is>
      </c>
      <c r="D1042" t="inlineStr">
        <is>
          <t>25Y</t>
        </is>
      </c>
      <c r="E1042" t="inlineStr">
        <is>
          <t>EBIT estimate FY2025</t>
        </is>
      </c>
      <c r="F1042" s="53">
        <f>_xll.BDP("PGR US Equity","BEST_EBIT","BEST_FPERIOD_OVERRIDE","25Y")</f>
        <v/>
      </c>
    </row>
    <row r="1043">
      <c r="A1043" t="inlineStr">
        <is>
          <t>PGR</t>
        </is>
      </c>
      <c r="B1043" t="inlineStr">
        <is>
          <t>PGR US Equity</t>
        </is>
      </c>
      <c r="C1043" t="inlineStr">
        <is>
          <t>BEST_EPS</t>
        </is>
      </c>
      <c r="D1043" t="inlineStr">
        <is>
          <t>26Y</t>
        </is>
      </c>
      <c r="E1043" t="inlineStr">
        <is>
          <t>EPS estimate FY2026</t>
        </is>
      </c>
      <c r="F1043" s="53">
        <f>_xll.BDP("PGR US Equity","BEST_EPS","BEST_FPERIOD_OVERRIDE","26Y")</f>
        <v/>
      </c>
    </row>
    <row r="1044">
      <c r="A1044" t="inlineStr">
        <is>
          <t>PGR</t>
        </is>
      </c>
      <c r="B1044" t="inlineStr">
        <is>
          <t>PGR US Equity</t>
        </is>
      </c>
      <c r="C1044" t="inlineStr">
        <is>
          <t>BEST_SALES</t>
        </is>
      </c>
      <c r="D1044" t="inlineStr">
        <is>
          <t>26Y</t>
        </is>
      </c>
      <c r="E1044" t="inlineStr">
        <is>
          <t>Revenue estimate FY2026</t>
        </is>
      </c>
      <c r="F1044" s="53">
        <f>_xll.BDP("PGR US Equity","BEST_SALES","BEST_FPERIOD_OVERRIDE","26Y")</f>
        <v/>
      </c>
    </row>
    <row r="1045">
      <c r="A1045" t="inlineStr">
        <is>
          <t>PGR</t>
        </is>
      </c>
      <c r="B1045" t="inlineStr">
        <is>
          <t>PGR US Equity</t>
        </is>
      </c>
      <c r="C1045" t="inlineStr">
        <is>
          <t>BEST_EBIT</t>
        </is>
      </c>
      <c r="D1045" t="inlineStr">
        <is>
          <t>26Y</t>
        </is>
      </c>
      <c r="E1045" t="inlineStr">
        <is>
          <t>EBIT estimate FY2026</t>
        </is>
      </c>
      <c r="F1045" s="53">
        <f>_xll.BDP("PGR US Equity","BEST_EBIT","BEST_FPERIOD_OVERRIDE","26Y")</f>
        <v/>
      </c>
    </row>
    <row r="1046">
      <c r="A1046" t="inlineStr">
        <is>
          <t>PGR</t>
        </is>
      </c>
      <c r="B1046" t="inlineStr">
        <is>
          <t>PGR US Equity</t>
        </is>
      </c>
      <c r="C1046" t="inlineStr">
        <is>
          <t>BEST_EPS</t>
        </is>
      </c>
      <c r="D1046" t="inlineStr">
        <is>
          <t>27Y</t>
        </is>
      </c>
      <c r="E1046" t="inlineStr">
        <is>
          <t>EPS estimate FY2027</t>
        </is>
      </c>
      <c r="F1046" s="53">
        <f>_xll.BDP("PGR US Equity","BEST_EPS","BEST_FPERIOD_OVERRIDE","27Y")</f>
        <v/>
      </c>
    </row>
    <row r="1047">
      <c r="A1047" t="inlineStr">
        <is>
          <t>PGR</t>
        </is>
      </c>
      <c r="B1047" t="inlineStr">
        <is>
          <t>PGR US Equity</t>
        </is>
      </c>
      <c r="C1047" t="inlineStr">
        <is>
          <t>BEST_SALES</t>
        </is>
      </c>
      <c r="D1047" t="inlineStr">
        <is>
          <t>27Y</t>
        </is>
      </c>
      <c r="E1047" t="inlineStr">
        <is>
          <t>Revenue estimate FY2027</t>
        </is>
      </c>
      <c r="F1047" s="53">
        <f>_xll.BDP("PGR US Equity","BEST_SALES","BEST_FPERIOD_OVERRIDE","27Y")</f>
        <v/>
      </c>
    </row>
    <row r="1048">
      <c r="A1048" t="inlineStr">
        <is>
          <t>PGR</t>
        </is>
      </c>
      <c r="B1048" t="inlineStr">
        <is>
          <t>PGR US Equity</t>
        </is>
      </c>
      <c r="C1048" t="inlineStr">
        <is>
          <t>BEST_EBIT</t>
        </is>
      </c>
      <c r="D1048" t="inlineStr">
        <is>
          <t>27Y</t>
        </is>
      </c>
      <c r="E1048" t="inlineStr">
        <is>
          <t>EBIT estimate FY2027</t>
        </is>
      </c>
      <c r="F1048" s="53">
        <f>_xll.BDP("PGR US Equity","BEST_EBIT","BEST_FPERIOD_OVERRIDE","27Y")</f>
        <v/>
      </c>
    </row>
    <row r="1049">
      <c r="A1049" t="inlineStr">
        <is>
          <t>PGR</t>
        </is>
      </c>
      <c r="B1049" t="inlineStr">
        <is>
          <t>PGR US Equity</t>
        </is>
      </c>
      <c r="C1049" t="inlineStr">
        <is>
          <t>BEST_EPS</t>
        </is>
      </c>
      <c r="D1049" t="inlineStr">
        <is>
          <t>28Y</t>
        </is>
      </c>
      <c r="E1049" t="inlineStr">
        <is>
          <t>EPS estimate FY2028</t>
        </is>
      </c>
      <c r="F1049" s="53">
        <f>_xll.BDP("PGR US Equity","BEST_EPS","BEST_FPERIOD_OVERRIDE","28Y")</f>
        <v/>
      </c>
    </row>
    <row r="1050">
      <c r="A1050" t="inlineStr">
        <is>
          <t>PGR</t>
        </is>
      </c>
      <c r="B1050" t="inlineStr">
        <is>
          <t>PGR US Equity</t>
        </is>
      </c>
      <c r="C1050" t="inlineStr">
        <is>
          <t>BEST_SALES</t>
        </is>
      </c>
      <c r="D1050" t="inlineStr">
        <is>
          <t>28Y</t>
        </is>
      </c>
      <c r="E1050" t="inlineStr">
        <is>
          <t>Revenue estimate FY2028</t>
        </is>
      </c>
      <c r="F1050" s="53">
        <f>_xll.BDP("PGR US Equity","BEST_SALES","BEST_FPERIOD_OVERRIDE","28Y")</f>
        <v/>
      </c>
    </row>
    <row r="1051">
      <c r="A1051" t="inlineStr">
        <is>
          <t>PGR</t>
        </is>
      </c>
      <c r="B1051" t="inlineStr">
        <is>
          <t>PGR US Equity</t>
        </is>
      </c>
      <c r="C1051" t="inlineStr">
        <is>
          <t>BEST_EBIT</t>
        </is>
      </c>
      <c r="D1051" t="inlineStr">
        <is>
          <t>28Y</t>
        </is>
      </c>
      <c r="E1051" t="inlineStr">
        <is>
          <t>EBIT estimate FY2028</t>
        </is>
      </c>
      <c r="F1051" s="53">
        <f>_xll.BDP("PGR US Equity","BEST_EBIT","BEST_FPERIOD_OVERRIDE","28Y")</f>
        <v/>
      </c>
    </row>
    <row r="1052">
      <c r="A1052" t="inlineStr">
        <is>
          <t>COST</t>
        </is>
      </c>
      <c r="B1052" t="inlineStr">
        <is>
          <t>COST US Equity</t>
        </is>
      </c>
      <c r="C1052" t="inlineStr">
        <is>
          <t>PX_LAST</t>
        </is>
      </c>
      <c r="E1052" t="inlineStr">
        <is>
          <t>Last price</t>
        </is>
      </c>
      <c r="F1052" s="53">
        <f>_xll.BDP("COST US Equity","PX_LAST")</f>
        <v/>
      </c>
    </row>
    <row r="1053">
      <c r="A1053" t="inlineStr">
        <is>
          <t>COST</t>
        </is>
      </c>
      <c r="B1053" t="inlineStr">
        <is>
          <t>COST US Equity</t>
        </is>
      </c>
      <c r="C1053" t="inlineStr">
        <is>
          <t>CUR_MKT_CAP</t>
        </is>
      </c>
      <c r="E1053" t="inlineStr">
        <is>
          <t>Market cap (raw)</t>
        </is>
      </c>
      <c r="F1053" s="53">
        <f>_xll.BDP("COST US Equity","CUR_MKT_CAP")</f>
        <v/>
      </c>
    </row>
    <row r="1054">
      <c r="A1054" t="inlineStr">
        <is>
          <t>COST</t>
        </is>
      </c>
      <c r="B1054" t="inlineStr">
        <is>
          <t>COST US Equity</t>
        </is>
      </c>
      <c r="C1054" t="inlineStr">
        <is>
          <t>CHG_PCT_YTD</t>
        </is>
      </c>
      <c r="E1054" t="inlineStr">
        <is>
          <t>YTD price change %</t>
        </is>
      </c>
      <c r="F1054" s="53">
        <f>_xll.BDP("COST US Equity","CHG_PCT_YTD")</f>
        <v/>
      </c>
    </row>
    <row r="1055">
      <c r="A1055" t="inlineStr">
        <is>
          <t>COST</t>
        </is>
      </c>
      <c r="B1055" t="inlineStr">
        <is>
          <t>COST US Equity</t>
        </is>
      </c>
      <c r="C1055" t="inlineStr">
        <is>
          <t>NET_DEBT_TO_EBITDA</t>
        </is>
      </c>
      <c r="E1055" t="inlineStr">
        <is>
          <t>Net debt / EBITDA</t>
        </is>
      </c>
      <c r="F1055" s="53">
        <f>_xll.BDP("COST US Equity","NET_DEBT_TO_EBITDA")</f>
        <v/>
      </c>
    </row>
    <row r="1056">
      <c r="A1056" t="inlineStr">
        <is>
          <t>COST</t>
        </is>
      </c>
      <c r="B1056" t="inlineStr">
        <is>
          <t>COST US Equity</t>
        </is>
      </c>
      <c r="C1056" t="inlineStr">
        <is>
          <t>RETURN_ON_INV_CAPITAL</t>
        </is>
      </c>
      <c r="E1056" t="inlineStr">
        <is>
          <t>ROIC (LTM)</t>
        </is>
      </c>
      <c r="F1056" s="53">
        <f>_xll.BDP("COST US Equity","RETURN_ON_INV_CAPITAL")</f>
        <v/>
      </c>
    </row>
    <row r="1057">
      <c r="A1057" t="inlineStr">
        <is>
          <t>COST</t>
        </is>
      </c>
      <c r="B1057" t="inlineStr">
        <is>
          <t>COST US Equity</t>
        </is>
      </c>
      <c r="C1057" t="inlineStr">
        <is>
          <t>TRAIL_12M_OPER_INC</t>
        </is>
      </c>
      <c r="E1057" t="inlineStr">
        <is>
          <t>LTM operating income</t>
        </is>
      </c>
      <c r="F1057" s="53">
        <f>_xll.BDP("COST US Equity","TRAIL_12M_OPER_INC")</f>
        <v/>
      </c>
    </row>
    <row r="1058">
      <c r="A1058" t="inlineStr">
        <is>
          <t>COST</t>
        </is>
      </c>
      <c r="B1058" t="inlineStr">
        <is>
          <t>COST US Equity</t>
        </is>
      </c>
      <c r="C1058" t="inlineStr">
        <is>
          <t>TRAIL_12M_EBITDA</t>
        </is>
      </c>
      <c r="E1058" t="inlineStr">
        <is>
          <t>LTM EBITDA</t>
        </is>
      </c>
      <c r="F1058" s="53">
        <f>_xll.BDP("COST US Equity","TRAIL_12M_EBITDA")</f>
        <v/>
      </c>
    </row>
    <row r="1059">
      <c r="A1059" t="inlineStr">
        <is>
          <t>COST</t>
        </is>
      </c>
      <c r="B1059" t="inlineStr">
        <is>
          <t>COST US Equity</t>
        </is>
      </c>
      <c r="C1059" t="inlineStr">
        <is>
          <t>SHORT_AND_LONG_TERM_DEBT</t>
        </is>
      </c>
      <c r="E1059" t="inlineStr">
        <is>
          <t>Total debt</t>
        </is>
      </c>
      <c r="F1059" s="53">
        <f>_xll.BDP("COST US Equity","SHORT_AND_LONG_TERM_DEBT")</f>
        <v/>
      </c>
    </row>
    <row r="1060">
      <c r="A1060" t="inlineStr">
        <is>
          <t>COST</t>
        </is>
      </c>
      <c r="B1060" t="inlineStr">
        <is>
          <t>COST US Equity</t>
        </is>
      </c>
      <c r="C1060" t="inlineStr">
        <is>
          <t>TOTAL_EQUITY</t>
        </is>
      </c>
      <c r="E1060" t="inlineStr">
        <is>
          <t>Total equity</t>
        </is>
      </c>
      <c r="F1060" s="53">
        <f>_xll.BDP("COST US Equity","TOTAL_EQUITY")</f>
        <v/>
      </c>
    </row>
    <row r="1061">
      <c r="A1061" t="inlineStr">
        <is>
          <t>COST</t>
        </is>
      </c>
      <c r="B1061" t="inlineStr">
        <is>
          <t>COST US Equity</t>
        </is>
      </c>
      <c r="C1061" t="inlineStr">
        <is>
          <t>BS_CASH_NEAR_CASH_ITEM</t>
        </is>
      </c>
      <c r="E1061" t="inlineStr">
        <is>
          <t>Cash &amp; equivalents</t>
        </is>
      </c>
      <c r="F1061" s="53">
        <f>_xll.BDP("COST US Equity","BS_CASH_NEAR_CASH_ITEM")</f>
        <v/>
      </c>
    </row>
    <row r="1062">
      <c r="A1062" t="inlineStr">
        <is>
          <t>COST</t>
        </is>
      </c>
      <c r="B1062" t="inlineStr">
        <is>
          <t>COST US Equity</t>
        </is>
      </c>
      <c r="C1062" t="inlineStr">
        <is>
          <t>BEST_EPS</t>
        </is>
      </c>
      <c r="D1062" t="inlineStr">
        <is>
          <t>24Y</t>
        </is>
      </c>
      <c r="E1062" t="inlineStr">
        <is>
          <t>EPS estimate FY2024</t>
        </is>
      </c>
      <c r="F1062" s="53">
        <f>_xll.BDP("COST US Equity","BEST_EPS","BEST_FPERIOD_OVERRIDE","24Y")</f>
        <v/>
      </c>
    </row>
    <row r="1063">
      <c r="A1063" t="inlineStr">
        <is>
          <t>COST</t>
        </is>
      </c>
      <c r="B1063" t="inlineStr">
        <is>
          <t>COST US Equity</t>
        </is>
      </c>
      <c r="C1063" t="inlineStr">
        <is>
          <t>BEST_SALES</t>
        </is>
      </c>
      <c r="D1063" t="inlineStr">
        <is>
          <t>24Y</t>
        </is>
      </c>
      <c r="E1063" t="inlineStr">
        <is>
          <t>Revenue estimate FY2024</t>
        </is>
      </c>
      <c r="F1063" s="53">
        <f>_xll.BDP("COST US Equity","BEST_SALES","BEST_FPERIOD_OVERRIDE","24Y")</f>
        <v/>
      </c>
    </row>
    <row r="1064">
      <c r="A1064" t="inlineStr">
        <is>
          <t>COST</t>
        </is>
      </c>
      <c r="B1064" t="inlineStr">
        <is>
          <t>COST US Equity</t>
        </is>
      </c>
      <c r="C1064" t="inlineStr">
        <is>
          <t>BEST_EBIT</t>
        </is>
      </c>
      <c r="D1064" t="inlineStr">
        <is>
          <t>24Y</t>
        </is>
      </c>
      <c r="E1064" t="inlineStr">
        <is>
          <t>EBIT estimate FY2024</t>
        </is>
      </c>
      <c r="F1064" s="53">
        <f>_xll.BDP("COST US Equity","BEST_EBIT","BEST_FPERIOD_OVERRIDE","24Y")</f>
        <v/>
      </c>
    </row>
    <row r="1065">
      <c r="A1065" t="inlineStr">
        <is>
          <t>COST</t>
        </is>
      </c>
      <c r="B1065" t="inlineStr">
        <is>
          <t>COST US Equity</t>
        </is>
      </c>
      <c r="C1065" t="inlineStr">
        <is>
          <t>BEST_EPS</t>
        </is>
      </c>
      <c r="D1065" t="inlineStr">
        <is>
          <t>25Y</t>
        </is>
      </c>
      <c r="E1065" t="inlineStr">
        <is>
          <t>EPS estimate FY2025</t>
        </is>
      </c>
      <c r="F1065" s="53">
        <f>_xll.BDP("COST US Equity","BEST_EPS","BEST_FPERIOD_OVERRIDE","25Y")</f>
        <v/>
      </c>
    </row>
    <row r="1066">
      <c r="A1066" t="inlineStr">
        <is>
          <t>COST</t>
        </is>
      </c>
      <c r="B1066" t="inlineStr">
        <is>
          <t>COST US Equity</t>
        </is>
      </c>
      <c r="C1066" t="inlineStr">
        <is>
          <t>BEST_SALES</t>
        </is>
      </c>
      <c r="D1066" t="inlineStr">
        <is>
          <t>25Y</t>
        </is>
      </c>
      <c r="E1066" t="inlineStr">
        <is>
          <t>Revenue estimate FY2025</t>
        </is>
      </c>
      <c r="F1066" s="53">
        <f>_xll.BDP("COST US Equity","BEST_SALES","BEST_FPERIOD_OVERRIDE","25Y")</f>
        <v/>
      </c>
    </row>
    <row r="1067">
      <c r="A1067" t="inlineStr">
        <is>
          <t>COST</t>
        </is>
      </c>
      <c r="B1067" t="inlineStr">
        <is>
          <t>COST US Equity</t>
        </is>
      </c>
      <c r="C1067" t="inlineStr">
        <is>
          <t>BEST_EBIT</t>
        </is>
      </c>
      <c r="D1067" t="inlineStr">
        <is>
          <t>25Y</t>
        </is>
      </c>
      <c r="E1067" t="inlineStr">
        <is>
          <t>EBIT estimate FY2025</t>
        </is>
      </c>
      <c r="F1067" s="53">
        <f>_xll.BDP("COST US Equity","BEST_EBIT","BEST_FPERIOD_OVERRIDE","25Y")</f>
        <v/>
      </c>
    </row>
    <row r="1068">
      <c r="A1068" t="inlineStr">
        <is>
          <t>COST</t>
        </is>
      </c>
      <c r="B1068" t="inlineStr">
        <is>
          <t>COST US Equity</t>
        </is>
      </c>
      <c r="C1068" t="inlineStr">
        <is>
          <t>BEST_EPS</t>
        </is>
      </c>
      <c r="D1068" t="inlineStr">
        <is>
          <t>26Y</t>
        </is>
      </c>
      <c r="E1068" t="inlineStr">
        <is>
          <t>EPS estimate FY2026</t>
        </is>
      </c>
      <c r="F1068" s="53">
        <f>_xll.BDP("COST US Equity","BEST_EPS","BEST_FPERIOD_OVERRIDE","26Y")</f>
        <v/>
      </c>
    </row>
    <row r="1069">
      <c r="A1069" t="inlineStr">
        <is>
          <t>COST</t>
        </is>
      </c>
      <c r="B1069" t="inlineStr">
        <is>
          <t>COST US Equity</t>
        </is>
      </c>
      <c r="C1069" t="inlineStr">
        <is>
          <t>BEST_SALES</t>
        </is>
      </c>
      <c r="D1069" t="inlineStr">
        <is>
          <t>26Y</t>
        </is>
      </c>
      <c r="E1069" t="inlineStr">
        <is>
          <t>Revenue estimate FY2026</t>
        </is>
      </c>
      <c r="F1069" s="53">
        <f>_xll.BDP("COST US Equity","BEST_SALES","BEST_FPERIOD_OVERRIDE","26Y")</f>
        <v/>
      </c>
    </row>
    <row r="1070">
      <c r="A1070" t="inlineStr">
        <is>
          <t>COST</t>
        </is>
      </c>
      <c r="B1070" t="inlineStr">
        <is>
          <t>COST US Equity</t>
        </is>
      </c>
      <c r="C1070" t="inlineStr">
        <is>
          <t>BEST_EBIT</t>
        </is>
      </c>
      <c r="D1070" t="inlineStr">
        <is>
          <t>26Y</t>
        </is>
      </c>
      <c r="E1070" t="inlineStr">
        <is>
          <t>EBIT estimate FY2026</t>
        </is>
      </c>
      <c r="F1070" s="53">
        <f>_xll.BDP("COST US Equity","BEST_EBIT","BEST_FPERIOD_OVERRIDE","26Y")</f>
        <v/>
      </c>
    </row>
    <row r="1071">
      <c r="A1071" t="inlineStr">
        <is>
          <t>COST</t>
        </is>
      </c>
      <c r="B1071" t="inlineStr">
        <is>
          <t>COST US Equity</t>
        </is>
      </c>
      <c r="C1071" t="inlineStr">
        <is>
          <t>BEST_EPS</t>
        </is>
      </c>
      <c r="D1071" t="inlineStr">
        <is>
          <t>27Y</t>
        </is>
      </c>
      <c r="E1071" t="inlineStr">
        <is>
          <t>EPS estimate FY2027</t>
        </is>
      </c>
      <c r="F1071" s="53">
        <f>_xll.BDP("COST US Equity","BEST_EPS","BEST_FPERIOD_OVERRIDE","27Y")</f>
        <v/>
      </c>
    </row>
    <row r="1072">
      <c r="A1072" t="inlineStr">
        <is>
          <t>COST</t>
        </is>
      </c>
      <c r="B1072" t="inlineStr">
        <is>
          <t>COST US Equity</t>
        </is>
      </c>
      <c r="C1072" t="inlineStr">
        <is>
          <t>BEST_SALES</t>
        </is>
      </c>
      <c r="D1072" t="inlineStr">
        <is>
          <t>27Y</t>
        </is>
      </c>
      <c r="E1072" t="inlineStr">
        <is>
          <t>Revenue estimate FY2027</t>
        </is>
      </c>
      <c r="F1072" s="53">
        <f>_xll.BDP("COST US Equity","BEST_SALES","BEST_FPERIOD_OVERRIDE","27Y")</f>
        <v/>
      </c>
    </row>
    <row r="1073">
      <c r="A1073" t="inlineStr">
        <is>
          <t>COST</t>
        </is>
      </c>
      <c r="B1073" t="inlineStr">
        <is>
          <t>COST US Equity</t>
        </is>
      </c>
      <c r="C1073" t="inlineStr">
        <is>
          <t>BEST_EBIT</t>
        </is>
      </c>
      <c r="D1073" t="inlineStr">
        <is>
          <t>27Y</t>
        </is>
      </c>
      <c r="E1073" t="inlineStr">
        <is>
          <t>EBIT estimate FY2027</t>
        </is>
      </c>
      <c r="F1073" s="53">
        <f>_xll.BDP("COST US Equity","BEST_EBIT","BEST_FPERIOD_OVERRIDE","27Y")</f>
        <v/>
      </c>
    </row>
    <row r="1074">
      <c r="A1074" t="inlineStr">
        <is>
          <t>COST</t>
        </is>
      </c>
      <c r="B1074" t="inlineStr">
        <is>
          <t>COST US Equity</t>
        </is>
      </c>
      <c r="C1074" t="inlineStr">
        <is>
          <t>BEST_EPS</t>
        </is>
      </c>
      <c r="D1074" t="inlineStr">
        <is>
          <t>28Y</t>
        </is>
      </c>
      <c r="E1074" t="inlineStr">
        <is>
          <t>EPS estimate FY2028</t>
        </is>
      </c>
      <c r="F1074" s="53">
        <f>_xll.BDP("COST US Equity","BEST_EPS","BEST_FPERIOD_OVERRIDE","28Y")</f>
        <v/>
      </c>
    </row>
    <row r="1075">
      <c r="A1075" t="inlineStr">
        <is>
          <t>COST</t>
        </is>
      </c>
      <c r="B1075" t="inlineStr">
        <is>
          <t>COST US Equity</t>
        </is>
      </c>
      <c r="C1075" t="inlineStr">
        <is>
          <t>BEST_SALES</t>
        </is>
      </c>
      <c r="D1075" t="inlineStr">
        <is>
          <t>28Y</t>
        </is>
      </c>
      <c r="E1075" t="inlineStr">
        <is>
          <t>Revenue estimate FY2028</t>
        </is>
      </c>
      <c r="F1075" s="53">
        <f>_xll.BDP("COST US Equity","BEST_SALES","BEST_FPERIOD_OVERRIDE","28Y")</f>
        <v/>
      </c>
    </row>
    <row r="1076">
      <c r="A1076" t="inlineStr">
        <is>
          <t>COST</t>
        </is>
      </c>
      <c r="B1076" t="inlineStr">
        <is>
          <t>COST US Equity</t>
        </is>
      </c>
      <c r="C1076" t="inlineStr">
        <is>
          <t>BEST_EBIT</t>
        </is>
      </c>
      <c r="D1076" t="inlineStr">
        <is>
          <t>28Y</t>
        </is>
      </c>
      <c r="E1076" t="inlineStr">
        <is>
          <t>EBIT estimate FY2028</t>
        </is>
      </c>
      <c r="F1076" s="53">
        <f>_xll.BDP("COST US Equity","BEST_EBIT","BEST_FPERIOD_OVERRIDE","28Y")</f>
        <v/>
      </c>
    </row>
    <row r="1077">
      <c r="A1077" t="inlineStr">
        <is>
          <t>ORLY</t>
        </is>
      </c>
      <c r="B1077" t="inlineStr">
        <is>
          <t>ORLY US Equity</t>
        </is>
      </c>
      <c r="C1077" t="inlineStr">
        <is>
          <t>PX_LAST</t>
        </is>
      </c>
      <c r="E1077" t="inlineStr">
        <is>
          <t>Last price</t>
        </is>
      </c>
      <c r="F1077" s="53">
        <f>_xll.BDP("ORLY US Equity","PX_LAST")</f>
        <v/>
      </c>
    </row>
    <row r="1078">
      <c r="A1078" t="inlineStr">
        <is>
          <t>ORLY</t>
        </is>
      </c>
      <c r="B1078" t="inlineStr">
        <is>
          <t>ORLY US Equity</t>
        </is>
      </c>
      <c r="C1078" t="inlineStr">
        <is>
          <t>CUR_MKT_CAP</t>
        </is>
      </c>
      <c r="E1078" t="inlineStr">
        <is>
          <t>Market cap (raw)</t>
        </is>
      </c>
      <c r="F1078" s="53">
        <f>_xll.BDP("ORLY US Equity","CUR_MKT_CAP")</f>
        <v/>
      </c>
    </row>
    <row r="1079">
      <c r="A1079" t="inlineStr">
        <is>
          <t>ORLY</t>
        </is>
      </c>
      <c r="B1079" t="inlineStr">
        <is>
          <t>ORLY US Equity</t>
        </is>
      </c>
      <c r="C1079" t="inlineStr">
        <is>
          <t>CHG_PCT_YTD</t>
        </is>
      </c>
      <c r="E1079" t="inlineStr">
        <is>
          <t>YTD price change %</t>
        </is>
      </c>
      <c r="F1079" s="53">
        <f>_xll.BDP("ORLY US Equity","CHG_PCT_YTD")</f>
        <v/>
      </c>
    </row>
    <row r="1080">
      <c r="A1080" t="inlineStr">
        <is>
          <t>ORLY</t>
        </is>
      </c>
      <c r="B1080" t="inlineStr">
        <is>
          <t>ORLY US Equity</t>
        </is>
      </c>
      <c r="C1080" t="inlineStr">
        <is>
          <t>NET_DEBT_TO_EBITDA</t>
        </is>
      </c>
      <c r="E1080" t="inlineStr">
        <is>
          <t>Net debt / EBITDA</t>
        </is>
      </c>
      <c r="F1080" s="53">
        <f>_xll.BDP("ORLY US Equity","NET_DEBT_TO_EBITDA")</f>
        <v/>
      </c>
    </row>
    <row r="1081">
      <c r="A1081" t="inlineStr">
        <is>
          <t>ORLY</t>
        </is>
      </c>
      <c r="B1081" t="inlineStr">
        <is>
          <t>ORLY US Equity</t>
        </is>
      </c>
      <c r="C1081" t="inlineStr">
        <is>
          <t>RETURN_ON_INV_CAPITAL</t>
        </is>
      </c>
      <c r="E1081" t="inlineStr">
        <is>
          <t>ROIC (LTM)</t>
        </is>
      </c>
      <c r="F1081" s="53">
        <f>_xll.BDP("ORLY US Equity","RETURN_ON_INV_CAPITAL")</f>
        <v/>
      </c>
    </row>
    <row r="1082">
      <c r="A1082" t="inlineStr">
        <is>
          <t>ORLY</t>
        </is>
      </c>
      <c r="B1082" t="inlineStr">
        <is>
          <t>ORLY US Equity</t>
        </is>
      </c>
      <c r="C1082" t="inlineStr">
        <is>
          <t>TRAIL_12M_OPER_INC</t>
        </is>
      </c>
      <c r="E1082" t="inlineStr">
        <is>
          <t>LTM operating income</t>
        </is>
      </c>
      <c r="F1082" s="53">
        <f>_xll.BDP("ORLY US Equity","TRAIL_12M_OPER_INC")</f>
        <v/>
      </c>
    </row>
    <row r="1083">
      <c r="A1083" t="inlineStr">
        <is>
          <t>ORLY</t>
        </is>
      </c>
      <c r="B1083" t="inlineStr">
        <is>
          <t>ORLY US Equity</t>
        </is>
      </c>
      <c r="C1083" t="inlineStr">
        <is>
          <t>TRAIL_12M_EBITDA</t>
        </is>
      </c>
      <c r="E1083" t="inlineStr">
        <is>
          <t>LTM EBITDA</t>
        </is>
      </c>
      <c r="F1083" s="53">
        <f>_xll.BDP("ORLY US Equity","TRAIL_12M_EBITDA")</f>
        <v/>
      </c>
    </row>
    <row r="1084">
      <c r="A1084" t="inlineStr">
        <is>
          <t>ORLY</t>
        </is>
      </c>
      <c r="B1084" t="inlineStr">
        <is>
          <t>ORLY US Equity</t>
        </is>
      </c>
      <c r="C1084" t="inlineStr">
        <is>
          <t>SHORT_AND_LONG_TERM_DEBT</t>
        </is>
      </c>
      <c r="E1084" t="inlineStr">
        <is>
          <t>Total debt</t>
        </is>
      </c>
      <c r="F1084" s="53">
        <f>_xll.BDP("ORLY US Equity","SHORT_AND_LONG_TERM_DEBT")</f>
        <v/>
      </c>
    </row>
    <row r="1085">
      <c r="A1085" t="inlineStr">
        <is>
          <t>ORLY</t>
        </is>
      </c>
      <c r="B1085" t="inlineStr">
        <is>
          <t>ORLY US Equity</t>
        </is>
      </c>
      <c r="C1085" t="inlineStr">
        <is>
          <t>TOTAL_EQUITY</t>
        </is>
      </c>
      <c r="E1085" t="inlineStr">
        <is>
          <t>Total equity</t>
        </is>
      </c>
      <c r="F1085" s="53">
        <f>_xll.BDP("ORLY US Equity","TOTAL_EQUITY")</f>
        <v/>
      </c>
    </row>
    <row r="1086">
      <c r="A1086" t="inlineStr">
        <is>
          <t>ORLY</t>
        </is>
      </c>
      <c r="B1086" t="inlineStr">
        <is>
          <t>ORLY US Equity</t>
        </is>
      </c>
      <c r="C1086" t="inlineStr">
        <is>
          <t>BS_CASH_NEAR_CASH_ITEM</t>
        </is>
      </c>
      <c r="E1086" t="inlineStr">
        <is>
          <t>Cash &amp; equivalents</t>
        </is>
      </c>
      <c r="F1086" s="53">
        <f>_xll.BDP("ORLY US Equity","BS_CASH_NEAR_CASH_ITEM")</f>
        <v/>
      </c>
    </row>
    <row r="1087">
      <c r="A1087" t="inlineStr">
        <is>
          <t>ORLY</t>
        </is>
      </c>
      <c r="B1087" t="inlineStr">
        <is>
          <t>ORLY US Equity</t>
        </is>
      </c>
      <c r="C1087" t="inlineStr">
        <is>
          <t>BEST_EPS</t>
        </is>
      </c>
      <c r="D1087" t="inlineStr">
        <is>
          <t>24Y</t>
        </is>
      </c>
      <c r="E1087" t="inlineStr">
        <is>
          <t>EPS estimate FY2024</t>
        </is>
      </c>
      <c r="F1087" s="53">
        <f>_xll.BDP("ORLY US Equity","BEST_EPS","BEST_FPERIOD_OVERRIDE","24Y")</f>
        <v/>
      </c>
    </row>
    <row r="1088">
      <c r="A1088" t="inlineStr">
        <is>
          <t>ORLY</t>
        </is>
      </c>
      <c r="B1088" t="inlineStr">
        <is>
          <t>ORLY US Equity</t>
        </is>
      </c>
      <c r="C1088" t="inlineStr">
        <is>
          <t>BEST_SALES</t>
        </is>
      </c>
      <c r="D1088" t="inlineStr">
        <is>
          <t>24Y</t>
        </is>
      </c>
      <c r="E1088" t="inlineStr">
        <is>
          <t>Revenue estimate FY2024</t>
        </is>
      </c>
      <c r="F1088" s="53">
        <f>_xll.BDP("ORLY US Equity","BEST_SALES","BEST_FPERIOD_OVERRIDE","24Y")</f>
        <v/>
      </c>
    </row>
    <row r="1089">
      <c r="A1089" t="inlineStr">
        <is>
          <t>ORLY</t>
        </is>
      </c>
      <c r="B1089" t="inlineStr">
        <is>
          <t>ORLY US Equity</t>
        </is>
      </c>
      <c r="C1089" t="inlineStr">
        <is>
          <t>BEST_EBIT</t>
        </is>
      </c>
      <c r="D1089" t="inlineStr">
        <is>
          <t>24Y</t>
        </is>
      </c>
      <c r="E1089" t="inlineStr">
        <is>
          <t>EBIT estimate FY2024</t>
        </is>
      </c>
      <c r="F1089" s="53">
        <f>_xll.BDP("ORLY US Equity","BEST_EBIT","BEST_FPERIOD_OVERRIDE","24Y")</f>
        <v/>
      </c>
    </row>
    <row r="1090">
      <c r="A1090" t="inlineStr">
        <is>
          <t>ORLY</t>
        </is>
      </c>
      <c r="B1090" t="inlineStr">
        <is>
          <t>ORLY US Equity</t>
        </is>
      </c>
      <c r="C1090" t="inlineStr">
        <is>
          <t>BEST_EPS</t>
        </is>
      </c>
      <c r="D1090" t="inlineStr">
        <is>
          <t>25Y</t>
        </is>
      </c>
      <c r="E1090" t="inlineStr">
        <is>
          <t>EPS estimate FY2025</t>
        </is>
      </c>
      <c r="F1090" s="53">
        <f>_xll.BDP("ORLY US Equity","BEST_EPS","BEST_FPERIOD_OVERRIDE","25Y")</f>
        <v/>
      </c>
    </row>
    <row r="1091">
      <c r="A1091" t="inlineStr">
        <is>
          <t>ORLY</t>
        </is>
      </c>
      <c r="B1091" t="inlineStr">
        <is>
          <t>ORLY US Equity</t>
        </is>
      </c>
      <c r="C1091" t="inlineStr">
        <is>
          <t>BEST_SALES</t>
        </is>
      </c>
      <c r="D1091" t="inlineStr">
        <is>
          <t>25Y</t>
        </is>
      </c>
      <c r="E1091" t="inlineStr">
        <is>
          <t>Revenue estimate FY2025</t>
        </is>
      </c>
      <c r="F1091" s="53">
        <f>_xll.BDP("ORLY US Equity","BEST_SALES","BEST_FPERIOD_OVERRIDE","25Y")</f>
        <v/>
      </c>
    </row>
    <row r="1092">
      <c r="A1092" t="inlineStr">
        <is>
          <t>ORLY</t>
        </is>
      </c>
      <c r="B1092" t="inlineStr">
        <is>
          <t>ORLY US Equity</t>
        </is>
      </c>
      <c r="C1092" t="inlineStr">
        <is>
          <t>BEST_EBIT</t>
        </is>
      </c>
      <c r="D1092" t="inlineStr">
        <is>
          <t>25Y</t>
        </is>
      </c>
      <c r="E1092" t="inlineStr">
        <is>
          <t>EBIT estimate FY2025</t>
        </is>
      </c>
      <c r="F1092" s="53">
        <f>_xll.BDP("ORLY US Equity","BEST_EBIT","BEST_FPERIOD_OVERRIDE","25Y")</f>
        <v/>
      </c>
    </row>
    <row r="1093">
      <c r="A1093" t="inlineStr">
        <is>
          <t>ORLY</t>
        </is>
      </c>
      <c r="B1093" t="inlineStr">
        <is>
          <t>ORLY US Equity</t>
        </is>
      </c>
      <c r="C1093" t="inlineStr">
        <is>
          <t>BEST_EPS</t>
        </is>
      </c>
      <c r="D1093" t="inlineStr">
        <is>
          <t>26Y</t>
        </is>
      </c>
      <c r="E1093" t="inlineStr">
        <is>
          <t>EPS estimate FY2026</t>
        </is>
      </c>
      <c r="F1093" s="53">
        <f>_xll.BDP("ORLY US Equity","BEST_EPS","BEST_FPERIOD_OVERRIDE","26Y")</f>
        <v/>
      </c>
    </row>
    <row r="1094">
      <c r="A1094" t="inlineStr">
        <is>
          <t>ORLY</t>
        </is>
      </c>
      <c r="B1094" t="inlineStr">
        <is>
          <t>ORLY US Equity</t>
        </is>
      </c>
      <c r="C1094" t="inlineStr">
        <is>
          <t>BEST_SALES</t>
        </is>
      </c>
      <c r="D1094" t="inlineStr">
        <is>
          <t>26Y</t>
        </is>
      </c>
      <c r="E1094" t="inlineStr">
        <is>
          <t>Revenue estimate FY2026</t>
        </is>
      </c>
      <c r="F1094" s="53">
        <f>_xll.BDP("ORLY US Equity","BEST_SALES","BEST_FPERIOD_OVERRIDE","26Y")</f>
        <v/>
      </c>
    </row>
    <row r="1095">
      <c r="A1095" t="inlineStr">
        <is>
          <t>ORLY</t>
        </is>
      </c>
      <c r="B1095" t="inlineStr">
        <is>
          <t>ORLY US Equity</t>
        </is>
      </c>
      <c r="C1095" t="inlineStr">
        <is>
          <t>BEST_EBIT</t>
        </is>
      </c>
      <c r="D1095" t="inlineStr">
        <is>
          <t>26Y</t>
        </is>
      </c>
      <c r="E1095" t="inlineStr">
        <is>
          <t>EBIT estimate FY2026</t>
        </is>
      </c>
      <c r="F1095" s="53">
        <f>_xll.BDP("ORLY US Equity","BEST_EBIT","BEST_FPERIOD_OVERRIDE","26Y")</f>
        <v/>
      </c>
    </row>
    <row r="1096">
      <c r="A1096" t="inlineStr">
        <is>
          <t>ORLY</t>
        </is>
      </c>
      <c r="B1096" t="inlineStr">
        <is>
          <t>ORLY US Equity</t>
        </is>
      </c>
      <c r="C1096" t="inlineStr">
        <is>
          <t>BEST_EPS</t>
        </is>
      </c>
      <c r="D1096" t="inlineStr">
        <is>
          <t>27Y</t>
        </is>
      </c>
      <c r="E1096" t="inlineStr">
        <is>
          <t>EPS estimate FY2027</t>
        </is>
      </c>
      <c r="F1096" s="53">
        <f>_xll.BDP("ORLY US Equity","BEST_EPS","BEST_FPERIOD_OVERRIDE","27Y")</f>
        <v/>
      </c>
    </row>
    <row r="1097">
      <c r="A1097" t="inlineStr">
        <is>
          <t>ORLY</t>
        </is>
      </c>
      <c r="B1097" t="inlineStr">
        <is>
          <t>ORLY US Equity</t>
        </is>
      </c>
      <c r="C1097" t="inlineStr">
        <is>
          <t>BEST_SALES</t>
        </is>
      </c>
      <c r="D1097" t="inlineStr">
        <is>
          <t>27Y</t>
        </is>
      </c>
      <c r="E1097" t="inlineStr">
        <is>
          <t>Revenue estimate FY2027</t>
        </is>
      </c>
      <c r="F1097" s="53">
        <f>_xll.BDP("ORLY US Equity","BEST_SALES","BEST_FPERIOD_OVERRIDE","27Y")</f>
        <v/>
      </c>
    </row>
    <row r="1098">
      <c r="A1098" t="inlineStr">
        <is>
          <t>ORLY</t>
        </is>
      </c>
      <c r="B1098" t="inlineStr">
        <is>
          <t>ORLY US Equity</t>
        </is>
      </c>
      <c r="C1098" t="inlineStr">
        <is>
          <t>BEST_EBIT</t>
        </is>
      </c>
      <c r="D1098" t="inlineStr">
        <is>
          <t>27Y</t>
        </is>
      </c>
      <c r="E1098" t="inlineStr">
        <is>
          <t>EBIT estimate FY2027</t>
        </is>
      </c>
      <c r="F1098" s="53">
        <f>_xll.BDP("ORLY US Equity","BEST_EBIT","BEST_FPERIOD_OVERRIDE","27Y")</f>
        <v/>
      </c>
    </row>
    <row r="1099">
      <c r="A1099" t="inlineStr">
        <is>
          <t>ORLY</t>
        </is>
      </c>
      <c r="B1099" t="inlineStr">
        <is>
          <t>ORLY US Equity</t>
        </is>
      </c>
      <c r="C1099" t="inlineStr">
        <is>
          <t>BEST_EPS</t>
        </is>
      </c>
      <c r="D1099" t="inlineStr">
        <is>
          <t>28Y</t>
        </is>
      </c>
      <c r="E1099" t="inlineStr">
        <is>
          <t>EPS estimate FY2028</t>
        </is>
      </c>
      <c r="F1099" s="53">
        <f>_xll.BDP("ORLY US Equity","BEST_EPS","BEST_FPERIOD_OVERRIDE","28Y")</f>
        <v/>
      </c>
    </row>
    <row r="1100">
      <c r="A1100" t="inlineStr">
        <is>
          <t>ORLY</t>
        </is>
      </c>
      <c r="B1100" t="inlineStr">
        <is>
          <t>ORLY US Equity</t>
        </is>
      </c>
      <c r="C1100" t="inlineStr">
        <is>
          <t>BEST_SALES</t>
        </is>
      </c>
      <c r="D1100" t="inlineStr">
        <is>
          <t>28Y</t>
        </is>
      </c>
      <c r="E1100" t="inlineStr">
        <is>
          <t>Revenue estimate FY2028</t>
        </is>
      </c>
      <c r="F1100" s="53">
        <f>_xll.BDP("ORLY US Equity","BEST_SALES","BEST_FPERIOD_OVERRIDE","28Y")</f>
        <v/>
      </c>
    </row>
    <row r="1101">
      <c r="A1101" t="inlineStr">
        <is>
          <t>ORLY</t>
        </is>
      </c>
      <c r="B1101" t="inlineStr">
        <is>
          <t>ORLY US Equity</t>
        </is>
      </c>
      <c r="C1101" t="inlineStr">
        <is>
          <t>BEST_EBIT</t>
        </is>
      </c>
      <c r="D1101" t="inlineStr">
        <is>
          <t>28Y</t>
        </is>
      </c>
      <c r="E1101" t="inlineStr">
        <is>
          <t>EBIT estimate FY2028</t>
        </is>
      </c>
      <c r="F1101" s="53">
        <f>_xll.BDP("ORLY US Equity","BEST_EBIT","BEST_FPERIOD_OVERRIDE","28Y")</f>
        <v/>
      </c>
    </row>
    <row r="1102">
      <c r="A1102" t="inlineStr">
        <is>
          <t>TJX</t>
        </is>
      </c>
      <c r="B1102" t="inlineStr">
        <is>
          <t>TJX US Equity</t>
        </is>
      </c>
      <c r="C1102" t="inlineStr">
        <is>
          <t>PX_LAST</t>
        </is>
      </c>
      <c r="E1102" t="inlineStr">
        <is>
          <t>Last price</t>
        </is>
      </c>
      <c r="F1102" s="53">
        <f>_xll.BDP("TJX US Equity","PX_LAST")</f>
        <v/>
      </c>
    </row>
    <row r="1103">
      <c r="A1103" t="inlineStr">
        <is>
          <t>TJX</t>
        </is>
      </c>
      <c r="B1103" t="inlineStr">
        <is>
          <t>TJX US Equity</t>
        </is>
      </c>
      <c r="C1103" t="inlineStr">
        <is>
          <t>CUR_MKT_CAP</t>
        </is>
      </c>
      <c r="E1103" t="inlineStr">
        <is>
          <t>Market cap (raw)</t>
        </is>
      </c>
      <c r="F1103" s="53">
        <f>_xll.BDP("TJX US Equity","CUR_MKT_CAP")</f>
        <v/>
      </c>
    </row>
    <row r="1104">
      <c r="A1104" t="inlineStr">
        <is>
          <t>TJX</t>
        </is>
      </c>
      <c r="B1104" t="inlineStr">
        <is>
          <t>TJX US Equity</t>
        </is>
      </c>
      <c r="C1104" t="inlineStr">
        <is>
          <t>CHG_PCT_YTD</t>
        </is>
      </c>
      <c r="E1104" t="inlineStr">
        <is>
          <t>YTD price change %</t>
        </is>
      </c>
      <c r="F1104" s="53">
        <f>_xll.BDP("TJX US Equity","CHG_PCT_YTD")</f>
        <v/>
      </c>
    </row>
    <row r="1105">
      <c r="A1105" t="inlineStr">
        <is>
          <t>TJX</t>
        </is>
      </c>
      <c r="B1105" t="inlineStr">
        <is>
          <t>TJX US Equity</t>
        </is>
      </c>
      <c r="C1105" t="inlineStr">
        <is>
          <t>NET_DEBT_TO_EBITDA</t>
        </is>
      </c>
      <c r="E1105" t="inlineStr">
        <is>
          <t>Net debt / EBITDA</t>
        </is>
      </c>
      <c r="F1105" s="53">
        <f>_xll.BDP("TJX US Equity","NET_DEBT_TO_EBITDA")</f>
        <v/>
      </c>
    </row>
    <row r="1106">
      <c r="A1106" t="inlineStr">
        <is>
          <t>TJX</t>
        </is>
      </c>
      <c r="B1106" t="inlineStr">
        <is>
          <t>TJX US Equity</t>
        </is>
      </c>
      <c r="C1106" t="inlineStr">
        <is>
          <t>RETURN_ON_INV_CAPITAL</t>
        </is>
      </c>
      <c r="E1106" t="inlineStr">
        <is>
          <t>ROIC (LTM)</t>
        </is>
      </c>
      <c r="F1106" s="53">
        <f>_xll.BDP("TJX US Equity","RETURN_ON_INV_CAPITAL")</f>
        <v/>
      </c>
    </row>
    <row r="1107">
      <c r="A1107" t="inlineStr">
        <is>
          <t>TJX</t>
        </is>
      </c>
      <c r="B1107" t="inlineStr">
        <is>
          <t>TJX US Equity</t>
        </is>
      </c>
      <c r="C1107" t="inlineStr">
        <is>
          <t>TRAIL_12M_OPER_INC</t>
        </is>
      </c>
      <c r="E1107" t="inlineStr">
        <is>
          <t>LTM operating income</t>
        </is>
      </c>
      <c r="F1107" s="53">
        <f>_xll.BDP("TJX US Equity","TRAIL_12M_OPER_INC")</f>
        <v/>
      </c>
    </row>
    <row r="1108">
      <c r="A1108" t="inlineStr">
        <is>
          <t>TJX</t>
        </is>
      </c>
      <c r="B1108" t="inlineStr">
        <is>
          <t>TJX US Equity</t>
        </is>
      </c>
      <c r="C1108" t="inlineStr">
        <is>
          <t>TRAIL_12M_EBITDA</t>
        </is>
      </c>
      <c r="E1108" t="inlineStr">
        <is>
          <t>LTM EBITDA</t>
        </is>
      </c>
      <c r="F1108" s="53">
        <f>_xll.BDP("TJX US Equity","TRAIL_12M_EBITDA")</f>
        <v/>
      </c>
    </row>
    <row r="1109">
      <c r="A1109" t="inlineStr">
        <is>
          <t>TJX</t>
        </is>
      </c>
      <c r="B1109" t="inlineStr">
        <is>
          <t>TJX US Equity</t>
        </is>
      </c>
      <c r="C1109" t="inlineStr">
        <is>
          <t>SHORT_AND_LONG_TERM_DEBT</t>
        </is>
      </c>
      <c r="E1109" t="inlineStr">
        <is>
          <t>Total debt</t>
        </is>
      </c>
      <c r="F1109" s="53">
        <f>_xll.BDP("TJX US Equity","SHORT_AND_LONG_TERM_DEBT")</f>
        <v/>
      </c>
    </row>
    <row r="1110">
      <c r="A1110" t="inlineStr">
        <is>
          <t>TJX</t>
        </is>
      </c>
      <c r="B1110" t="inlineStr">
        <is>
          <t>TJX US Equity</t>
        </is>
      </c>
      <c r="C1110" t="inlineStr">
        <is>
          <t>TOTAL_EQUITY</t>
        </is>
      </c>
      <c r="E1110" t="inlineStr">
        <is>
          <t>Total equity</t>
        </is>
      </c>
      <c r="F1110" s="53">
        <f>_xll.BDP("TJX US Equity","TOTAL_EQUITY")</f>
        <v/>
      </c>
    </row>
    <row r="1111">
      <c r="A1111" t="inlineStr">
        <is>
          <t>TJX</t>
        </is>
      </c>
      <c r="B1111" t="inlineStr">
        <is>
          <t>TJX US Equity</t>
        </is>
      </c>
      <c r="C1111" t="inlineStr">
        <is>
          <t>BS_CASH_NEAR_CASH_ITEM</t>
        </is>
      </c>
      <c r="E1111" t="inlineStr">
        <is>
          <t>Cash &amp; equivalents</t>
        </is>
      </c>
      <c r="F1111" s="53">
        <f>_xll.BDP("TJX US Equity","BS_CASH_NEAR_CASH_ITEM")</f>
        <v/>
      </c>
    </row>
    <row r="1112">
      <c r="A1112" t="inlineStr">
        <is>
          <t>TJX</t>
        </is>
      </c>
      <c r="B1112" t="inlineStr">
        <is>
          <t>TJX US Equity</t>
        </is>
      </c>
      <c r="C1112" t="inlineStr">
        <is>
          <t>BEST_EPS</t>
        </is>
      </c>
      <c r="D1112" t="inlineStr">
        <is>
          <t>24Y</t>
        </is>
      </c>
      <c r="E1112" t="inlineStr">
        <is>
          <t>EPS estimate FY2024</t>
        </is>
      </c>
      <c r="F1112" s="53">
        <f>_xll.BDP("TJX US Equity","BEST_EPS","BEST_FPERIOD_OVERRIDE","24Y")</f>
        <v/>
      </c>
    </row>
    <row r="1113">
      <c r="A1113" t="inlineStr">
        <is>
          <t>TJX</t>
        </is>
      </c>
      <c r="B1113" t="inlineStr">
        <is>
          <t>TJX US Equity</t>
        </is>
      </c>
      <c r="C1113" t="inlineStr">
        <is>
          <t>BEST_SALES</t>
        </is>
      </c>
      <c r="D1113" t="inlineStr">
        <is>
          <t>24Y</t>
        </is>
      </c>
      <c r="E1113" t="inlineStr">
        <is>
          <t>Revenue estimate FY2024</t>
        </is>
      </c>
      <c r="F1113" s="53">
        <f>_xll.BDP("TJX US Equity","BEST_SALES","BEST_FPERIOD_OVERRIDE","24Y")</f>
        <v/>
      </c>
    </row>
    <row r="1114">
      <c r="A1114" t="inlineStr">
        <is>
          <t>TJX</t>
        </is>
      </c>
      <c r="B1114" t="inlineStr">
        <is>
          <t>TJX US Equity</t>
        </is>
      </c>
      <c r="C1114" t="inlineStr">
        <is>
          <t>BEST_EBIT</t>
        </is>
      </c>
      <c r="D1114" t="inlineStr">
        <is>
          <t>24Y</t>
        </is>
      </c>
      <c r="E1114" t="inlineStr">
        <is>
          <t>EBIT estimate FY2024</t>
        </is>
      </c>
      <c r="F1114" s="53">
        <f>_xll.BDP("TJX US Equity","BEST_EBIT","BEST_FPERIOD_OVERRIDE","24Y")</f>
        <v/>
      </c>
    </row>
    <row r="1115">
      <c r="A1115" t="inlineStr">
        <is>
          <t>TJX</t>
        </is>
      </c>
      <c r="B1115" t="inlineStr">
        <is>
          <t>TJX US Equity</t>
        </is>
      </c>
      <c r="C1115" t="inlineStr">
        <is>
          <t>BEST_EPS</t>
        </is>
      </c>
      <c r="D1115" t="inlineStr">
        <is>
          <t>25Y</t>
        </is>
      </c>
      <c r="E1115" t="inlineStr">
        <is>
          <t>EPS estimate FY2025</t>
        </is>
      </c>
      <c r="F1115" s="53">
        <f>_xll.BDP("TJX US Equity","BEST_EPS","BEST_FPERIOD_OVERRIDE","25Y")</f>
        <v/>
      </c>
    </row>
    <row r="1116">
      <c r="A1116" t="inlineStr">
        <is>
          <t>TJX</t>
        </is>
      </c>
      <c r="B1116" t="inlineStr">
        <is>
          <t>TJX US Equity</t>
        </is>
      </c>
      <c r="C1116" t="inlineStr">
        <is>
          <t>BEST_SALES</t>
        </is>
      </c>
      <c r="D1116" t="inlineStr">
        <is>
          <t>25Y</t>
        </is>
      </c>
      <c r="E1116" t="inlineStr">
        <is>
          <t>Revenue estimate FY2025</t>
        </is>
      </c>
      <c r="F1116" s="53">
        <f>_xll.BDP("TJX US Equity","BEST_SALES","BEST_FPERIOD_OVERRIDE","25Y")</f>
        <v/>
      </c>
    </row>
    <row r="1117">
      <c r="A1117" t="inlineStr">
        <is>
          <t>TJX</t>
        </is>
      </c>
      <c r="B1117" t="inlineStr">
        <is>
          <t>TJX US Equity</t>
        </is>
      </c>
      <c r="C1117" t="inlineStr">
        <is>
          <t>BEST_EBIT</t>
        </is>
      </c>
      <c r="D1117" t="inlineStr">
        <is>
          <t>25Y</t>
        </is>
      </c>
      <c r="E1117" t="inlineStr">
        <is>
          <t>EBIT estimate FY2025</t>
        </is>
      </c>
      <c r="F1117" s="53">
        <f>_xll.BDP("TJX US Equity","BEST_EBIT","BEST_FPERIOD_OVERRIDE","25Y")</f>
        <v/>
      </c>
    </row>
    <row r="1118">
      <c r="A1118" t="inlineStr">
        <is>
          <t>TJX</t>
        </is>
      </c>
      <c r="B1118" t="inlineStr">
        <is>
          <t>TJX US Equity</t>
        </is>
      </c>
      <c r="C1118" t="inlineStr">
        <is>
          <t>BEST_EPS</t>
        </is>
      </c>
      <c r="D1118" t="inlineStr">
        <is>
          <t>26Y</t>
        </is>
      </c>
      <c r="E1118" t="inlineStr">
        <is>
          <t>EPS estimate FY2026</t>
        </is>
      </c>
      <c r="F1118" s="53">
        <f>_xll.BDP("TJX US Equity","BEST_EPS","BEST_FPERIOD_OVERRIDE","26Y")</f>
        <v/>
      </c>
    </row>
    <row r="1119">
      <c r="A1119" t="inlineStr">
        <is>
          <t>TJX</t>
        </is>
      </c>
      <c r="B1119" t="inlineStr">
        <is>
          <t>TJX US Equity</t>
        </is>
      </c>
      <c r="C1119" t="inlineStr">
        <is>
          <t>BEST_SALES</t>
        </is>
      </c>
      <c r="D1119" t="inlineStr">
        <is>
          <t>26Y</t>
        </is>
      </c>
      <c r="E1119" t="inlineStr">
        <is>
          <t>Revenue estimate FY2026</t>
        </is>
      </c>
      <c r="F1119" s="53">
        <f>_xll.BDP("TJX US Equity","BEST_SALES","BEST_FPERIOD_OVERRIDE","26Y")</f>
        <v/>
      </c>
    </row>
    <row r="1120">
      <c r="A1120" t="inlineStr">
        <is>
          <t>TJX</t>
        </is>
      </c>
      <c r="B1120" t="inlineStr">
        <is>
          <t>TJX US Equity</t>
        </is>
      </c>
      <c r="C1120" t="inlineStr">
        <is>
          <t>BEST_EBIT</t>
        </is>
      </c>
      <c r="D1120" t="inlineStr">
        <is>
          <t>26Y</t>
        </is>
      </c>
      <c r="E1120" t="inlineStr">
        <is>
          <t>EBIT estimate FY2026</t>
        </is>
      </c>
      <c r="F1120" s="53">
        <f>_xll.BDP("TJX US Equity","BEST_EBIT","BEST_FPERIOD_OVERRIDE","26Y")</f>
        <v/>
      </c>
    </row>
    <row r="1121">
      <c r="A1121" t="inlineStr">
        <is>
          <t>TJX</t>
        </is>
      </c>
      <c r="B1121" t="inlineStr">
        <is>
          <t>TJX US Equity</t>
        </is>
      </c>
      <c r="C1121" t="inlineStr">
        <is>
          <t>BEST_EPS</t>
        </is>
      </c>
      <c r="D1121" t="inlineStr">
        <is>
          <t>27Y</t>
        </is>
      </c>
      <c r="E1121" t="inlineStr">
        <is>
          <t>EPS estimate FY2027</t>
        </is>
      </c>
      <c r="F1121" s="53">
        <f>_xll.BDP("TJX US Equity","BEST_EPS","BEST_FPERIOD_OVERRIDE","27Y")</f>
        <v/>
      </c>
    </row>
    <row r="1122">
      <c r="A1122" t="inlineStr">
        <is>
          <t>TJX</t>
        </is>
      </c>
      <c r="B1122" t="inlineStr">
        <is>
          <t>TJX US Equity</t>
        </is>
      </c>
      <c r="C1122" t="inlineStr">
        <is>
          <t>BEST_SALES</t>
        </is>
      </c>
      <c r="D1122" t="inlineStr">
        <is>
          <t>27Y</t>
        </is>
      </c>
      <c r="E1122" t="inlineStr">
        <is>
          <t>Revenue estimate FY2027</t>
        </is>
      </c>
      <c r="F1122" s="53">
        <f>_xll.BDP("TJX US Equity","BEST_SALES","BEST_FPERIOD_OVERRIDE","27Y")</f>
        <v/>
      </c>
    </row>
    <row r="1123">
      <c r="A1123" t="inlineStr">
        <is>
          <t>TJX</t>
        </is>
      </c>
      <c r="B1123" t="inlineStr">
        <is>
          <t>TJX US Equity</t>
        </is>
      </c>
      <c r="C1123" t="inlineStr">
        <is>
          <t>BEST_EBIT</t>
        </is>
      </c>
      <c r="D1123" t="inlineStr">
        <is>
          <t>27Y</t>
        </is>
      </c>
      <c r="E1123" t="inlineStr">
        <is>
          <t>EBIT estimate FY2027</t>
        </is>
      </c>
      <c r="F1123" s="53">
        <f>_xll.BDP("TJX US Equity","BEST_EBIT","BEST_FPERIOD_OVERRIDE","27Y")</f>
        <v/>
      </c>
    </row>
    <row r="1124">
      <c r="A1124" t="inlineStr">
        <is>
          <t>TJX</t>
        </is>
      </c>
      <c r="B1124" t="inlineStr">
        <is>
          <t>TJX US Equity</t>
        </is>
      </c>
      <c r="C1124" t="inlineStr">
        <is>
          <t>BEST_EPS</t>
        </is>
      </c>
      <c r="D1124" t="inlineStr">
        <is>
          <t>28Y</t>
        </is>
      </c>
      <c r="E1124" t="inlineStr">
        <is>
          <t>EPS estimate FY2028</t>
        </is>
      </c>
      <c r="F1124" s="53">
        <f>_xll.BDP("TJX US Equity","BEST_EPS","BEST_FPERIOD_OVERRIDE","28Y")</f>
        <v/>
      </c>
    </row>
    <row r="1125">
      <c r="A1125" t="inlineStr">
        <is>
          <t>TJX</t>
        </is>
      </c>
      <c r="B1125" t="inlineStr">
        <is>
          <t>TJX US Equity</t>
        </is>
      </c>
      <c r="C1125" t="inlineStr">
        <is>
          <t>BEST_SALES</t>
        </is>
      </c>
      <c r="D1125" t="inlineStr">
        <is>
          <t>28Y</t>
        </is>
      </c>
      <c r="E1125" t="inlineStr">
        <is>
          <t>Revenue estimate FY2028</t>
        </is>
      </c>
      <c r="F1125" s="53">
        <f>_xll.BDP("TJX US Equity","BEST_SALES","BEST_FPERIOD_OVERRIDE","28Y")</f>
        <v/>
      </c>
    </row>
    <row r="1126">
      <c r="A1126" t="inlineStr">
        <is>
          <t>TJX</t>
        </is>
      </c>
      <c r="B1126" t="inlineStr">
        <is>
          <t>TJX US Equity</t>
        </is>
      </c>
      <c r="C1126" t="inlineStr">
        <is>
          <t>BEST_EBIT</t>
        </is>
      </c>
      <c r="D1126" t="inlineStr">
        <is>
          <t>28Y</t>
        </is>
      </c>
      <c r="E1126" t="inlineStr">
        <is>
          <t>EBIT estimate FY2028</t>
        </is>
      </c>
      <c r="F1126" s="53">
        <f>_xll.BDP("TJX US Equity","BEST_EBIT","BEST_FPERIOD_OVERRIDE","28Y")</f>
        <v/>
      </c>
    </row>
    <row r="1127">
      <c r="A1127" t="inlineStr">
        <is>
          <t>HLT</t>
        </is>
      </c>
      <c r="B1127" t="inlineStr">
        <is>
          <t>HLT US Equity</t>
        </is>
      </c>
      <c r="C1127" t="inlineStr">
        <is>
          <t>PX_LAST</t>
        </is>
      </c>
      <c r="E1127" t="inlineStr">
        <is>
          <t>Last price</t>
        </is>
      </c>
      <c r="F1127" s="53">
        <f>_xll.BDP("HLT US Equity","PX_LAST")</f>
        <v/>
      </c>
    </row>
    <row r="1128">
      <c r="A1128" t="inlineStr">
        <is>
          <t>HLT</t>
        </is>
      </c>
      <c r="B1128" t="inlineStr">
        <is>
          <t>HLT US Equity</t>
        </is>
      </c>
      <c r="C1128" t="inlineStr">
        <is>
          <t>CUR_MKT_CAP</t>
        </is>
      </c>
      <c r="E1128" t="inlineStr">
        <is>
          <t>Market cap (raw)</t>
        </is>
      </c>
      <c r="F1128" s="53">
        <f>_xll.BDP("HLT US Equity","CUR_MKT_CAP")</f>
        <v/>
      </c>
    </row>
    <row r="1129">
      <c r="A1129" t="inlineStr">
        <is>
          <t>HLT</t>
        </is>
      </c>
      <c r="B1129" t="inlineStr">
        <is>
          <t>HLT US Equity</t>
        </is>
      </c>
      <c r="C1129" t="inlineStr">
        <is>
          <t>CHG_PCT_YTD</t>
        </is>
      </c>
      <c r="E1129" t="inlineStr">
        <is>
          <t>YTD price change %</t>
        </is>
      </c>
      <c r="F1129" s="53">
        <f>_xll.BDP("HLT US Equity","CHG_PCT_YTD")</f>
        <v/>
      </c>
    </row>
    <row r="1130">
      <c r="A1130" t="inlineStr">
        <is>
          <t>HLT</t>
        </is>
      </c>
      <c r="B1130" t="inlineStr">
        <is>
          <t>HLT US Equity</t>
        </is>
      </c>
      <c r="C1130" t="inlineStr">
        <is>
          <t>NET_DEBT_TO_EBITDA</t>
        </is>
      </c>
      <c r="E1130" t="inlineStr">
        <is>
          <t>Net debt / EBITDA</t>
        </is>
      </c>
      <c r="F1130" s="53">
        <f>_xll.BDP("HLT US Equity","NET_DEBT_TO_EBITDA")</f>
        <v/>
      </c>
    </row>
    <row r="1131">
      <c r="A1131" t="inlineStr">
        <is>
          <t>HLT</t>
        </is>
      </c>
      <c r="B1131" t="inlineStr">
        <is>
          <t>HLT US Equity</t>
        </is>
      </c>
      <c r="C1131" t="inlineStr">
        <is>
          <t>RETURN_ON_INV_CAPITAL</t>
        </is>
      </c>
      <c r="E1131" t="inlineStr">
        <is>
          <t>ROIC (LTM)</t>
        </is>
      </c>
      <c r="F1131" s="53">
        <f>_xll.BDP("HLT US Equity","RETURN_ON_INV_CAPITAL")</f>
        <v/>
      </c>
    </row>
    <row r="1132">
      <c r="A1132" t="inlineStr">
        <is>
          <t>HLT</t>
        </is>
      </c>
      <c r="B1132" t="inlineStr">
        <is>
          <t>HLT US Equity</t>
        </is>
      </c>
      <c r="C1132" t="inlineStr">
        <is>
          <t>TRAIL_12M_OPER_INC</t>
        </is>
      </c>
      <c r="E1132" t="inlineStr">
        <is>
          <t>LTM operating income</t>
        </is>
      </c>
      <c r="F1132" s="53">
        <f>_xll.BDP("HLT US Equity","TRAIL_12M_OPER_INC")</f>
        <v/>
      </c>
    </row>
    <row r="1133">
      <c r="A1133" t="inlineStr">
        <is>
          <t>HLT</t>
        </is>
      </c>
      <c r="B1133" t="inlineStr">
        <is>
          <t>HLT US Equity</t>
        </is>
      </c>
      <c r="C1133" t="inlineStr">
        <is>
          <t>TRAIL_12M_EBITDA</t>
        </is>
      </c>
      <c r="E1133" t="inlineStr">
        <is>
          <t>LTM EBITDA</t>
        </is>
      </c>
      <c r="F1133" s="53">
        <f>_xll.BDP("HLT US Equity","TRAIL_12M_EBITDA")</f>
        <v/>
      </c>
    </row>
    <row r="1134">
      <c r="A1134" t="inlineStr">
        <is>
          <t>HLT</t>
        </is>
      </c>
      <c r="B1134" t="inlineStr">
        <is>
          <t>HLT US Equity</t>
        </is>
      </c>
      <c r="C1134" t="inlineStr">
        <is>
          <t>SHORT_AND_LONG_TERM_DEBT</t>
        </is>
      </c>
      <c r="E1134" t="inlineStr">
        <is>
          <t>Total debt</t>
        </is>
      </c>
      <c r="F1134" s="53">
        <f>_xll.BDP("HLT US Equity","SHORT_AND_LONG_TERM_DEBT")</f>
        <v/>
      </c>
    </row>
    <row r="1135">
      <c r="A1135" t="inlineStr">
        <is>
          <t>HLT</t>
        </is>
      </c>
      <c r="B1135" t="inlineStr">
        <is>
          <t>HLT US Equity</t>
        </is>
      </c>
      <c r="C1135" t="inlineStr">
        <is>
          <t>TOTAL_EQUITY</t>
        </is>
      </c>
      <c r="E1135" t="inlineStr">
        <is>
          <t>Total equity</t>
        </is>
      </c>
      <c r="F1135" s="53">
        <f>_xll.BDP("HLT US Equity","TOTAL_EQUITY")</f>
        <v/>
      </c>
    </row>
    <row r="1136">
      <c r="A1136" t="inlineStr">
        <is>
          <t>HLT</t>
        </is>
      </c>
      <c r="B1136" t="inlineStr">
        <is>
          <t>HLT US Equity</t>
        </is>
      </c>
      <c r="C1136" t="inlineStr">
        <is>
          <t>BS_CASH_NEAR_CASH_ITEM</t>
        </is>
      </c>
      <c r="E1136" t="inlineStr">
        <is>
          <t>Cash &amp; equivalents</t>
        </is>
      </c>
      <c r="F1136" s="53">
        <f>_xll.BDP("HLT US Equity","BS_CASH_NEAR_CASH_ITEM")</f>
        <v/>
      </c>
    </row>
    <row r="1137">
      <c r="A1137" t="inlineStr">
        <is>
          <t>HLT</t>
        </is>
      </c>
      <c r="B1137" t="inlineStr">
        <is>
          <t>HLT US Equity</t>
        </is>
      </c>
      <c r="C1137" t="inlineStr">
        <is>
          <t>BEST_EPS</t>
        </is>
      </c>
      <c r="D1137" t="inlineStr">
        <is>
          <t>24Y</t>
        </is>
      </c>
      <c r="E1137" t="inlineStr">
        <is>
          <t>EPS estimate FY2024</t>
        </is>
      </c>
      <c r="F1137" s="53">
        <f>_xll.BDP("HLT US Equity","BEST_EPS","BEST_FPERIOD_OVERRIDE","24Y")</f>
        <v/>
      </c>
    </row>
    <row r="1138">
      <c r="A1138" t="inlineStr">
        <is>
          <t>HLT</t>
        </is>
      </c>
      <c r="B1138" t="inlineStr">
        <is>
          <t>HLT US Equity</t>
        </is>
      </c>
      <c r="C1138" t="inlineStr">
        <is>
          <t>BEST_SALES</t>
        </is>
      </c>
      <c r="D1138" t="inlineStr">
        <is>
          <t>24Y</t>
        </is>
      </c>
      <c r="E1138" t="inlineStr">
        <is>
          <t>Revenue estimate FY2024</t>
        </is>
      </c>
      <c r="F1138" s="53">
        <f>_xll.BDP("HLT US Equity","BEST_SALES","BEST_FPERIOD_OVERRIDE","24Y")</f>
        <v/>
      </c>
    </row>
    <row r="1139">
      <c r="A1139" t="inlineStr">
        <is>
          <t>HLT</t>
        </is>
      </c>
      <c r="B1139" t="inlineStr">
        <is>
          <t>HLT US Equity</t>
        </is>
      </c>
      <c r="C1139" t="inlineStr">
        <is>
          <t>BEST_EBIT</t>
        </is>
      </c>
      <c r="D1139" t="inlineStr">
        <is>
          <t>24Y</t>
        </is>
      </c>
      <c r="E1139" t="inlineStr">
        <is>
          <t>EBIT estimate FY2024</t>
        </is>
      </c>
      <c r="F1139" s="53">
        <f>_xll.BDP("HLT US Equity","BEST_EBIT","BEST_FPERIOD_OVERRIDE","24Y")</f>
        <v/>
      </c>
    </row>
    <row r="1140">
      <c r="A1140" t="inlineStr">
        <is>
          <t>HLT</t>
        </is>
      </c>
      <c r="B1140" t="inlineStr">
        <is>
          <t>HLT US Equity</t>
        </is>
      </c>
      <c r="C1140" t="inlineStr">
        <is>
          <t>BEST_EPS</t>
        </is>
      </c>
      <c r="D1140" t="inlineStr">
        <is>
          <t>25Y</t>
        </is>
      </c>
      <c r="E1140" t="inlineStr">
        <is>
          <t>EPS estimate FY2025</t>
        </is>
      </c>
      <c r="F1140" s="53">
        <f>_xll.BDP("HLT US Equity","BEST_EPS","BEST_FPERIOD_OVERRIDE","25Y")</f>
        <v/>
      </c>
    </row>
    <row r="1141">
      <c r="A1141" t="inlineStr">
        <is>
          <t>HLT</t>
        </is>
      </c>
      <c r="B1141" t="inlineStr">
        <is>
          <t>HLT US Equity</t>
        </is>
      </c>
      <c r="C1141" t="inlineStr">
        <is>
          <t>BEST_SALES</t>
        </is>
      </c>
      <c r="D1141" t="inlineStr">
        <is>
          <t>25Y</t>
        </is>
      </c>
      <c r="E1141" t="inlineStr">
        <is>
          <t>Revenue estimate FY2025</t>
        </is>
      </c>
      <c r="F1141" s="53">
        <f>_xll.BDP("HLT US Equity","BEST_SALES","BEST_FPERIOD_OVERRIDE","25Y")</f>
        <v/>
      </c>
    </row>
    <row r="1142">
      <c r="A1142" t="inlineStr">
        <is>
          <t>HLT</t>
        </is>
      </c>
      <c r="B1142" t="inlineStr">
        <is>
          <t>HLT US Equity</t>
        </is>
      </c>
      <c r="C1142" t="inlineStr">
        <is>
          <t>BEST_EBIT</t>
        </is>
      </c>
      <c r="D1142" t="inlineStr">
        <is>
          <t>25Y</t>
        </is>
      </c>
      <c r="E1142" t="inlineStr">
        <is>
          <t>EBIT estimate FY2025</t>
        </is>
      </c>
      <c r="F1142" s="53">
        <f>_xll.BDP("HLT US Equity","BEST_EBIT","BEST_FPERIOD_OVERRIDE","25Y")</f>
        <v/>
      </c>
    </row>
    <row r="1143">
      <c r="A1143" t="inlineStr">
        <is>
          <t>HLT</t>
        </is>
      </c>
      <c r="B1143" t="inlineStr">
        <is>
          <t>HLT US Equity</t>
        </is>
      </c>
      <c r="C1143" t="inlineStr">
        <is>
          <t>BEST_EPS</t>
        </is>
      </c>
      <c r="D1143" t="inlineStr">
        <is>
          <t>26Y</t>
        </is>
      </c>
      <c r="E1143" t="inlineStr">
        <is>
          <t>EPS estimate FY2026</t>
        </is>
      </c>
      <c r="F1143" s="53">
        <f>_xll.BDP("HLT US Equity","BEST_EPS","BEST_FPERIOD_OVERRIDE","26Y")</f>
        <v/>
      </c>
    </row>
    <row r="1144">
      <c r="A1144" t="inlineStr">
        <is>
          <t>HLT</t>
        </is>
      </c>
      <c r="B1144" t="inlineStr">
        <is>
          <t>HLT US Equity</t>
        </is>
      </c>
      <c r="C1144" t="inlineStr">
        <is>
          <t>BEST_SALES</t>
        </is>
      </c>
      <c r="D1144" t="inlineStr">
        <is>
          <t>26Y</t>
        </is>
      </c>
      <c r="E1144" t="inlineStr">
        <is>
          <t>Revenue estimate FY2026</t>
        </is>
      </c>
      <c r="F1144" s="53">
        <f>_xll.BDP("HLT US Equity","BEST_SALES","BEST_FPERIOD_OVERRIDE","26Y")</f>
        <v/>
      </c>
    </row>
    <row r="1145">
      <c r="A1145" t="inlineStr">
        <is>
          <t>HLT</t>
        </is>
      </c>
      <c r="B1145" t="inlineStr">
        <is>
          <t>HLT US Equity</t>
        </is>
      </c>
      <c r="C1145" t="inlineStr">
        <is>
          <t>BEST_EBIT</t>
        </is>
      </c>
      <c r="D1145" t="inlineStr">
        <is>
          <t>26Y</t>
        </is>
      </c>
      <c r="E1145" t="inlineStr">
        <is>
          <t>EBIT estimate FY2026</t>
        </is>
      </c>
      <c r="F1145" s="53">
        <f>_xll.BDP("HLT US Equity","BEST_EBIT","BEST_FPERIOD_OVERRIDE","26Y")</f>
        <v/>
      </c>
    </row>
    <row r="1146">
      <c r="A1146" t="inlineStr">
        <is>
          <t>HLT</t>
        </is>
      </c>
      <c r="B1146" t="inlineStr">
        <is>
          <t>HLT US Equity</t>
        </is>
      </c>
      <c r="C1146" t="inlineStr">
        <is>
          <t>BEST_EPS</t>
        </is>
      </c>
      <c r="D1146" t="inlineStr">
        <is>
          <t>27Y</t>
        </is>
      </c>
      <c r="E1146" t="inlineStr">
        <is>
          <t>EPS estimate FY2027</t>
        </is>
      </c>
      <c r="F1146" s="53">
        <f>_xll.BDP("HLT US Equity","BEST_EPS","BEST_FPERIOD_OVERRIDE","27Y")</f>
        <v/>
      </c>
    </row>
    <row r="1147">
      <c r="A1147" t="inlineStr">
        <is>
          <t>HLT</t>
        </is>
      </c>
      <c r="B1147" t="inlineStr">
        <is>
          <t>HLT US Equity</t>
        </is>
      </c>
      <c r="C1147" t="inlineStr">
        <is>
          <t>BEST_SALES</t>
        </is>
      </c>
      <c r="D1147" t="inlineStr">
        <is>
          <t>27Y</t>
        </is>
      </c>
      <c r="E1147" t="inlineStr">
        <is>
          <t>Revenue estimate FY2027</t>
        </is>
      </c>
      <c r="F1147" s="53">
        <f>_xll.BDP("HLT US Equity","BEST_SALES","BEST_FPERIOD_OVERRIDE","27Y")</f>
        <v/>
      </c>
    </row>
    <row r="1148">
      <c r="A1148" t="inlineStr">
        <is>
          <t>HLT</t>
        </is>
      </c>
      <c r="B1148" t="inlineStr">
        <is>
          <t>HLT US Equity</t>
        </is>
      </c>
      <c r="C1148" t="inlineStr">
        <is>
          <t>BEST_EBIT</t>
        </is>
      </c>
      <c r="D1148" t="inlineStr">
        <is>
          <t>27Y</t>
        </is>
      </c>
      <c r="E1148" t="inlineStr">
        <is>
          <t>EBIT estimate FY2027</t>
        </is>
      </c>
      <c r="F1148" s="53">
        <f>_xll.BDP("HLT US Equity","BEST_EBIT","BEST_FPERIOD_OVERRIDE","27Y")</f>
        <v/>
      </c>
    </row>
    <row r="1149">
      <c r="A1149" t="inlineStr">
        <is>
          <t>HLT</t>
        </is>
      </c>
      <c r="B1149" t="inlineStr">
        <is>
          <t>HLT US Equity</t>
        </is>
      </c>
      <c r="C1149" t="inlineStr">
        <is>
          <t>BEST_EPS</t>
        </is>
      </c>
      <c r="D1149" t="inlineStr">
        <is>
          <t>28Y</t>
        </is>
      </c>
      <c r="E1149" t="inlineStr">
        <is>
          <t>EPS estimate FY2028</t>
        </is>
      </c>
      <c r="F1149" s="53">
        <f>_xll.BDP("HLT US Equity","BEST_EPS","BEST_FPERIOD_OVERRIDE","28Y")</f>
        <v/>
      </c>
    </row>
    <row r="1150">
      <c r="A1150" t="inlineStr">
        <is>
          <t>HLT</t>
        </is>
      </c>
      <c r="B1150" t="inlineStr">
        <is>
          <t>HLT US Equity</t>
        </is>
      </c>
      <c r="C1150" t="inlineStr">
        <is>
          <t>BEST_SALES</t>
        </is>
      </c>
      <c r="D1150" t="inlineStr">
        <is>
          <t>28Y</t>
        </is>
      </c>
      <c r="E1150" t="inlineStr">
        <is>
          <t>Revenue estimate FY2028</t>
        </is>
      </c>
      <c r="F1150" s="53">
        <f>_xll.BDP("HLT US Equity","BEST_SALES","BEST_FPERIOD_OVERRIDE","28Y")</f>
        <v/>
      </c>
    </row>
    <row r="1151">
      <c r="A1151" t="inlineStr">
        <is>
          <t>HLT</t>
        </is>
      </c>
      <c r="B1151" t="inlineStr">
        <is>
          <t>HLT US Equity</t>
        </is>
      </c>
      <c r="C1151" t="inlineStr">
        <is>
          <t>BEST_EBIT</t>
        </is>
      </c>
      <c r="D1151" t="inlineStr">
        <is>
          <t>28Y</t>
        </is>
      </c>
      <c r="E1151" t="inlineStr">
        <is>
          <t>EBIT estimate FY2028</t>
        </is>
      </c>
      <c r="F1151" s="53">
        <f>_xll.BDP("HLT US Equity","BEST_EBIT","BEST_FPERIOD_OVERRIDE","28Y")</f>
        <v/>
      </c>
    </row>
    <row r="1152">
      <c r="A1152" t="inlineStr">
        <is>
          <t>BKNG</t>
        </is>
      </c>
      <c r="B1152" t="inlineStr">
        <is>
          <t>BKNG US Equity</t>
        </is>
      </c>
      <c r="C1152" t="inlineStr">
        <is>
          <t>PX_LAST</t>
        </is>
      </c>
      <c r="E1152" t="inlineStr">
        <is>
          <t>Last price</t>
        </is>
      </c>
      <c r="F1152" s="53">
        <f>_xll.BDP("BKNG US Equity","PX_LAST")</f>
        <v/>
      </c>
    </row>
    <row r="1153">
      <c r="A1153" t="inlineStr">
        <is>
          <t>BKNG</t>
        </is>
      </c>
      <c r="B1153" t="inlineStr">
        <is>
          <t>BKNG US Equity</t>
        </is>
      </c>
      <c r="C1153" t="inlineStr">
        <is>
          <t>CUR_MKT_CAP</t>
        </is>
      </c>
      <c r="E1153" t="inlineStr">
        <is>
          <t>Market cap (raw)</t>
        </is>
      </c>
      <c r="F1153" s="53">
        <f>_xll.BDP("BKNG US Equity","CUR_MKT_CAP")</f>
        <v/>
      </c>
    </row>
    <row r="1154">
      <c r="A1154" t="inlineStr">
        <is>
          <t>BKNG</t>
        </is>
      </c>
      <c r="B1154" t="inlineStr">
        <is>
          <t>BKNG US Equity</t>
        </is>
      </c>
      <c r="C1154" t="inlineStr">
        <is>
          <t>CHG_PCT_YTD</t>
        </is>
      </c>
      <c r="E1154" t="inlineStr">
        <is>
          <t>YTD price change %</t>
        </is>
      </c>
      <c r="F1154" s="53">
        <f>_xll.BDP("BKNG US Equity","CHG_PCT_YTD")</f>
        <v/>
      </c>
    </row>
    <row r="1155">
      <c r="A1155" t="inlineStr">
        <is>
          <t>BKNG</t>
        </is>
      </c>
      <c r="B1155" t="inlineStr">
        <is>
          <t>BKNG US Equity</t>
        </is>
      </c>
      <c r="C1155" t="inlineStr">
        <is>
          <t>NET_DEBT_TO_EBITDA</t>
        </is>
      </c>
      <c r="E1155" t="inlineStr">
        <is>
          <t>Net debt / EBITDA</t>
        </is>
      </c>
      <c r="F1155" s="53">
        <f>_xll.BDP("BKNG US Equity","NET_DEBT_TO_EBITDA")</f>
        <v/>
      </c>
    </row>
    <row r="1156">
      <c r="A1156" t="inlineStr">
        <is>
          <t>BKNG</t>
        </is>
      </c>
      <c r="B1156" t="inlineStr">
        <is>
          <t>BKNG US Equity</t>
        </is>
      </c>
      <c r="C1156" t="inlineStr">
        <is>
          <t>RETURN_ON_INV_CAPITAL</t>
        </is>
      </c>
      <c r="E1156" t="inlineStr">
        <is>
          <t>ROIC (LTM)</t>
        </is>
      </c>
      <c r="F1156" s="53">
        <f>_xll.BDP("BKNG US Equity","RETURN_ON_INV_CAPITAL")</f>
        <v/>
      </c>
    </row>
    <row r="1157">
      <c r="A1157" t="inlineStr">
        <is>
          <t>BKNG</t>
        </is>
      </c>
      <c r="B1157" t="inlineStr">
        <is>
          <t>BKNG US Equity</t>
        </is>
      </c>
      <c r="C1157" t="inlineStr">
        <is>
          <t>TRAIL_12M_OPER_INC</t>
        </is>
      </c>
      <c r="E1157" t="inlineStr">
        <is>
          <t>LTM operating income</t>
        </is>
      </c>
      <c r="F1157" s="53">
        <f>_xll.BDP("BKNG US Equity","TRAIL_12M_OPER_INC")</f>
        <v/>
      </c>
    </row>
    <row r="1158">
      <c r="A1158" t="inlineStr">
        <is>
          <t>BKNG</t>
        </is>
      </c>
      <c r="B1158" t="inlineStr">
        <is>
          <t>BKNG US Equity</t>
        </is>
      </c>
      <c r="C1158" t="inlineStr">
        <is>
          <t>TRAIL_12M_EBITDA</t>
        </is>
      </c>
      <c r="E1158" t="inlineStr">
        <is>
          <t>LTM EBITDA</t>
        </is>
      </c>
      <c r="F1158" s="53">
        <f>_xll.BDP("BKNG US Equity","TRAIL_12M_EBITDA")</f>
        <v/>
      </c>
    </row>
    <row r="1159">
      <c r="A1159" t="inlineStr">
        <is>
          <t>BKNG</t>
        </is>
      </c>
      <c r="B1159" t="inlineStr">
        <is>
          <t>BKNG US Equity</t>
        </is>
      </c>
      <c r="C1159" t="inlineStr">
        <is>
          <t>SHORT_AND_LONG_TERM_DEBT</t>
        </is>
      </c>
      <c r="E1159" t="inlineStr">
        <is>
          <t>Total debt</t>
        </is>
      </c>
      <c r="F1159" s="53">
        <f>_xll.BDP("BKNG US Equity","SHORT_AND_LONG_TERM_DEBT")</f>
        <v/>
      </c>
    </row>
    <row r="1160">
      <c r="A1160" t="inlineStr">
        <is>
          <t>BKNG</t>
        </is>
      </c>
      <c r="B1160" t="inlineStr">
        <is>
          <t>BKNG US Equity</t>
        </is>
      </c>
      <c r="C1160" t="inlineStr">
        <is>
          <t>TOTAL_EQUITY</t>
        </is>
      </c>
      <c r="E1160" t="inlineStr">
        <is>
          <t>Total equity</t>
        </is>
      </c>
      <c r="F1160" s="53">
        <f>_xll.BDP("BKNG US Equity","TOTAL_EQUITY")</f>
        <v/>
      </c>
    </row>
    <row r="1161">
      <c r="A1161" t="inlineStr">
        <is>
          <t>BKNG</t>
        </is>
      </c>
      <c r="B1161" t="inlineStr">
        <is>
          <t>BKNG US Equity</t>
        </is>
      </c>
      <c r="C1161" t="inlineStr">
        <is>
          <t>BS_CASH_NEAR_CASH_ITEM</t>
        </is>
      </c>
      <c r="E1161" t="inlineStr">
        <is>
          <t>Cash &amp; equivalents</t>
        </is>
      </c>
      <c r="F1161" s="53">
        <f>_xll.BDP("BKNG US Equity","BS_CASH_NEAR_CASH_ITEM")</f>
        <v/>
      </c>
    </row>
    <row r="1162">
      <c r="A1162" t="inlineStr">
        <is>
          <t>BKNG</t>
        </is>
      </c>
      <c r="B1162" t="inlineStr">
        <is>
          <t>BKNG US Equity</t>
        </is>
      </c>
      <c r="C1162" t="inlineStr">
        <is>
          <t>BEST_EPS</t>
        </is>
      </c>
      <c r="D1162" t="inlineStr">
        <is>
          <t>24Y</t>
        </is>
      </c>
      <c r="E1162" t="inlineStr">
        <is>
          <t>EPS estimate FY2024</t>
        </is>
      </c>
      <c r="F1162" s="53">
        <f>_xll.BDP("BKNG US Equity","BEST_EPS","BEST_FPERIOD_OVERRIDE","24Y")</f>
        <v/>
      </c>
    </row>
    <row r="1163">
      <c r="A1163" t="inlineStr">
        <is>
          <t>BKNG</t>
        </is>
      </c>
      <c r="B1163" t="inlineStr">
        <is>
          <t>BKNG US Equity</t>
        </is>
      </c>
      <c r="C1163" t="inlineStr">
        <is>
          <t>BEST_SALES</t>
        </is>
      </c>
      <c r="D1163" t="inlineStr">
        <is>
          <t>24Y</t>
        </is>
      </c>
      <c r="E1163" t="inlineStr">
        <is>
          <t>Revenue estimate FY2024</t>
        </is>
      </c>
      <c r="F1163" s="53">
        <f>_xll.BDP("BKNG US Equity","BEST_SALES","BEST_FPERIOD_OVERRIDE","24Y")</f>
        <v/>
      </c>
    </row>
    <row r="1164">
      <c r="A1164" t="inlineStr">
        <is>
          <t>BKNG</t>
        </is>
      </c>
      <c r="B1164" t="inlineStr">
        <is>
          <t>BKNG US Equity</t>
        </is>
      </c>
      <c r="C1164" t="inlineStr">
        <is>
          <t>BEST_EBIT</t>
        </is>
      </c>
      <c r="D1164" t="inlineStr">
        <is>
          <t>24Y</t>
        </is>
      </c>
      <c r="E1164" t="inlineStr">
        <is>
          <t>EBIT estimate FY2024</t>
        </is>
      </c>
      <c r="F1164" s="53">
        <f>_xll.BDP("BKNG US Equity","BEST_EBIT","BEST_FPERIOD_OVERRIDE","24Y")</f>
        <v/>
      </c>
    </row>
    <row r="1165">
      <c r="A1165" t="inlineStr">
        <is>
          <t>BKNG</t>
        </is>
      </c>
      <c r="B1165" t="inlineStr">
        <is>
          <t>BKNG US Equity</t>
        </is>
      </c>
      <c r="C1165" t="inlineStr">
        <is>
          <t>BEST_EPS</t>
        </is>
      </c>
      <c r="D1165" t="inlineStr">
        <is>
          <t>25Y</t>
        </is>
      </c>
      <c r="E1165" t="inlineStr">
        <is>
          <t>EPS estimate FY2025</t>
        </is>
      </c>
      <c r="F1165" s="53">
        <f>_xll.BDP("BKNG US Equity","BEST_EPS","BEST_FPERIOD_OVERRIDE","25Y")</f>
        <v/>
      </c>
    </row>
    <row r="1166">
      <c r="A1166" t="inlineStr">
        <is>
          <t>BKNG</t>
        </is>
      </c>
      <c r="B1166" t="inlineStr">
        <is>
          <t>BKNG US Equity</t>
        </is>
      </c>
      <c r="C1166" t="inlineStr">
        <is>
          <t>BEST_SALES</t>
        </is>
      </c>
      <c r="D1166" t="inlineStr">
        <is>
          <t>25Y</t>
        </is>
      </c>
      <c r="E1166" t="inlineStr">
        <is>
          <t>Revenue estimate FY2025</t>
        </is>
      </c>
      <c r="F1166" s="53">
        <f>_xll.BDP("BKNG US Equity","BEST_SALES","BEST_FPERIOD_OVERRIDE","25Y")</f>
        <v/>
      </c>
    </row>
    <row r="1167">
      <c r="A1167" t="inlineStr">
        <is>
          <t>BKNG</t>
        </is>
      </c>
      <c r="B1167" t="inlineStr">
        <is>
          <t>BKNG US Equity</t>
        </is>
      </c>
      <c r="C1167" t="inlineStr">
        <is>
          <t>BEST_EBIT</t>
        </is>
      </c>
      <c r="D1167" t="inlineStr">
        <is>
          <t>25Y</t>
        </is>
      </c>
      <c r="E1167" t="inlineStr">
        <is>
          <t>EBIT estimate FY2025</t>
        </is>
      </c>
      <c r="F1167" s="53">
        <f>_xll.BDP("BKNG US Equity","BEST_EBIT","BEST_FPERIOD_OVERRIDE","25Y")</f>
        <v/>
      </c>
    </row>
    <row r="1168">
      <c r="A1168" t="inlineStr">
        <is>
          <t>BKNG</t>
        </is>
      </c>
      <c r="B1168" t="inlineStr">
        <is>
          <t>BKNG US Equity</t>
        </is>
      </c>
      <c r="C1168" t="inlineStr">
        <is>
          <t>BEST_EPS</t>
        </is>
      </c>
      <c r="D1168" t="inlineStr">
        <is>
          <t>26Y</t>
        </is>
      </c>
      <c r="E1168" t="inlineStr">
        <is>
          <t>EPS estimate FY2026</t>
        </is>
      </c>
      <c r="F1168" s="53">
        <f>_xll.BDP("BKNG US Equity","BEST_EPS","BEST_FPERIOD_OVERRIDE","26Y")</f>
        <v/>
      </c>
    </row>
    <row r="1169">
      <c r="A1169" t="inlineStr">
        <is>
          <t>BKNG</t>
        </is>
      </c>
      <c r="B1169" t="inlineStr">
        <is>
          <t>BKNG US Equity</t>
        </is>
      </c>
      <c r="C1169" t="inlineStr">
        <is>
          <t>BEST_SALES</t>
        </is>
      </c>
      <c r="D1169" t="inlineStr">
        <is>
          <t>26Y</t>
        </is>
      </c>
      <c r="E1169" t="inlineStr">
        <is>
          <t>Revenue estimate FY2026</t>
        </is>
      </c>
      <c r="F1169" s="53">
        <f>_xll.BDP("BKNG US Equity","BEST_SALES","BEST_FPERIOD_OVERRIDE","26Y")</f>
        <v/>
      </c>
    </row>
    <row r="1170">
      <c r="A1170" t="inlineStr">
        <is>
          <t>BKNG</t>
        </is>
      </c>
      <c r="B1170" t="inlineStr">
        <is>
          <t>BKNG US Equity</t>
        </is>
      </c>
      <c r="C1170" t="inlineStr">
        <is>
          <t>BEST_EBIT</t>
        </is>
      </c>
      <c r="D1170" t="inlineStr">
        <is>
          <t>26Y</t>
        </is>
      </c>
      <c r="E1170" t="inlineStr">
        <is>
          <t>EBIT estimate FY2026</t>
        </is>
      </c>
      <c r="F1170" s="53">
        <f>_xll.BDP("BKNG US Equity","BEST_EBIT","BEST_FPERIOD_OVERRIDE","26Y")</f>
        <v/>
      </c>
    </row>
    <row r="1171">
      <c r="A1171" t="inlineStr">
        <is>
          <t>BKNG</t>
        </is>
      </c>
      <c r="B1171" t="inlineStr">
        <is>
          <t>BKNG US Equity</t>
        </is>
      </c>
      <c r="C1171" t="inlineStr">
        <is>
          <t>BEST_EPS</t>
        </is>
      </c>
      <c r="D1171" t="inlineStr">
        <is>
          <t>27Y</t>
        </is>
      </c>
      <c r="E1171" t="inlineStr">
        <is>
          <t>EPS estimate FY2027</t>
        </is>
      </c>
      <c r="F1171" s="53">
        <f>_xll.BDP("BKNG US Equity","BEST_EPS","BEST_FPERIOD_OVERRIDE","27Y")</f>
        <v/>
      </c>
    </row>
    <row r="1172">
      <c r="A1172" t="inlineStr">
        <is>
          <t>BKNG</t>
        </is>
      </c>
      <c r="B1172" t="inlineStr">
        <is>
          <t>BKNG US Equity</t>
        </is>
      </c>
      <c r="C1172" t="inlineStr">
        <is>
          <t>BEST_SALES</t>
        </is>
      </c>
      <c r="D1172" t="inlineStr">
        <is>
          <t>27Y</t>
        </is>
      </c>
      <c r="E1172" t="inlineStr">
        <is>
          <t>Revenue estimate FY2027</t>
        </is>
      </c>
      <c r="F1172" s="53">
        <f>_xll.BDP("BKNG US Equity","BEST_SALES","BEST_FPERIOD_OVERRIDE","27Y")</f>
        <v/>
      </c>
    </row>
    <row r="1173">
      <c r="A1173" t="inlineStr">
        <is>
          <t>BKNG</t>
        </is>
      </c>
      <c r="B1173" t="inlineStr">
        <is>
          <t>BKNG US Equity</t>
        </is>
      </c>
      <c r="C1173" t="inlineStr">
        <is>
          <t>BEST_EBIT</t>
        </is>
      </c>
      <c r="D1173" t="inlineStr">
        <is>
          <t>27Y</t>
        </is>
      </c>
      <c r="E1173" t="inlineStr">
        <is>
          <t>EBIT estimate FY2027</t>
        </is>
      </c>
      <c r="F1173" s="53">
        <f>_xll.BDP("BKNG US Equity","BEST_EBIT","BEST_FPERIOD_OVERRIDE","27Y")</f>
        <v/>
      </c>
    </row>
    <row r="1174">
      <c r="A1174" t="inlineStr">
        <is>
          <t>BKNG</t>
        </is>
      </c>
      <c r="B1174" t="inlineStr">
        <is>
          <t>BKNG US Equity</t>
        </is>
      </c>
      <c r="C1174" t="inlineStr">
        <is>
          <t>BEST_EPS</t>
        </is>
      </c>
      <c r="D1174" t="inlineStr">
        <is>
          <t>28Y</t>
        </is>
      </c>
      <c r="E1174" t="inlineStr">
        <is>
          <t>EPS estimate FY2028</t>
        </is>
      </c>
      <c r="F1174" s="53">
        <f>_xll.BDP("BKNG US Equity","BEST_EPS","BEST_FPERIOD_OVERRIDE","28Y")</f>
        <v/>
      </c>
    </row>
    <row r="1175">
      <c r="A1175" t="inlineStr">
        <is>
          <t>BKNG</t>
        </is>
      </c>
      <c r="B1175" t="inlineStr">
        <is>
          <t>BKNG US Equity</t>
        </is>
      </c>
      <c r="C1175" t="inlineStr">
        <is>
          <t>BEST_SALES</t>
        </is>
      </c>
      <c r="D1175" t="inlineStr">
        <is>
          <t>28Y</t>
        </is>
      </c>
      <c r="E1175" t="inlineStr">
        <is>
          <t>Revenue estimate FY2028</t>
        </is>
      </c>
      <c r="F1175" s="53">
        <f>_xll.BDP("BKNG US Equity","BEST_SALES","BEST_FPERIOD_OVERRIDE","28Y")</f>
        <v/>
      </c>
    </row>
    <row r="1176">
      <c r="A1176" t="inlineStr">
        <is>
          <t>BKNG</t>
        </is>
      </c>
      <c r="B1176" t="inlineStr">
        <is>
          <t>BKNG US Equity</t>
        </is>
      </c>
      <c r="C1176" t="inlineStr">
        <is>
          <t>BEST_EBIT</t>
        </is>
      </c>
      <c r="D1176" t="inlineStr">
        <is>
          <t>28Y</t>
        </is>
      </c>
      <c r="E1176" t="inlineStr">
        <is>
          <t>EBIT estimate FY2028</t>
        </is>
      </c>
      <c r="F1176" s="53">
        <f>_xll.BDP("BKNG US Equity","BEST_EBIT","BEST_FPERIOD_OVERRIDE","28Y")</f>
        <v/>
      </c>
    </row>
    <row r="1177">
      <c r="A1177" t="inlineStr">
        <is>
          <t>UBER</t>
        </is>
      </c>
      <c r="B1177" t="inlineStr">
        <is>
          <t>UBER US Equity</t>
        </is>
      </c>
      <c r="C1177" t="inlineStr">
        <is>
          <t>PX_LAST</t>
        </is>
      </c>
      <c r="E1177" t="inlineStr">
        <is>
          <t>Last price</t>
        </is>
      </c>
      <c r="F1177" s="53">
        <f>_xll.BDP("UBER US Equity","PX_LAST")</f>
        <v/>
      </c>
    </row>
    <row r="1178">
      <c r="A1178" t="inlineStr">
        <is>
          <t>UBER</t>
        </is>
      </c>
      <c r="B1178" t="inlineStr">
        <is>
          <t>UBER US Equity</t>
        </is>
      </c>
      <c r="C1178" t="inlineStr">
        <is>
          <t>CUR_MKT_CAP</t>
        </is>
      </c>
      <c r="E1178" t="inlineStr">
        <is>
          <t>Market cap (raw)</t>
        </is>
      </c>
      <c r="F1178" s="53">
        <f>_xll.BDP("UBER US Equity","CUR_MKT_CAP")</f>
        <v/>
      </c>
    </row>
    <row r="1179">
      <c r="A1179" t="inlineStr">
        <is>
          <t>UBER</t>
        </is>
      </c>
      <c r="B1179" t="inlineStr">
        <is>
          <t>UBER US Equity</t>
        </is>
      </c>
      <c r="C1179" t="inlineStr">
        <is>
          <t>CHG_PCT_YTD</t>
        </is>
      </c>
      <c r="E1179" t="inlineStr">
        <is>
          <t>YTD price change %</t>
        </is>
      </c>
      <c r="F1179" s="53">
        <f>_xll.BDP("UBER US Equity","CHG_PCT_YTD")</f>
        <v/>
      </c>
    </row>
    <row r="1180">
      <c r="A1180" t="inlineStr">
        <is>
          <t>UBER</t>
        </is>
      </c>
      <c r="B1180" t="inlineStr">
        <is>
          <t>UBER US Equity</t>
        </is>
      </c>
      <c r="C1180" t="inlineStr">
        <is>
          <t>NET_DEBT_TO_EBITDA</t>
        </is>
      </c>
      <c r="E1180" t="inlineStr">
        <is>
          <t>Net debt / EBITDA</t>
        </is>
      </c>
      <c r="F1180" s="53">
        <f>_xll.BDP("UBER US Equity","NET_DEBT_TO_EBITDA")</f>
        <v/>
      </c>
    </row>
    <row r="1181">
      <c r="A1181" t="inlineStr">
        <is>
          <t>UBER</t>
        </is>
      </c>
      <c r="B1181" t="inlineStr">
        <is>
          <t>UBER US Equity</t>
        </is>
      </c>
      <c r="C1181" t="inlineStr">
        <is>
          <t>RETURN_ON_INV_CAPITAL</t>
        </is>
      </c>
      <c r="E1181" t="inlineStr">
        <is>
          <t>ROIC (LTM)</t>
        </is>
      </c>
      <c r="F1181" s="53">
        <f>_xll.BDP("UBER US Equity","RETURN_ON_INV_CAPITAL")</f>
        <v/>
      </c>
    </row>
    <row r="1182">
      <c r="A1182" t="inlineStr">
        <is>
          <t>UBER</t>
        </is>
      </c>
      <c r="B1182" t="inlineStr">
        <is>
          <t>UBER US Equity</t>
        </is>
      </c>
      <c r="C1182" t="inlineStr">
        <is>
          <t>TRAIL_12M_OPER_INC</t>
        </is>
      </c>
      <c r="E1182" t="inlineStr">
        <is>
          <t>LTM operating income</t>
        </is>
      </c>
      <c r="F1182" s="53">
        <f>_xll.BDP("UBER US Equity","TRAIL_12M_OPER_INC")</f>
        <v/>
      </c>
    </row>
    <row r="1183">
      <c r="A1183" t="inlineStr">
        <is>
          <t>UBER</t>
        </is>
      </c>
      <c r="B1183" t="inlineStr">
        <is>
          <t>UBER US Equity</t>
        </is>
      </c>
      <c r="C1183" t="inlineStr">
        <is>
          <t>TRAIL_12M_EBITDA</t>
        </is>
      </c>
      <c r="E1183" t="inlineStr">
        <is>
          <t>LTM EBITDA</t>
        </is>
      </c>
      <c r="F1183" s="53">
        <f>_xll.BDP("UBER US Equity","TRAIL_12M_EBITDA")</f>
        <v/>
      </c>
    </row>
    <row r="1184">
      <c r="A1184" t="inlineStr">
        <is>
          <t>UBER</t>
        </is>
      </c>
      <c r="B1184" t="inlineStr">
        <is>
          <t>UBER US Equity</t>
        </is>
      </c>
      <c r="C1184" t="inlineStr">
        <is>
          <t>SHORT_AND_LONG_TERM_DEBT</t>
        </is>
      </c>
      <c r="E1184" t="inlineStr">
        <is>
          <t>Total debt</t>
        </is>
      </c>
      <c r="F1184" s="53">
        <f>_xll.BDP("UBER US Equity","SHORT_AND_LONG_TERM_DEBT")</f>
        <v/>
      </c>
    </row>
    <row r="1185">
      <c r="A1185" t="inlineStr">
        <is>
          <t>UBER</t>
        </is>
      </c>
      <c r="B1185" t="inlineStr">
        <is>
          <t>UBER US Equity</t>
        </is>
      </c>
      <c r="C1185" t="inlineStr">
        <is>
          <t>TOTAL_EQUITY</t>
        </is>
      </c>
      <c r="E1185" t="inlineStr">
        <is>
          <t>Total equity</t>
        </is>
      </c>
      <c r="F1185" s="53">
        <f>_xll.BDP("UBER US Equity","TOTAL_EQUITY")</f>
        <v/>
      </c>
    </row>
    <row r="1186">
      <c r="A1186" t="inlineStr">
        <is>
          <t>UBER</t>
        </is>
      </c>
      <c r="B1186" t="inlineStr">
        <is>
          <t>UBER US Equity</t>
        </is>
      </c>
      <c r="C1186" t="inlineStr">
        <is>
          <t>BS_CASH_NEAR_CASH_ITEM</t>
        </is>
      </c>
      <c r="E1186" t="inlineStr">
        <is>
          <t>Cash &amp; equivalents</t>
        </is>
      </c>
      <c r="F1186" s="53">
        <f>_xll.BDP("UBER US Equity","BS_CASH_NEAR_CASH_ITEM")</f>
        <v/>
      </c>
    </row>
    <row r="1187">
      <c r="A1187" t="inlineStr">
        <is>
          <t>UBER</t>
        </is>
      </c>
      <c r="B1187" t="inlineStr">
        <is>
          <t>UBER US Equity</t>
        </is>
      </c>
      <c r="C1187" t="inlineStr">
        <is>
          <t>BEST_EPS</t>
        </is>
      </c>
      <c r="D1187" t="inlineStr">
        <is>
          <t>24Y</t>
        </is>
      </c>
      <c r="E1187" t="inlineStr">
        <is>
          <t>EPS estimate FY2024</t>
        </is>
      </c>
      <c r="F1187" s="53">
        <f>_xll.BDP("UBER US Equity","BEST_EPS","BEST_FPERIOD_OVERRIDE","24Y")</f>
        <v/>
      </c>
    </row>
    <row r="1188">
      <c r="A1188" t="inlineStr">
        <is>
          <t>UBER</t>
        </is>
      </c>
      <c r="B1188" t="inlineStr">
        <is>
          <t>UBER US Equity</t>
        </is>
      </c>
      <c r="C1188" t="inlineStr">
        <is>
          <t>BEST_SALES</t>
        </is>
      </c>
      <c r="D1188" t="inlineStr">
        <is>
          <t>24Y</t>
        </is>
      </c>
      <c r="E1188" t="inlineStr">
        <is>
          <t>Revenue estimate FY2024</t>
        </is>
      </c>
      <c r="F1188" s="53">
        <f>_xll.BDP("UBER US Equity","BEST_SALES","BEST_FPERIOD_OVERRIDE","24Y")</f>
        <v/>
      </c>
    </row>
    <row r="1189">
      <c r="A1189" t="inlineStr">
        <is>
          <t>UBER</t>
        </is>
      </c>
      <c r="B1189" t="inlineStr">
        <is>
          <t>UBER US Equity</t>
        </is>
      </c>
      <c r="C1189" t="inlineStr">
        <is>
          <t>BEST_EBIT</t>
        </is>
      </c>
      <c r="D1189" t="inlineStr">
        <is>
          <t>24Y</t>
        </is>
      </c>
      <c r="E1189" t="inlineStr">
        <is>
          <t>EBIT estimate FY2024</t>
        </is>
      </c>
      <c r="F1189" s="53">
        <f>_xll.BDP("UBER US Equity","BEST_EBIT","BEST_FPERIOD_OVERRIDE","24Y")</f>
        <v/>
      </c>
    </row>
    <row r="1190">
      <c r="A1190" t="inlineStr">
        <is>
          <t>UBER</t>
        </is>
      </c>
      <c r="B1190" t="inlineStr">
        <is>
          <t>UBER US Equity</t>
        </is>
      </c>
      <c r="C1190" t="inlineStr">
        <is>
          <t>BEST_EPS</t>
        </is>
      </c>
      <c r="D1190" t="inlineStr">
        <is>
          <t>25Y</t>
        </is>
      </c>
      <c r="E1190" t="inlineStr">
        <is>
          <t>EPS estimate FY2025</t>
        </is>
      </c>
      <c r="F1190" s="53">
        <f>_xll.BDP("UBER US Equity","BEST_EPS","BEST_FPERIOD_OVERRIDE","25Y")</f>
        <v/>
      </c>
    </row>
    <row r="1191">
      <c r="A1191" t="inlineStr">
        <is>
          <t>UBER</t>
        </is>
      </c>
      <c r="B1191" t="inlineStr">
        <is>
          <t>UBER US Equity</t>
        </is>
      </c>
      <c r="C1191" t="inlineStr">
        <is>
          <t>BEST_SALES</t>
        </is>
      </c>
      <c r="D1191" t="inlineStr">
        <is>
          <t>25Y</t>
        </is>
      </c>
      <c r="E1191" t="inlineStr">
        <is>
          <t>Revenue estimate FY2025</t>
        </is>
      </c>
      <c r="F1191" s="53">
        <f>_xll.BDP("UBER US Equity","BEST_SALES","BEST_FPERIOD_OVERRIDE","25Y")</f>
        <v/>
      </c>
    </row>
    <row r="1192">
      <c r="A1192" t="inlineStr">
        <is>
          <t>UBER</t>
        </is>
      </c>
      <c r="B1192" t="inlineStr">
        <is>
          <t>UBER US Equity</t>
        </is>
      </c>
      <c r="C1192" t="inlineStr">
        <is>
          <t>BEST_EBIT</t>
        </is>
      </c>
      <c r="D1192" t="inlineStr">
        <is>
          <t>25Y</t>
        </is>
      </c>
      <c r="E1192" t="inlineStr">
        <is>
          <t>EBIT estimate FY2025</t>
        </is>
      </c>
      <c r="F1192" s="53">
        <f>_xll.BDP("UBER US Equity","BEST_EBIT","BEST_FPERIOD_OVERRIDE","25Y")</f>
        <v/>
      </c>
    </row>
    <row r="1193">
      <c r="A1193" t="inlineStr">
        <is>
          <t>UBER</t>
        </is>
      </c>
      <c r="B1193" t="inlineStr">
        <is>
          <t>UBER US Equity</t>
        </is>
      </c>
      <c r="C1193" t="inlineStr">
        <is>
          <t>BEST_EPS</t>
        </is>
      </c>
      <c r="D1193" t="inlineStr">
        <is>
          <t>26Y</t>
        </is>
      </c>
      <c r="E1193" t="inlineStr">
        <is>
          <t>EPS estimate FY2026</t>
        </is>
      </c>
      <c r="F1193" s="53">
        <f>_xll.BDP("UBER US Equity","BEST_EPS","BEST_FPERIOD_OVERRIDE","26Y")</f>
        <v/>
      </c>
    </row>
    <row r="1194">
      <c r="A1194" t="inlineStr">
        <is>
          <t>UBER</t>
        </is>
      </c>
      <c r="B1194" t="inlineStr">
        <is>
          <t>UBER US Equity</t>
        </is>
      </c>
      <c r="C1194" t="inlineStr">
        <is>
          <t>BEST_SALES</t>
        </is>
      </c>
      <c r="D1194" t="inlineStr">
        <is>
          <t>26Y</t>
        </is>
      </c>
      <c r="E1194" t="inlineStr">
        <is>
          <t>Revenue estimate FY2026</t>
        </is>
      </c>
      <c r="F1194" s="53">
        <f>_xll.BDP("UBER US Equity","BEST_SALES","BEST_FPERIOD_OVERRIDE","26Y")</f>
        <v/>
      </c>
    </row>
    <row r="1195">
      <c r="A1195" t="inlineStr">
        <is>
          <t>UBER</t>
        </is>
      </c>
      <c r="B1195" t="inlineStr">
        <is>
          <t>UBER US Equity</t>
        </is>
      </c>
      <c r="C1195" t="inlineStr">
        <is>
          <t>BEST_EBIT</t>
        </is>
      </c>
      <c r="D1195" t="inlineStr">
        <is>
          <t>26Y</t>
        </is>
      </c>
      <c r="E1195" t="inlineStr">
        <is>
          <t>EBIT estimate FY2026</t>
        </is>
      </c>
      <c r="F1195" s="53">
        <f>_xll.BDP("UBER US Equity","BEST_EBIT","BEST_FPERIOD_OVERRIDE","26Y")</f>
        <v/>
      </c>
    </row>
    <row r="1196">
      <c r="A1196" t="inlineStr">
        <is>
          <t>UBER</t>
        </is>
      </c>
      <c r="B1196" t="inlineStr">
        <is>
          <t>UBER US Equity</t>
        </is>
      </c>
      <c r="C1196" t="inlineStr">
        <is>
          <t>BEST_EPS</t>
        </is>
      </c>
      <c r="D1196" t="inlineStr">
        <is>
          <t>27Y</t>
        </is>
      </c>
      <c r="E1196" t="inlineStr">
        <is>
          <t>EPS estimate FY2027</t>
        </is>
      </c>
      <c r="F1196" s="53">
        <f>_xll.BDP("UBER US Equity","BEST_EPS","BEST_FPERIOD_OVERRIDE","27Y")</f>
        <v/>
      </c>
    </row>
    <row r="1197">
      <c r="A1197" t="inlineStr">
        <is>
          <t>UBER</t>
        </is>
      </c>
      <c r="B1197" t="inlineStr">
        <is>
          <t>UBER US Equity</t>
        </is>
      </c>
      <c r="C1197" t="inlineStr">
        <is>
          <t>BEST_SALES</t>
        </is>
      </c>
      <c r="D1197" t="inlineStr">
        <is>
          <t>27Y</t>
        </is>
      </c>
      <c r="E1197" t="inlineStr">
        <is>
          <t>Revenue estimate FY2027</t>
        </is>
      </c>
      <c r="F1197" s="53">
        <f>_xll.BDP("UBER US Equity","BEST_SALES","BEST_FPERIOD_OVERRIDE","27Y")</f>
        <v/>
      </c>
    </row>
    <row r="1198">
      <c r="A1198" t="inlineStr">
        <is>
          <t>UBER</t>
        </is>
      </c>
      <c r="B1198" t="inlineStr">
        <is>
          <t>UBER US Equity</t>
        </is>
      </c>
      <c r="C1198" t="inlineStr">
        <is>
          <t>BEST_EBIT</t>
        </is>
      </c>
      <c r="D1198" t="inlineStr">
        <is>
          <t>27Y</t>
        </is>
      </c>
      <c r="E1198" t="inlineStr">
        <is>
          <t>EBIT estimate FY2027</t>
        </is>
      </c>
      <c r="F1198" s="53">
        <f>_xll.BDP("UBER US Equity","BEST_EBIT","BEST_FPERIOD_OVERRIDE","27Y")</f>
        <v/>
      </c>
    </row>
    <row r="1199">
      <c r="A1199" t="inlineStr">
        <is>
          <t>UBER</t>
        </is>
      </c>
      <c r="B1199" t="inlineStr">
        <is>
          <t>UBER US Equity</t>
        </is>
      </c>
      <c r="C1199" t="inlineStr">
        <is>
          <t>BEST_EPS</t>
        </is>
      </c>
      <c r="D1199" t="inlineStr">
        <is>
          <t>28Y</t>
        </is>
      </c>
      <c r="E1199" t="inlineStr">
        <is>
          <t>EPS estimate FY2028</t>
        </is>
      </c>
      <c r="F1199" s="53">
        <f>_xll.BDP("UBER US Equity","BEST_EPS","BEST_FPERIOD_OVERRIDE","28Y")</f>
        <v/>
      </c>
    </row>
    <row r="1200">
      <c r="A1200" t="inlineStr">
        <is>
          <t>UBER</t>
        </is>
      </c>
      <c r="B1200" t="inlineStr">
        <is>
          <t>UBER US Equity</t>
        </is>
      </c>
      <c r="C1200" t="inlineStr">
        <is>
          <t>BEST_SALES</t>
        </is>
      </c>
      <c r="D1200" t="inlineStr">
        <is>
          <t>28Y</t>
        </is>
      </c>
      <c r="E1200" t="inlineStr">
        <is>
          <t>Revenue estimate FY2028</t>
        </is>
      </c>
      <c r="F1200" s="53">
        <f>_xll.BDP("UBER US Equity","BEST_SALES","BEST_FPERIOD_OVERRIDE","28Y")</f>
        <v/>
      </c>
    </row>
    <row r="1201">
      <c r="A1201" t="inlineStr">
        <is>
          <t>UBER</t>
        </is>
      </c>
      <c r="B1201" t="inlineStr">
        <is>
          <t>UBER US Equity</t>
        </is>
      </c>
      <c r="C1201" t="inlineStr">
        <is>
          <t>BEST_EBIT</t>
        </is>
      </c>
      <c r="D1201" t="inlineStr">
        <is>
          <t>28Y</t>
        </is>
      </c>
      <c r="E1201" t="inlineStr">
        <is>
          <t>EBIT estimate FY2028</t>
        </is>
      </c>
      <c r="F1201" s="53">
        <f>_xll.BDP("UBER US Equity","BEST_EBIT","BEST_FPERIOD_OVERRIDE","28Y")</f>
        <v/>
      </c>
    </row>
    <row r="1202">
      <c r="A1202" t="inlineStr">
        <is>
          <t>SGI</t>
        </is>
      </c>
      <c r="B1202" t="inlineStr">
        <is>
          <t>SGI US Equity</t>
        </is>
      </c>
      <c r="C1202" t="inlineStr">
        <is>
          <t>PX_LAST</t>
        </is>
      </c>
      <c r="E1202" t="inlineStr">
        <is>
          <t>Last price</t>
        </is>
      </c>
      <c r="F1202" s="53">
        <f>_xll.BDP("SGI US Equity","PX_LAST")</f>
        <v/>
      </c>
    </row>
    <row r="1203">
      <c r="A1203" t="inlineStr">
        <is>
          <t>SGI</t>
        </is>
      </c>
      <c r="B1203" t="inlineStr">
        <is>
          <t>SGI US Equity</t>
        </is>
      </c>
      <c r="C1203" t="inlineStr">
        <is>
          <t>CUR_MKT_CAP</t>
        </is>
      </c>
      <c r="E1203" t="inlineStr">
        <is>
          <t>Market cap (raw)</t>
        </is>
      </c>
      <c r="F1203" s="53">
        <f>_xll.BDP("SGI US Equity","CUR_MKT_CAP")</f>
        <v/>
      </c>
    </row>
    <row r="1204">
      <c r="A1204" t="inlineStr">
        <is>
          <t>SGI</t>
        </is>
      </c>
      <c r="B1204" t="inlineStr">
        <is>
          <t>SGI US Equity</t>
        </is>
      </c>
      <c r="C1204" t="inlineStr">
        <is>
          <t>CHG_PCT_YTD</t>
        </is>
      </c>
      <c r="E1204" t="inlineStr">
        <is>
          <t>YTD price change %</t>
        </is>
      </c>
      <c r="F1204" s="53">
        <f>_xll.BDP("SGI US Equity","CHG_PCT_YTD")</f>
        <v/>
      </c>
    </row>
    <row r="1205">
      <c r="A1205" t="inlineStr">
        <is>
          <t>SGI</t>
        </is>
      </c>
      <c r="B1205" t="inlineStr">
        <is>
          <t>SGI US Equity</t>
        </is>
      </c>
      <c r="C1205" t="inlineStr">
        <is>
          <t>NET_DEBT_TO_EBITDA</t>
        </is>
      </c>
      <c r="E1205" t="inlineStr">
        <is>
          <t>Net debt / EBITDA</t>
        </is>
      </c>
      <c r="F1205" s="53">
        <f>_xll.BDP("SGI US Equity","NET_DEBT_TO_EBITDA")</f>
        <v/>
      </c>
    </row>
    <row r="1206">
      <c r="A1206" t="inlineStr">
        <is>
          <t>SGI</t>
        </is>
      </c>
      <c r="B1206" t="inlineStr">
        <is>
          <t>SGI US Equity</t>
        </is>
      </c>
      <c r="C1206" t="inlineStr">
        <is>
          <t>RETURN_ON_INV_CAPITAL</t>
        </is>
      </c>
      <c r="E1206" t="inlineStr">
        <is>
          <t>ROIC (LTM)</t>
        </is>
      </c>
      <c r="F1206" s="53">
        <f>_xll.BDP("SGI US Equity","RETURN_ON_INV_CAPITAL")</f>
        <v/>
      </c>
    </row>
    <row r="1207">
      <c r="A1207" t="inlineStr">
        <is>
          <t>SGI</t>
        </is>
      </c>
      <c r="B1207" t="inlineStr">
        <is>
          <t>SGI US Equity</t>
        </is>
      </c>
      <c r="C1207" t="inlineStr">
        <is>
          <t>TRAIL_12M_OPER_INC</t>
        </is>
      </c>
      <c r="E1207" t="inlineStr">
        <is>
          <t>LTM operating income</t>
        </is>
      </c>
      <c r="F1207" s="53">
        <f>_xll.BDP("SGI US Equity","TRAIL_12M_OPER_INC")</f>
        <v/>
      </c>
    </row>
    <row r="1208">
      <c r="A1208" t="inlineStr">
        <is>
          <t>SGI</t>
        </is>
      </c>
      <c r="B1208" t="inlineStr">
        <is>
          <t>SGI US Equity</t>
        </is>
      </c>
      <c r="C1208" t="inlineStr">
        <is>
          <t>TRAIL_12M_EBITDA</t>
        </is>
      </c>
      <c r="E1208" t="inlineStr">
        <is>
          <t>LTM EBITDA</t>
        </is>
      </c>
      <c r="F1208" s="53">
        <f>_xll.BDP("SGI US Equity","TRAIL_12M_EBITDA")</f>
        <v/>
      </c>
    </row>
    <row r="1209">
      <c r="A1209" t="inlineStr">
        <is>
          <t>SGI</t>
        </is>
      </c>
      <c r="B1209" t="inlineStr">
        <is>
          <t>SGI US Equity</t>
        </is>
      </c>
      <c r="C1209" t="inlineStr">
        <is>
          <t>SHORT_AND_LONG_TERM_DEBT</t>
        </is>
      </c>
      <c r="E1209" t="inlineStr">
        <is>
          <t>Total debt</t>
        </is>
      </c>
      <c r="F1209" s="53">
        <f>_xll.BDP("SGI US Equity","SHORT_AND_LONG_TERM_DEBT")</f>
        <v/>
      </c>
    </row>
    <row r="1210">
      <c r="A1210" t="inlineStr">
        <is>
          <t>SGI</t>
        </is>
      </c>
      <c r="B1210" t="inlineStr">
        <is>
          <t>SGI US Equity</t>
        </is>
      </c>
      <c r="C1210" t="inlineStr">
        <is>
          <t>TOTAL_EQUITY</t>
        </is>
      </c>
      <c r="E1210" t="inlineStr">
        <is>
          <t>Total equity</t>
        </is>
      </c>
      <c r="F1210" s="53">
        <f>_xll.BDP("SGI US Equity","TOTAL_EQUITY")</f>
        <v/>
      </c>
    </row>
    <row r="1211">
      <c r="A1211" t="inlineStr">
        <is>
          <t>SGI</t>
        </is>
      </c>
      <c r="B1211" t="inlineStr">
        <is>
          <t>SGI US Equity</t>
        </is>
      </c>
      <c r="C1211" t="inlineStr">
        <is>
          <t>BS_CASH_NEAR_CASH_ITEM</t>
        </is>
      </c>
      <c r="E1211" t="inlineStr">
        <is>
          <t>Cash &amp; equivalents</t>
        </is>
      </c>
      <c r="F1211" s="53">
        <f>_xll.BDP("SGI US Equity","BS_CASH_NEAR_CASH_ITEM")</f>
        <v/>
      </c>
    </row>
    <row r="1212">
      <c r="A1212" t="inlineStr">
        <is>
          <t>SGI</t>
        </is>
      </c>
      <c r="B1212" t="inlineStr">
        <is>
          <t>SGI US Equity</t>
        </is>
      </c>
      <c r="C1212" t="inlineStr">
        <is>
          <t>BEST_EPS</t>
        </is>
      </c>
      <c r="D1212" t="inlineStr">
        <is>
          <t>24Y</t>
        </is>
      </c>
      <c r="E1212" t="inlineStr">
        <is>
          <t>EPS estimate FY2024</t>
        </is>
      </c>
      <c r="F1212" s="53">
        <f>_xll.BDP("SGI US Equity","BEST_EPS","BEST_FPERIOD_OVERRIDE","24Y")</f>
        <v/>
      </c>
    </row>
    <row r="1213">
      <c r="A1213" t="inlineStr">
        <is>
          <t>SGI</t>
        </is>
      </c>
      <c r="B1213" t="inlineStr">
        <is>
          <t>SGI US Equity</t>
        </is>
      </c>
      <c r="C1213" t="inlineStr">
        <is>
          <t>BEST_SALES</t>
        </is>
      </c>
      <c r="D1213" t="inlineStr">
        <is>
          <t>24Y</t>
        </is>
      </c>
      <c r="E1213" t="inlineStr">
        <is>
          <t>Revenue estimate FY2024</t>
        </is>
      </c>
      <c r="F1213" s="53">
        <f>_xll.BDP("SGI US Equity","BEST_SALES","BEST_FPERIOD_OVERRIDE","24Y")</f>
        <v/>
      </c>
    </row>
    <row r="1214">
      <c r="A1214" t="inlineStr">
        <is>
          <t>SGI</t>
        </is>
      </c>
      <c r="B1214" t="inlineStr">
        <is>
          <t>SGI US Equity</t>
        </is>
      </c>
      <c r="C1214" t="inlineStr">
        <is>
          <t>BEST_EBIT</t>
        </is>
      </c>
      <c r="D1214" t="inlineStr">
        <is>
          <t>24Y</t>
        </is>
      </c>
      <c r="E1214" t="inlineStr">
        <is>
          <t>EBIT estimate FY2024</t>
        </is>
      </c>
      <c r="F1214" s="53">
        <f>_xll.BDP("SGI US Equity","BEST_EBIT","BEST_FPERIOD_OVERRIDE","24Y")</f>
        <v/>
      </c>
    </row>
    <row r="1215">
      <c r="A1215" t="inlineStr">
        <is>
          <t>SGI</t>
        </is>
      </c>
      <c r="B1215" t="inlineStr">
        <is>
          <t>SGI US Equity</t>
        </is>
      </c>
      <c r="C1215" t="inlineStr">
        <is>
          <t>BEST_EPS</t>
        </is>
      </c>
      <c r="D1215" t="inlineStr">
        <is>
          <t>25Y</t>
        </is>
      </c>
      <c r="E1215" t="inlineStr">
        <is>
          <t>EPS estimate FY2025</t>
        </is>
      </c>
      <c r="F1215" s="53">
        <f>_xll.BDP("SGI US Equity","BEST_EPS","BEST_FPERIOD_OVERRIDE","25Y")</f>
        <v/>
      </c>
    </row>
    <row r="1216">
      <c r="A1216" t="inlineStr">
        <is>
          <t>SGI</t>
        </is>
      </c>
      <c r="B1216" t="inlineStr">
        <is>
          <t>SGI US Equity</t>
        </is>
      </c>
      <c r="C1216" t="inlineStr">
        <is>
          <t>BEST_SALES</t>
        </is>
      </c>
      <c r="D1216" t="inlineStr">
        <is>
          <t>25Y</t>
        </is>
      </c>
      <c r="E1216" t="inlineStr">
        <is>
          <t>Revenue estimate FY2025</t>
        </is>
      </c>
      <c r="F1216" s="53">
        <f>_xll.BDP("SGI US Equity","BEST_SALES","BEST_FPERIOD_OVERRIDE","25Y")</f>
        <v/>
      </c>
    </row>
    <row r="1217">
      <c r="A1217" t="inlineStr">
        <is>
          <t>SGI</t>
        </is>
      </c>
      <c r="B1217" t="inlineStr">
        <is>
          <t>SGI US Equity</t>
        </is>
      </c>
      <c r="C1217" t="inlineStr">
        <is>
          <t>BEST_EBIT</t>
        </is>
      </c>
      <c r="D1217" t="inlineStr">
        <is>
          <t>25Y</t>
        </is>
      </c>
      <c r="E1217" t="inlineStr">
        <is>
          <t>EBIT estimate FY2025</t>
        </is>
      </c>
      <c r="F1217" s="53">
        <f>_xll.BDP("SGI US Equity","BEST_EBIT","BEST_FPERIOD_OVERRIDE","25Y")</f>
        <v/>
      </c>
    </row>
    <row r="1218">
      <c r="A1218" t="inlineStr">
        <is>
          <t>SGI</t>
        </is>
      </c>
      <c r="B1218" t="inlineStr">
        <is>
          <t>SGI US Equity</t>
        </is>
      </c>
      <c r="C1218" t="inlineStr">
        <is>
          <t>BEST_EPS</t>
        </is>
      </c>
      <c r="D1218" t="inlineStr">
        <is>
          <t>26Y</t>
        </is>
      </c>
      <c r="E1218" t="inlineStr">
        <is>
          <t>EPS estimate FY2026</t>
        </is>
      </c>
      <c r="F1218" s="53">
        <f>_xll.BDP("SGI US Equity","BEST_EPS","BEST_FPERIOD_OVERRIDE","26Y")</f>
        <v/>
      </c>
    </row>
    <row r="1219">
      <c r="A1219" t="inlineStr">
        <is>
          <t>SGI</t>
        </is>
      </c>
      <c r="B1219" t="inlineStr">
        <is>
          <t>SGI US Equity</t>
        </is>
      </c>
      <c r="C1219" t="inlineStr">
        <is>
          <t>BEST_SALES</t>
        </is>
      </c>
      <c r="D1219" t="inlineStr">
        <is>
          <t>26Y</t>
        </is>
      </c>
      <c r="E1219" t="inlineStr">
        <is>
          <t>Revenue estimate FY2026</t>
        </is>
      </c>
      <c r="F1219" s="53">
        <f>_xll.BDP("SGI US Equity","BEST_SALES","BEST_FPERIOD_OVERRIDE","26Y")</f>
        <v/>
      </c>
    </row>
    <row r="1220">
      <c r="A1220" t="inlineStr">
        <is>
          <t>SGI</t>
        </is>
      </c>
      <c r="B1220" t="inlineStr">
        <is>
          <t>SGI US Equity</t>
        </is>
      </c>
      <c r="C1220" t="inlineStr">
        <is>
          <t>BEST_EBIT</t>
        </is>
      </c>
      <c r="D1220" t="inlineStr">
        <is>
          <t>26Y</t>
        </is>
      </c>
      <c r="E1220" t="inlineStr">
        <is>
          <t>EBIT estimate FY2026</t>
        </is>
      </c>
      <c r="F1220" s="53">
        <f>_xll.BDP("SGI US Equity","BEST_EBIT","BEST_FPERIOD_OVERRIDE","26Y")</f>
        <v/>
      </c>
    </row>
    <row r="1221">
      <c r="A1221" t="inlineStr">
        <is>
          <t>SGI</t>
        </is>
      </c>
      <c r="B1221" t="inlineStr">
        <is>
          <t>SGI US Equity</t>
        </is>
      </c>
      <c r="C1221" t="inlineStr">
        <is>
          <t>BEST_EPS</t>
        </is>
      </c>
      <c r="D1221" t="inlineStr">
        <is>
          <t>27Y</t>
        </is>
      </c>
      <c r="E1221" t="inlineStr">
        <is>
          <t>EPS estimate FY2027</t>
        </is>
      </c>
      <c r="F1221" s="53">
        <f>_xll.BDP("SGI US Equity","BEST_EPS","BEST_FPERIOD_OVERRIDE","27Y")</f>
        <v/>
      </c>
    </row>
    <row r="1222">
      <c r="A1222" t="inlineStr">
        <is>
          <t>SGI</t>
        </is>
      </c>
      <c r="B1222" t="inlineStr">
        <is>
          <t>SGI US Equity</t>
        </is>
      </c>
      <c r="C1222" t="inlineStr">
        <is>
          <t>BEST_SALES</t>
        </is>
      </c>
      <c r="D1222" t="inlineStr">
        <is>
          <t>27Y</t>
        </is>
      </c>
      <c r="E1222" t="inlineStr">
        <is>
          <t>Revenue estimate FY2027</t>
        </is>
      </c>
      <c r="F1222" s="53">
        <f>_xll.BDP("SGI US Equity","BEST_SALES","BEST_FPERIOD_OVERRIDE","27Y")</f>
        <v/>
      </c>
    </row>
    <row r="1223">
      <c r="A1223" t="inlineStr">
        <is>
          <t>SGI</t>
        </is>
      </c>
      <c r="B1223" t="inlineStr">
        <is>
          <t>SGI US Equity</t>
        </is>
      </c>
      <c r="C1223" t="inlineStr">
        <is>
          <t>BEST_EBIT</t>
        </is>
      </c>
      <c r="D1223" t="inlineStr">
        <is>
          <t>27Y</t>
        </is>
      </c>
      <c r="E1223" t="inlineStr">
        <is>
          <t>EBIT estimate FY2027</t>
        </is>
      </c>
      <c r="F1223" s="53">
        <f>_xll.BDP("SGI US Equity","BEST_EBIT","BEST_FPERIOD_OVERRIDE","27Y")</f>
        <v/>
      </c>
    </row>
    <row r="1224">
      <c r="A1224" t="inlineStr">
        <is>
          <t>SGI</t>
        </is>
      </c>
      <c r="B1224" t="inlineStr">
        <is>
          <t>SGI US Equity</t>
        </is>
      </c>
      <c r="C1224" t="inlineStr">
        <is>
          <t>BEST_EPS</t>
        </is>
      </c>
      <c r="D1224" t="inlineStr">
        <is>
          <t>28Y</t>
        </is>
      </c>
      <c r="E1224" t="inlineStr">
        <is>
          <t>EPS estimate FY2028</t>
        </is>
      </c>
      <c r="F1224" s="53">
        <f>_xll.BDP("SGI US Equity","BEST_EPS","BEST_FPERIOD_OVERRIDE","28Y")</f>
        <v/>
      </c>
    </row>
    <row r="1225">
      <c r="A1225" t="inlineStr">
        <is>
          <t>SGI</t>
        </is>
      </c>
      <c r="B1225" t="inlineStr">
        <is>
          <t>SGI US Equity</t>
        </is>
      </c>
      <c r="C1225" t="inlineStr">
        <is>
          <t>BEST_SALES</t>
        </is>
      </c>
      <c r="D1225" t="inlineStr">
        <is>
          <t>28Y</t>
        </is>
      </c>
      <c r="E1225" t="inlineStr">
        <is>
          <t>Revenue estimate FY2028</t>
        </is>
      </c>
      <c r="F1225" s="53">
        <f>_xll.BDP("SGI US Equity","BEST_SALES","BEST_FPERIOD_OVERRIDE","28Y")</f>
        <v/>
      </c>
    </row>
    <row r="1226">
      <c r="A1226" t="inlineStr">
        <is>
          <t>SGI</t>
        </is>
      </c>
      <c r="B1226" t="inlineStr">
        <is>
          <t>SGI US Equity</t>
        </is>
      </c>
      <c r="C1226" t="inlineStr">
        <is>
          <t>BEST_EBIT</t>
        </is>
      </c>
      <c r="D1226" t="inlineStr">
        <is>
          <t>28Y</t>
        </is>
      </c>
      <c r="E1226" t="inlineStr">
        <is>
          <t>EBIT estimate FY2028</t>
        </is>
      </c>
      <c r="F1226" s="53">
        <f>_xll.BDP("SGI US Equity","BEST_EBIT","BEST_FPERIOD_OVERRIDE","28Y")</f>
        <v/>
      </c>
    </row>
    <row r="1227">
      <c r="A1227" t="inlineStr">
        <is>
          <t>FWONK</t>
        </is>
      </c>
      <c r="B1227" t="inlineStr">
        <is>
          <t>FWONK US Equity</t>
        </is>
      </c>
      <c r="C1227" t="inlineStr">
        <is>
          <t>PX_LAST</t>
        </is>
      </c>
      <c r="E1227" t="inlineStr">
        <is>
          <t>Last price</t>
        </is>
      </c>
      <c r="F1227" s="53">
        <f>_xll.BDP("FWONK US Equity","PX_LAST")</f>
        <v/>
      </c>
    </row>
    <row r="1228">
      <c r="A1228" t="inlineStr">
        <is>
          <t>FWONK</t>
        </is>
      </c>
      <c r="B1228" t="inlineStr">
        <is>
          <t>FWONK US Equity</t>
        </is>
      </c>
      <c r="C1228" t="inlineStr">
        <is>
          <t>CUR_MKT_CAP</t>
        </is>
      </c>
      <c r="E1228" t="inlineStr">
        <is>
          <t>Market cap (raw)</t>
        </is>
      </c>
      <c r="F1228" s="53">
        <f>_xll.BDP("FWONK US Equity","CUR_MKT_CAP")</f>
        <v/>
      </c>
    </row>
    <row r="1229">
      <c r="A1229" t="inlineStr">
        <is>
          <t>FWONK</t>
        </is>
      </c>
      <c r="B1229" t="inlineStr">
        <is>
          <t>FWONK US Equity</t>
        </is>
      </c>
      <c r="C1229" t="inlineStr">
        <is>
          <t>CHG_PCT_YTD</t>
        </is>
      </c>
      <c r="E1229" t="inlineStr">
        <is>
          <t>YTD price change %</t>
        </is>
      </c>
      <c r="F1229" s="53">
        <f>_xll.BDP("FWONK US Equity","CHG_PCT_YTD")</f>
        <v/>
      </c>
    </row>
    <row r="1230">
      <c r="A1230" t="inlineStr">
        <is>
          <t>FWONK</t>
        </is>
      </c>
      <c r="B1230" t="inlineStr">
        <is>
          <t>FWONK US Equity</t>
        </is>
      </c>
      <c r="C1230" t="inlineStr">
        <is>
          <t>NET_DEBT_TO_EBITDA</t>
        </is>
      </c>
      <c r="E1230" t="inlineStr">
        <is>
          <t>Net debt / EBITDA</t>
        </is>
      </c>
      <c r="F1230" s="53">
        <f>_xll.BDP("FWONK US Equity","NET_DEBT_TO_EBITDA")</f>
        <v/>
      </c>
    </row>
    <row r="1231">
      <c r="A1231" t="inlineStr">
        <is>
          <t>FWONK</t>
        </is>
      </c>
      <c r="B1231" t="inlineStr">
        <is>
          <t>FWONK US Equity</t>
        </is>
      </c>
      <c r="C1231" t="inlineStr">
        <is>
          <t>RETURN_ON_INV_CAPITAL</t>
        </is>
      </c>
      <c r="E1231" t="inlineStr">
        <is>
          <t>ROIC (LTM)</t>
        </is>
      </c>
      <c r="F1231" s="53">
        <f>_xll.BDP("FWONK US Equity","RETURN_ON_INV_CAPITAL")</f>
        <v/>
      </c>
    </row>
    <row r="1232">
      <c r="A1232" t="inlineStr">
        <is>
          <t>FWONK</t>
        </is>
      </c>
      <c r="B1232" t="inlineStr">
        <is>
          <t>FWONK US Equity</t>
        </is>
      </c>
      <c r="C1232" t="inlineStr">
        <is>
          <t>TRAIL_12M_OPER_INC</t>
        </is>
      </c>
      <c r="E1232" t="inlineStr">
        <is>
          <t>LTM operating income</t>
        </is>
      </c>
      <c r="F1232" s="53">
        <f>_xll.BDP("FWONK US Equity","TRAIL_12M_OPER_INC")</f>
        <v/>
      </c>
    </row>
    <row r="1233">
      <c r="A1233" t="inlineStr">
        <is>
          <t>FWONK</t>
        </is>
      </c>
      <c r="B1233" t="inlineStr">
        <is>
          <t>FWONK US Equity</t>
        </is>
      </c>
      <c r="C1233" t="inlineStr">
        <is>
          <t>TRAIL_12M_EBITDA</t>
        </is>
      </c>
      <c r="E1233" t="inlineStr">
        <is>
          <t>LTM EBITDA</t>
        </is>
      </c>
      <c r="F1233" s="53">
        <f>_xll.BDP("FWONK US Equity","TRAIL_12M_EBITDA")</f>
        <v/>
      </c>
    </row>
    <row r="1234">
      <c r="A1234" t="inlineStr">
        <is>
          <t>FWONK</t>
        </is>
      </c>
      <c r="B1234" t="inlineStr">
        <is>
          <t>FWONK US Equity</t>
        </is>
      </c>
      <c r="C1234" t="inlineStr">
        <is>
          <t>SHORT_AND_LONG_TERM_DEBT</t>
        </is>
      </c>
      <c r="E1234" t="inlineStr">
        <is>
          <t>Total debt</t>
        </is>
      </c>
      <c r="F1234" s="53">
        <f>_xll.BDP("FWONK US Equity","SHORT_AND_LONG_TERM_DEBT")</f>
        <v/>
      </c>
    </row>
    <row r="1235">
      <c r="A1235" t="inlineStr">
        <is>
          <t>FWONK</t>
        </is>
      </c>
      <c r="B1235" t="inlineStr">
        <is>
          <t>FWONK US Equity</t>
        </is>
      </c>
      <c r="C1235" t="inlineStr">
        <is>
          <t>TOTAL_EQUITY</t>
        </is>
      </c>
      <c r="E1235" t="inlineStr">
        <is>
          <t>Total equity</t>
        </is>
      </c>
      <c r="F1235" s="53">
        <f>_xll.BDP("FWONK US Equity","TOTAL_EQUITY")</f>
        <v/>
      </c>
    </row>
    <row r="1236">
      <c r="A1236" t="inlineStr">
        <is>
          <t>FWONK</t>
        </is>
      </c>
      <c r="B1236" t="inlineStr">
        <is>
          <t>FWONK US Equity</t>
        </is>
      </c>
      <c r="C1236" t="inlineStr">
        <is>
          <t>BS_CASH_NEAR_CASH_ITEM</t>
        </is>
      </c>
      <c r="E1236" t="inlineStr">
        <is>
          <t>Cash &amp; equivalents</t>
        </is>
      </c>
      <c r="F1236" s="53">
        <f>_xll.BDP("FWONK US Equity","BS_CASH_NEAR_CASH_ITEM")</f>
        <v/>
      </c>
    </row>
    <row r="1237">
      <c r="A1237" t="inlineStr">
        <is>
          <t>FWONK</t>
        </is>
      </c>
      <c r="B1237" t="inlineStr">
        <is>
          <t>FWONK US Equity</t>
        </is>
      </c>
      <c r="C1237" t="inlineStr">
        <is>
          <t>BEST_EPS</t>
        </is>
      </c>
      <c r="D1237" t="inlineStr">
        <is>
          <t>24Y</t>
        </is>
      </c>
      <c r="E1237" t="inlineStr">
        <is>
          <t>EPS estimate FY2024</t>
        </is>
      </c>
      <c r="F1237" s="53">
        <f>_xll.BDP("FWONK US Equity","BEST_EPS","BEST_FPERIOD_OVERRIDE","24Y")</f>
        <v/>
      </c>
    </row>
    <row r="1238">
      <c r="A1238" t="inlineStr">
        <is>
          <t>FWONK</t>
        </is>
      </c>
      <c r="B1238" t="inlineStr">
        <is>
          <t>FWONK US Equity</t>
        </is>
      </c>
      <c r="C1238" t="inlineStr">
        <is>
          <t>BEST_SALES</t>
        </is>
      </c>
      <c r="D1238" t="inlineStr">
        <is>
          <t>24Y</t>
        </is>
      </c>
      <c r="E1238" t="inlineStr">
        <is>
          <t>Revenue estimate FY2024</t>
        </is>
      </c>
      <c r="F1238" s="53">
        <f>_xll.BDP("FWONK US Equity","BEST_SALES","BEST_FPERIOD_OVERRIDE","24Y")</f>
        <v/>
      </c>
    </row>
    <row r="1239">
      <c r="A1239" t="inlineStr">
        <is>
          <t>FWONK</t>
        </is>
      </c>
      <c r="B1239" t="inlineStr">
        <is>
          <t>FWONK US Equity</t>
        </is>
      </c>
      <c r="C1239" t="inlineStr">
        <is>
          <t>BEST_EBIT</t>
        </is>
      </c>
      <c r="D1239" t="inlineStr">
        <is>
          <t>24Y</t>
        </is>
      </c>
      <c r="E1239" t="inlineStr">
        <is>
          <t>EBIT estimate FY2024</t>
        </is>
      </c>
      <c r="F1239" s="53">
        <f>_xll.BDP("FWONK US Equity","BEST_EBIT","BEST_FPERIOD_OVERRIDE","24Y")</f>
        <v/>
      </c>
    </row>
    <row r="1240">
      <c r="A1240" t="inlineStr">
        <is>
          <t>FWONK</t>
        </is>
      </c>
      <c r="B1240" t="inlineStr">
        <is>
          <t>FWONK US Equity</t>
        </is>
      </c>
      <c r="C1240" t="inlineStr">
        <is>
          <t>BEST_EPS</t>
        </is>
      </c>
      <c r="D1240" t="inlineStr">
        <is>
          <t>25Y</t>
        </is>
      </c>
      <c r="E1240" t="inlineStr">
        <is>
          <t>EPS estimate FY2025</t>
        </is>
      </c>
      <c r="F1240" s="53">
        <f>_xll.BDP("FWONK US Equity","BEST_EPS","BEST_FPERIOD_OVERRIDE","25Y")</f>
        <v/>
      </c>
    </row>
    <row r="1241">
      <c r="A1241" t="inlineStr">
        <is>
          <t>FWONK</t>
        </is>
      </c>
      <c r="B1241" t="inlineStr">
        <is>
          <t>FWONK US Equity</t>
        </is>
      </c>
      <c r="C1241" t="inlineStr">
        <is>
          <t>BEST_SALES</t>
        </is>
      </c>
      <c r="D1241" t="inlineStr">
        <is>
          <t>25Y</t>
        </is>
      </c>
      <c r="E1241" t="inlineStr">
        <is>
          <t>Revenue estimate FY2025</t>
        </is>
      </c>
      <c r="F1241" s="53">
        <f>_xll.BDP("FWONK US Equity","BEST_SALES","BEST_FPERIOD_OVERRIDE","25Y")</f>
        <v/>
      </c>
    </row>
    <row r="1242">
      <c r="A1242" t="inlineStr">
        <is>
          <t>FWONK</t>
        </is>
      </c>
      <c r="B1242" t="inlineStr">
        <is>
          <t>FWONK US Equity</t>
        </is>
      </c>
      <c r="C1242" t="inlineStr">
        <is>
          <t>BEST_EBIT</t>
        </is>
      </c>
      <c r="D1242" t="inlineStr">
        <is>
          <t>25Y</t>
        </is>
      </c>
      <c r="E1242" t="inlineStr">
        <is>
          <t>EBIT estimate FY2025</t>
        </is>
      </c>
      <c r="F1242" s="53">
        <f>_xll.BDP("FWONK US Equity","BEST_EBIT","BEST_FPERIOD_OVERRIDE","25Y")</f>
        <v/>
      </c>
    </row>
    <row r="1243">
      <c r="A1243" t="inlineStr">
        <is>
          <t>FWONK</t>
        </is>
      </c>
      <c r="B1243" t="inlineStr">
        <is>
          <t>FWONK US Equity</t>
        </is>
      </c>
      <c r="C1243" t="inlineStr">
        <is>
          <t>BEST_EPS</t>
        </is>
      </c>
      <c r="D1243" t="inlineStr">
        <is>
          <t>26Y</t>
        </is>
      </c>
      <c r="E1243" t="inlineStr">
        <is>
          <t>EPS estimate FY2026</t>
        </is>
      </c>
      <c r="F1243" s="53">
        <f>_xll.BDP("FWONK US Equity","BEST_EPS","BEST_FPERIOD_OVERRIDE","26Y")</f>
        <v/>
      </c>
    </row>
    <row r="1244">
      <c r="A1244" t="inlineStr">
        <is>
          <t>FWONK</t>
        </is>
      </c>
      <c r="B1244" t="inlineStr">
        <is>
          <t>FWONK US Equity</t>
        </is>
      </c>
      <c r="C1244" t="inlineStr">
        <is>
          <t>BEST_SALES</t>
        </is>
      </c>
      <c r="D1244" t="inlineStr">
        <is>
          <t>26Y</t>
        </is>
      </c>
      <c r="E1244" t="inlineStr">
        <is>
          <t>Revenue estimate FY2026</t>
        </is>
      </c>
      <c r="F1244" s="53">
        <f>_xll.BDP("FWONK US Equity","BEST_SALES","BEST_FPERIOD_OVERRIDE","26Y")</f>
        <v/>
      </c>
    </row>
    <row r="1245">
      <c r="A1245" t="inlineStr">
        <is>
          <t>FWONK</t>
        </is>
      </c>
      <c r="B1245" t="inlineStr">
        <is>
          <t>FWONK US Equity</t>
        </is>
      </c>
      <c r="C1245" t="inlineStr">
        <is>
          <t>BEST_EBIT</t>
        </is>
      </c>
      <c r="D1245" t="inlineStr">
        <is>
          <t>26Y</t>
        </is>
      </c>
      <c r="E1245" t="inlineStr">
        <is>
          <t>EBIT estimate FY2026</t>
        </is>
      </c>
      <c r="F1245" s="53">
        <f>_xll.BDP("FWONK US Equity","BEST_EBIT","BEST_FPERIOD_OVERRIDE","26Y")</f>
        <v/>
      </c>
    </row>
    <row r="1246">
      <c r="A1246" t="inlineStr">
        <is>
          <t>FWONK</t>
        </is>
      </c>
      <c r="B1246" t="inlineStr">
        <is>
          <t>FWONK US Equity</t>
        </is>
      </c>
      <c r="C1246" t="inlineStr">
        <is>
          <t>BEST_EPS</t>
        </is>
      </c>
      <c r="D1246" t="inlineStr">
        <is>
          <t>27Y</t>
        </is>
      </c>
      <c r="E1246" t="inlineStr">
        <is>
          <t>EPS estimate FY2027</t>
        </is>
      </c>
      <c r="F1246" s="53">
        <f>_xll.BDP("FWONK US Equity","BEST_EPS","BEST_FPERIOD_OVERRIDE","27Y")</f>
        <v/>
      </c>
    </row>
    <row r="1247">
      <c r="A1247" t="inlineStr">
        <is>
          <t>FWONK</t>
        </is>
      </c>
      <c r="B1247" t="inlineStr">
        <is>
          <t>FWONK US Equity</t>
        </is>
      </c>
      <c r="C1247" t="inlineStr">
        <is>
          <t>BEST_SALES</t>
        </is>
      </c>
      <c r="D1247" t="inlineStr">
        <is>
          <t>27Y</t>
        </is>
      </c>
      <c r="E1247" t="inlineStr">
        <is>
          <t>Revenue estimate FY2027</t>
        </is>
      </c>
      <c r="F1247" s="53">
        <f>_xll.BDP("FWONK US Equity","BEST_SALES","BEST_FPERIOD_OVERRIDE","27Y")</f>
        <v/>
      </c>
    </row>
    <row r="1248">
      <c r="A1248" t="inlineStr">
        <is>
          <t>FWONK</t>
        </is>
      </c>
      <c r="B1248" t="inlineStr">
        <is>
          <t>FWONK US Equity</t>
        </is>
      </c>
      <c r="C1248" t="inlineStr">
        <is>
          <t>BEST_EBIT</t>
        </is>
      </c>
      <c r="D1248" t="inlineStr">
        <is>
          <t>27Y</t>
        </is>
      </c>
      <c r="E1248" t="inlineStr">
        <is>
          <t>EBIT estimate FY2027</t>
        </is>
      </c>
      <c r="F1248" s="53">
        <f>_xll.BDP("FWONK US Equity","BEST_EBIT","BEST_FPERIOD_OVERRIDE","27Y")</f>
        <v/>
      </c>
    </row>
    <row r="1249">
      <c r="A1249" t="inlineStr">
        <is>
          <t>FWONK</t>
        </is>
      </c>
      <c r="B1249" t="inlineStr">
        <is>
          <t>FWONK US Equity</t>
        </is>
      </c>
      <c r="C1249" t="inlineStr">
        <is>
          <t>BEST_EPS</t>
        </is>
      </c>
      <c r="D1249" t="inlineStr">
        <is>
          <t>28Y</t>
        </is>
      </c>
      <c r="E1249" t="inlineStr">
        <is>
          <t>EPS estimate FY2028</t>
        </is>
      </c>
      <c r="F1249" s="53">
        <f>_xll.BDP("FWONK US Equity","BEST_EPS","BEST_FPERIOD_OVERRIDE","28Y")</f>
        <v/>
      </c>
    </row>
    <row r="1250">
      <c r="A1250" t="inlineStr">
        <is>
          <t>FWONK</t>
        </is>
      </c>
      <c r="B1250" t="inlineStr">
        <is>
          <t>FWONK US Equity</t>
        </is>
      </c>
      <c r="C1250" t="inlineStr">
        <is>
          <t>BEST_SALES</t>
        </is>
      </c>
      <c r="D1250" t="inlineStr">
        <is>
          <t>28Y</t>
        </is>
      </c>
      <c r="E1250" t="inlineStr">
        <is>
          <t>Revenue estimate FY2028</t>
        </is>
      </c>
      <c r="F1250" s="53">
        <f>_xll.BDP("FWONK US Equity","BEST_SALES","BEST_FPERIOD_OVERRIDE","28Y")</f>
        <v/>
      </c>
    </row>
    <row r="1251">
      <c r="A1251" t="inlineStr">
        <is>
          <t>FWONK</t>
        </is>
      </c>
      <c r="B1251" t="inlineStr">
        <is>
          <t>FWONK US Equity</t>
        </is>
      </c>
      <c r="C1251" t="inlineStr">
        <is>
          <t>BEST_EBIT</t>
        </is>
      </c>
      <c r="D1251" t="inlineStr">
        <is>
          <t>28Y</t>
        </is>
      </c>
      <c r="E1251" t="inlineStr">
        <is>
          <t>EBIT estimate FY2028</t>
        </is>
      </c>
      <c r="F1251" s="53">
        <f>_xll.BDP("FWONK US Equity","BEST_EBIT","BEST_FPERIOD_OVERRIDE","28Y")</f>
        <v/>
      </c>
    </row>
    <row r="1252">
      <c r="A1252" t="inlineStr">
        <is>
          <t>MC</t>
        </is>
      </c>
      <c r="B1252" t="inlineStr">
        <is>
          <t>MC FP Equity</t>
        </is>
      </c>
      <c r="C1252" t="inlineStr">
        <is>
          <t>PX_LAST</t>
        </is>
      </c>
      <c r="E1252" t="inlineStr">
        <is>
          <t>Last price</t>
        </is>
      </c>
      <c r="F1252" s="53">
        <f>_xll.BDP("MC FP Equity","PX_LAST")</f>
        <v/>
      </c>
    </row>
    <row r="1253">
      <c r="A1253" t="inlineStr">
        <is>
          <t>MC</t>
        </is>
      </c>
      <c r="B1253" t="inlineStr">
        <is>
          <t>MC FP Equity</t>
        </is>
      </c>
      <c r="C1253" t="inlineStr">
        <is>
          <t>CUR_MKT_CAP</t>
        </is>
      </c>
      <c r="E1253" t="inlineStr">
        <is>
          <t>Market cap (raw)</t>
        </is>
      </c>
      <c r="F1253" s="53">
        <f>_xll.BDP("MC FP Equity","CUR_MKT_CAP")</f>
        <v/>
      </c>
    </row>
    <row r="1254">
      <c r="A1254" t="inlineStr">
        <is>
          <t>MC</t>
        </is>
      </c>
      <c r="B1254" t="inlineStr">
        <is>
          <t>MC FP Equity</t>
        </is>
      </c>
      <c r="C1254" t="inlineStr">
        <is>
          <t>CHG_PCT_YTD</t>
        </is>
      </c>
      <c r="E1254" t="inlineStr">
        <is>
          <t>YTD price change %</t>
        </is>
      </c>
      <c r="F1254" s="53">
        <f>_xll.BDP("MC FP Equity","CHG_PCT_YTD")</f>
        <v/>
      </c>
    </row>
    <row r="1255">
      <c r="A1255" t="inlineStr">
        <is>
          <t>MC</t>
        </is>
      </c>
      <c r="B1255" t="inlineStr">
        <is>
          <t>MC FP Equity</t>
        </is>
      </c>
      <c r="C1255" t="inlineStr">
        <is>
          <t>NET_DEBT_TO_EBITDA</t>
        </is>
      </c>
      <c r="E1255" t="inlineStr">
        <is>
          <t>Net debt / EBITDA</t>
        </is>
      </c>
      <c r="F1255" s="53">
        <f>_xll.BDP("MC FP Equity","NET_DEBT_TO_EBITDA")</f>
        <v/>
      </c>
    </row>
    <row r="1256">
      <c r="A1256" t="inlineStr">
        <is>
          <t>MC</t>
        </is>
      </c>
      <c r="B1256" t="inlineStr">
        <is>
          <t>MC FP Equity</t>
        </is>
      </c>
      <c r="C1256" t="inlineStr">
        <is>
          <t>RETURN_ON_INV_CAPITAL</t>
        </is>
      </c>
      <c r="E1256" t="inlineStr">
        <is>
          <t>ROIC (LTM)</t>
        </is>
      </c>
      <c r="F1256" s="53">
        <f>_xll.BDP("MC FP Equity","RETURN_ON_INV_CAPITAL")</f>
        <v/>
      </c>
    </row>
    <row r="1257">
      <c r="A1257" t="inlineStr">
        <is>
          <t>MC</t>
        </is>
      </c>
      <c r="B1257" t="inlineStr">
        <is>
          <t>MC FP Equity</t>
        </is>
      </c>
      <c r="C1257" t="inlineStr">
        <is>
          <t>TRAIL_12M_OPER_INC</t>
        </is>
      </c>
      <c r="E1257" t="inlineStr">
        <is>
          <t>LTM operating income</t>
        </is>
      </c>
      <c r="F1257" s="53">
        <f>_xll.BDP("MC FP Equity","TRAIL_12M_OPER_INC")</f>
        <v/>
      </c>
    </row>
    <row r="1258">
      <c r="A1258" t="inlineStr">
        <is>
          <t>MC</t>
        </is>
      </c>
      <c r="B1258" t="inlineStr">
        <is>
          <t>MC FP Equity</t>
        </is>
      </c>
      <c r="C1258" t="inlineStr">
        <is>
          <t>TRAIL_12M_EBITDA</t>
        </is>
      </c>
      <c r="E1258" t="inlineStr">
        <is>
          <t>LTM EBITDA</t>
        </is>
      </c>
      <c r="F1258" s="53">
        <f>_xll.BDP("MC FP Equity","TRAIL_12M_EBITDA")</f>
        <v/>
      </c>
    </row>
    <row r="1259">
      <c r="A1259" t="inlineStr">
        <is>
          <t>MC</t>
        </is>
      </c>
      <c r="B1259" t="inlineStr">
        <is>
          <t>MC FP Equity</t>
        </is>
      </c>
      <c r="C1259" t="inlineStr">
        <is>
          <t>SHORT_AND_LONG_TERM_DEBT</t>
        </is>
      </c>
      <c r="E1259" t="inlineStr">
        <is>
          <t>Total debt</t>
        </is>
      </c>
      <c r="F1259" s="53">
        <f>_xll.BDP("MC FP Equity","SHORT_AND_LONG_TERM_DEBT")</f>
        <v/>
      </c>
    </row>
    <row r="1260">
      <c r="A1260" t="inlineStr">
        <is>
          <t>MC</t>
        </is>
      </c>
      <c r="B1260" t="inlineStr">
        <is>
          <t>MC FP Equity</t>
        </is>
      </c>
      <c r="C1260" t="inlineStr">
        <is>
          <t>TOTAL_EQUITY</t>
        </is>
      </c>
      <c r="E1260" t="inlineStr">
        <is>
          <t>Total equity</t>
        </is>
      </c>
      <c r="F1260" s="53">
        <f>_xll.BDP("MC FP Equity","TOTAL_EQUITY")</f>
        <v/>
      </c>
    </row>
    <row r="1261">
      <c r="A1261" t="inlineStr">
        <is>
          <t>MC</t>
        </is>
      </c>
      <c r="B1261" t="inlineStr">
        <is>
          <t>MC FP Equity</t>
        </is>
      </c>
      <c r="C1261" t="inlineStr">
        <is>
          <t>BS_CASH_NEAR_CASH_ITEM</t>
        </is>
      </c>
      <c r="E1261" t="inlineStr">
        <is>
          <t>Cash &amp; equivalents</t>
        </is>
      </c>
      <c r="F1261" s="53">
        <f>_xll.BDP("MC FP Equity","BS_CASH_NEAR_CASH_ITEM")</f>
        <v/>
      </c>
    </row>
    <row r="1262">
      <c r="A1262" t="inlineStr">
        <is>
          <t>MC</t>
        </is>
      </c>
      <c r="B1262" t="inlineStr">
        <is>
          <t>MC FP Equity</t>
        </is>
      </c>
      <c r="C1262" t="inlineStr">
        <is>
          <t>BEST_EPS</t>
        </is>
      </c>
      <c r="D1262" t="inlineStr">
        <is>
          <t>24Y</t>
        </is>
      </c>
      <c r="E1262" t="inlineStr">
        <is>
          <t>EPS estimate FY2024</t>
        </is>
      </c>
      <c r="F1262" s="53">
        <f>_xll.BDP("MC FP Equity","BEST_EPS","BEST_FPERIOD_OVERRIDE","24Y")</f>
        <v/>
      </c>
    </row>
    <row r="1263">
      <c r="A1263" t="inlineStr">
        <is>
          <t>MC</t>
        </is>
      </c>
      <c r="B1263" t="inlineStr">
        <is>
          <t>MC FP Equity</t>
        </is>
      </c>
      <c r="C1263" t="inlineStr">
        <is>
          <t>BEST_SALES</t>
        </is>
      </c>
      <c r="D1263" t="inlineStr">
        <is>
          <t>24Y</t>
        </is>
      </c>
      <c r="E1263" t="inlineStr">
        <is>
          <t>Revenue estimate FY2024</t>
        </is>
      </c>
      <c r="F1263" s="53">
        <f>_xll.BDP("MC FP Equity","BEST_SALES","BEST_FPERIOD_OVERRIDE","24Y")</f>
        <v/>
      </c>
    </row>
    <row r="1264">
      <c r="A1264" t="inlineStr">
        <is>
          <t>MC</t>
        </is>
      </c>
      <c r="B1264" t="inlineStr">
        <is>
          <t>MC FP Equity</t>
        </is>
      </c>
      <c r="C1264" t="inlineStr">
        <is>
          <t>BEST_EBIT</t>
        </is>
      </c>
      <c r="D1264" t="inlineStr">
        <is>
          <t>24Y</t>
        </is>
      </c>
      <c r="E1264" t="inlineStr">
        <is>
          <t>EBIT estimate FY2024</t>
        </is>
      </c>
      <c r="F1264" s="53">
        <f>_xll.BDP("MC FP Equity","BEST_EBIT","BEST_FPERIOD_OVERRIDE","24Y")</f>
        <v/>
      </c>
    </row>
    <row r="1265">
      <c r="A1265" t="inlineStr">
        <is>
          <t>MC</t>
        </is>
      </c>
      <c r="B1265" t="inlineStr">
        <is>
          <t>MC FP Equity</t>
        </is>
      </c>
      <c r="C1265" t="inlineStr">
        <is>
          <t>BEST_EPS</t>
        </is>
      </c>
      <c r="D1265" t="inlineStr">
        <is>
          <t>25Y</t>
        </is>
      </c>
      <c r="E1265" t="inlineStr">
        <is>
          <t>EPS estimate FY2025</t>
        </is>
      </c>
      <c r="F1265" s="53">
        <f>_xll.BDP("MC FP Equity","BEST_EPS","BEST_FPERIOD_OVERRIDE","25Y")</f>
        <v/>
      </c>
    </row>
    <row r="1266">
      <c r="A1266" t="inlineStr">
        <is>
          <t>MC</t>
        </is>
      </c>
      <c r="B1266" t="inlineStr">
        <is>
          <t>MC FP Equity</t>
        </is>
      </c>
      <c r="C1266" t="inlineStr">
        <is>
          <t>BEST_SALES</t>
        </is>
      </c>
      <c r="D1266" t="inlineStr">
        <is>
          <t>25Y</t>
        </is>
      </c>
      <c r="E1266" t="inlineStr">
        <is>
          <t>Revenue estimate FY2025</t>
        </is>
      </c>
      <c r="F1266" s="53">
        <f>_xll.BDP("MC FP Equity","BEST_SALES","BEST_FPERIOD_OVERRIDE","25Y")</f>
        <v/>
      </c>
    </row>
    <row r="1267">
      <c r="A1267" t="inlineStr">
        <is>
          <t>MC</t>
        </is>
      </c>
      <c r="B1267" t="inlineStr">
        <is>
          <t>MC FP Equity</t>
        </is>
      </c>
      <c r="C1267" t="inlineStr">
        <is>
          <t>BEST_EBIT</t>
        </is>
      </c>
      <c r="D1267" t="inlineStr">
        <is>
          <t>25Y</t>
        </is>
      </c>
      <c r="E1267" t="inlineStr">
        <is>
          <t>EBIT estimate FY2025</t>
        </is>
      </c>
      <c r="F1267" s="53">
        <f>_xll.BDP("MC FP Equity","BEST_EBIT","BEST_FPERIOD_OVERRIDE","25Y")</f>
        <v/>
      </c>
    </row>
    <row r="1268">
      <c r="A1268" t="inlineStr">
        <is>
          <t>MC</t>
        </is>
      </c>
      <c r="B1268" t="inlineStr">
        <is>
          <t>MC FP Equity</t>
        </is>
      </c>
      <c r="C1268" t="inlineStr">
        <is>
          <t>BEST_EPS</t>
        </is>
      </c>
      <c r="D1268" t="inlineStr">
        <is>
          <t>26Y</t>
        </is>
      </c>
      <c r="E1268" t="inlineStr">
        <is>
          <t>EPS estimate FY2026</t>
        </is>
      </c>
      <c r="F1268" s="53">
        <f>_xll.BDP("MC FP Equity","BEST_EPS","BEST_FPERIOD_OVERRIDE","26Y")</f>
        <v/>
      </c>
    </row>
    <row r="1269">
      <c r="A1269" t="inlineStr">
        <is>
          <t>MC</t>
        </is>
      </c>
      <c r="B1269" t="inlineStr">
        <is>
          <t>MC FP Equity</t>
        </is>
      </c>
      <c r="C1269" t="inlineStr">
        <is>
          <t>BEST_SALES</t>
        </is>
      </c>
      <c r="D1269" t="inlineStr">
        <is>
          <t>26Y</t>
        </is>
      </c>
      <c r="E1269" t="inlineStr">
        <is>
          <t>Revenue estimate FY2026</t>
        </is>
      </c>
      <c r="F1269" s="53">
        <f>_xll.BDP("MC FP Equity","BEST_SALES","BEST_FPERIOD_OVERRIDE","26Y")</f>
        <v/>
      </c>
    </row>
    <row r="1270">
      <c r="A1270" t="inlineStr">
        <is>
          <t>MC</t>
        </is>
      </c>
      <c r="B1270" t="inlineStr">
        <is>
          <t>MC FP Equity</t>
        </is>
      </c>
      <c r="C1270" t="inlineStr">
        <is>
          <t>BEST_EBIT</t>
        </is>
      </c>
      <c r="D1270" t="inlineStr">
        <is>
          <t>26Y</t>
        </is>
      </c>
      <c r="E1270" t="inlineStr">
        <is>
          <t>EBIT estimate FY2026</t>
        </is>
      </c>
      <c r="F1270" s="53">
        <f>_xll.BDP("MC FP Equity","BEST_EBIT","BEST_FPERIOD_OVERRIDE","26Y")</f>
        <v/>
      </c>
    </row>
    <row r="1271">
      <c r="A1271" t="inlineStr">
        <is>
          <t>MC</t>
        </is>
      </c>
      <c r="B1271" t="inlineStr">
        <is>
          <t>MC FP Equity</t>
        </is>
      </c>
      <c r="C1271" t="inlineStr">
        <is>
          <t>BEST_EPS</t>
        </is>
      </c>
      <c r="D1271" t="inlineStr">
        <is>
          <t>27Y</t>
        </is>
      </c>
      <c r="E1271" t="inlineStr">
        <is>
          <t>EPS estimate FY2027</t>
        </is>
      </c>
      <c r="F1271" s="53">
        <f>_xll.BDP("MC FP Equity","BEST_EPS","BEST_FPERIOD_OVERRIDE","27Y")</f>
        <v/>
      </c>
    </row>
    <row r="1272">
      <c r="A1272" t="inlineStr">
        <is>
          <t>MC</t>
        </is>
      </c>
      <c r="B1272" t="inlineStr">
        <is>
          <t>MC FP Equity</t>
        </is>
      </c>
      <c r="C1272" t="inlineStr">
        <is>
          <t>BEST_SALES</t>
        </is>
      </c>
      <c r="D1272" t="inlineStr">
        <is>
          <t>27Y</t>
        </is>
      </c>
      <c r="E1272" t="inlineStr">
        <is>
          <t>Revenue estimate FY2027</t>
        </is>
      </c>
      <c r="F1272" s="53">
        <f>_xll.BDP("MC FP Equity","BEST_SALES","BEST_FPERIOD_OVERRIDE","27Y")</f>
        <v/>
      </c>
    </row>
    <row r="1273">
      <c r="A1273" t="inlineStr">
        <is>
          <t>MC</t>
        </is>
      </c>
      <c r="B1273" t="inlineStr">
        <is>
          <t>MC FP Equity</t>
        </is>
      </c>
      <c r="C1273" t="inlineStr">
        <is>
          <t>BEST_EBIT</t>
        </is>
      </c>
      <c r="D1273" t="inlineStr">
        <is>
          <t>27Y</t>
        </is>
      </c>
      <c r="E1273" t="inlineStr">
        <is>
          <t>EBIT estimate FY2027</t>
        </is>
      </c>
      <c r="F1273" s="53">
        <f>_xll.BDP("MC FP Equity","BEST_EBIT","BEST_FPERIOD_OVERRIDE","27Y")</f>
        <v/>
      </c>
    </row>
    <row r="1274">
      <c r="A1274" t="inlineStr">
        <is>
          <t>MC</t>
        </is>
      </c>
      <c r="B1274" t="inlineStr">
        <is>
          <t>MC FP Equity</t>
        </is>
      </c>
      <c r="C1274" t="inlineStr">
        <is>
          <t>BEST_EPS</t>
        </is>
      </c>
      <c r="D1274" t="inlineStr">
        <is>
          <t>28Y</t>
        </is>
      </c>
      <c r="E1274" t="inlineStr">
        <is>
          <t>EPS estimate FY2028</t>
        </is>
      </c>
      <c r="F1274" s="53">
        <f>_xll.BDP("MC FP Equity","BEST_EPS","BEST_FPERIOD_OVERRIDE","28Y")</f>
        <v/>
      </c>
    </row>
    <row r="1275">
      <c r="A1275" t="inlineStr">
        <is>
          <t>MC</t>
        </is>
      </c>
      <c r="B1275" t="inlineStr">
        <is>
          <t>MC FP Equity</t>
        </is>
      </c>
      <c r="C1275" t="inlineStr">
        <is>
          <t>BEST_SALES</t>
        </is>
      </c>
      <c r="D1275" t="inlineStr">
        <is>
          <t>28Y</t>
        </is>
      </c>
      <c r="E1275" t="inlineStr">
        <is>
          <t>Revenue estimate FY2028</t>
        </is>
      </c>
      <c r="F1275" s="53">
        <f>_xll.BDP("MC FP Equity","BEST_SALES","BEST_FPERIOD_OVERRIDE","28Y")</f>
        <v/>
      </c>
    </row>
    <row r="1276">
      <c r="A1276" t="inlineStr">
        <is>
          <t>MC</t>
        </is>
      </c>
      <c r="B1276" t="inlineStr">
        <is>
          <t>MC FP Equity</t>
        </is>
      </c>
      <c r="C1276" t="inlineStr">
        <is>
          <t>BEST_EBIT</t>
        </is>
      </c>
      <c r="D1276" t="inlineStr">
        <is>
          <t>28Y</t>
        </is>
      </c>
      <c r="E1276" t="inlineStr">
        <is>
          <t>EBIT estimate FY2028</t>
        </is>
      </c>
      <c r="F1276" s="53">
        <f>_xll.BDP("MC FP Equity","BEST_EBIT","BEST_FPERIOD_OVERRIDE","28Y")</f>
        <v/>
      </c>
    </row>
    <row r="1277">
      <c r="A1277" t="inlineStr">
        <is>
          <t>RMS</t>
        </is>
      </c>
      <c r="B1277" t="inlineStr">
        <is>
          <t>RMS FP Equity</t>
        </is>
      </c>
      <c r="C1277" t="inlineStr">
        <is>
          <t>PX_LAST</t>
        </is>
      </c>
      <c r="E1277" t="inlineStr">
        <is>
          <t>Last price</t>
        </is>
      </c>
      <c r="F1277" s="53">
        <f>_xll.BDP("RMS FP Equity","PX_LAST")</f>
        <v/>
      </c>
    </row>
    <row r="1278">
      <c r="A1278" t="inlineStr">
        <is>
          <t>RMS</t>
        </is>
      </c>
      <c r="B1278" t="inlineStr">
        <is>
          <t>RMS FP Equity</t>
        </is>
      </c>
      <c r="C1278" t="inlineStr">
        <is>
          <t>CUR_MKT_CAP</t>
        </is>
      </c>
      <c r="E1278" t="inlineStr">
        <is>
          <t>Market cap (raw)</t>
        </is>
      </c>
      <c r="F1278" s="53">
        <f>_xll.BDP("RMS FP Equity","CUR_MKT_CAP")</f>
        <v/>
      </c>
    </row>
    <row r="1279">
      <c r="A1279" t="inlineStr">
        <is>
          <t>RMS</t>
        </is>
      </c>
      <c r="B1279" t="inlineStr">
        <is>
          <t>RMS FP Equity</t>
        </is>
      </c>
      <c r="C1279" t="inlineStr">
        <is>
          <t>CHG_PCT_YTD</t>
        </is>
      </c>
      <c r="E1279" t="inlineStr">
        <is>
          <t>YTD price change %</t>
        </is>
      </c>
      <c r="F1279" s="53">
        <f>_xll.BDP("RMS FP Equity","CHG_PCT_YTD")</f>
        <v/>
      </c>
    </row>
    <row r="1280">
      <c r="A1280" t="inlineStr">
        <is>
          <t>RMS</t>
        </is>
      </c>
      <c r="B1280" t="inlineStr">
        <is>
          <t>RMS FP Equity</t>
        </is>
      </c>
      <c r="C1280" t="inlineStr">
        <is>
          <t>NET_DEBT_TO_EBITDA</t>
        </is>
      </c>
      <c r="E1280" t="inlineStr">
        <is>
          <t>Net debt / EBITDA</t>
        </is>
      </c>
      <c r="F1280" s="53">
        <f>_xll.BDP("RMS FP Equity","NET_DEBT_TO_EBITDA")</f>
        <v/>
      </c>
    </row>
    <row r="1281">
      <c r="A1281" t="inlineStr">
        <is>
          <t>RMS</t>
        </is>
      </c>
      <c r="B1281" t="inlineStr">
        <is>
          <t>RMS FP Equity</t>
        </is>
      </c>
      <c r="C1281" t="inlineStr">
        <is>
          <t>RETURN_ON_INV_CAPITAL</t>
        </is>
      </c>
      <c r="E1281" t="inlineStr">
        <is>
          <t>ROIC (LTM)</t>
        </is>
      </c>
      <c r="F1281" s="53">
        <f>_xll.BDP("RMS FP Equity","RETURN_ON_INV_CAPITAL")</f>
        <v/>
      </c>
    </row>
    <row r="1282">
      <c r="A1282" t="inlineStr">
        <is>
          <t>RMS</t>
        </is>
      </c>
      <c r="B1282" t="inlineStr">
        <is>
          <t>RMS FP Equity</t>
        </is>
      </c>
      <c r="C1282" t="inlineStr">
        <is>
          <t>TRAIL_12M_OPER_INC</t>
        </is>
      </c>
      <c r="E1282" t="inlineStr">
        <is>
          <t>LTM operating income</t>
        </is>
      </c>
      <c r="F1282" s="53">
        <f>_xll.BDP("RMS FP Equity","TRAIL_12M_OPER_INC")</f>
        <v/>
      </c>
    </row>
    <row r="1283">
      <c r="A1283" t="inlineStr">
        <is>
          <t>RMS</t>
        </is>
      </c>
      <c r="B1283" t="inlineStr">
        <is>
          <t>RMS FP Equity</t>
        </is>
      </c>
      <c r="C1283" t="inlineStr">
        <is>
          <t>TRAIL_12M_EBITDA</t>
        </is>
      </c>
      <c r="E1283" t="inlineStr">
        <is>
          <t>LTM EBITDA</t>
        </is>
      </c>
      <c r="F1283" s="53">
        <f>_xll.BDP("RMS FP Equity","TRAIL_12M_EBITDA")</f>
        <v/>
      </c>
    </row>
    <row r="1284">
      <c r="A1284" t="inlineStr">
        <is>
          <t>RMS</t>
        </is>
      </c>
      <c r="B1284" t="inlineStr">
        <is>
          <t>RMS FP Equity</t>
        </is>
      </c>
      <c r="C1284" t="inlineStr">
        <is>
          <t>SHORT_AND_LONG_TERM_DEBT</t>
        </is>
      </c>
      <c r="E1284" t="inlineStr">
        <is>
          <t>Total debt</t>
        </is>
      </c>
      <c r="F1284" s="53">
        <f>_xll.BDP("RMS FP Equity","SHORT_AND_LONG_TERM_DEBT")</f>
        <v/>
      </c>
    </row>
    <row r="1285">
      <c r="A1285" t="inlineStr">
        <is>
          <t>RMS</t>
        </is>
      </c>
      <c r="B1285" t="inlineStr">
        <is>
          <t>RMS FP Equity</t>
        </is>
      </c>
      <c r="C1285" t="inlineStr">
        <is>
          <t>TOTAL_EQUITY</t>
        </is>
      </c>
      <c r="E1285" t="inlineStr">
        <is>
          <t>Total equity</t>
        </is>
      </c>
      <c r="F1285" s="53">
        <f>_xll.BDP("RMS FP Equity","TOTAL_EQUITY")</f>
        <v/>
      </c>
    </row>
    <row r="1286">
      <c r="A1286" t="inlineStr">
        <is>
          <t>RMS</t>
        </is>
      </c>
      <c r="B1286" t="inlineStr">
        <is>
          <t>RMS FP Equity</t>
        </is>
      </c>
      <c r="C1286" t="inlineStr">
        <is>
          <t>BS_CASH_NEAR_CASH_ITEM</t>
        </is>
      </c>
      <c r="E1286" t="inlineStr">
        <is>
          <t>Cash &amp; equivalents</t>
        </is>
      </c>
      <c r="F1286" s="53">
        <f>_xll.BDP("RMS FP Equity","BS_CASH_NEAR_CASH_ITEM")</f>
        <v/>
      </c>
    </row>
    <row r="1287">
      <c r="A1287" t="inlineStr">
        <is>
          <t>RMS</t>
        </is>
      </c>
      <c r="B1287" t="inlineStr">
        <is>
          <t>RMS FP Equity</t>
        </is>
      </c>
      <c r="C1287" t="inlineStr">
        <is>
          <t>BEST_EPS</t>
        </is>
      </c>
      <c r="D1287" t="inlineStr">
        <is>
          <t>24Y</t>
        </is>
      </c>
      <c r="E1287" t="inlineStr">
        <is>
          <t>EPS estimate FY2024</t>
        </is>
      </c>
      <c r="F1287" s="53">
        <f>_xll.BDP("RMS FP Equity","BEST_EPS","BEST_FPERIOD_OVERRIDE","24Y")</f>
        <v/>
      </c>
    </row>
    <row r="1288">
      <c r="A1288" t="inlineStr">
        <is>
          <t>RMS</t>
        </is>
      </c>
      <c r="B1288" t="inlineStr">
        <is>
          <t>RMS FP Equity</t>
        </is>
      </c>
      <c r="C1288" t="inlineStr">
        <is>
          <t>BEST_SALES</t>
        </is>
      </c>
      <c r="D1288" t="inlineStr">
        <is>
          <t>24Y</t>
        </is>
      </c>
      <c r="E1288" t="inlineStr">
        <is>
          <t>Revenue estimate FY2024</t>
        </is>
      </c>
      <c r="F1288" s="53">
        <f>_xll.BDP("RMS FP Equity","BEST_SALES","BEST_FPERIOD_OVERRIDE","24Y")</f>
        <v/>
      </c>
    </row>
    <row r="1289">
      <c r="A1289" t="inlineStr">
        <is>
          <t>RMS</t>
        </is>
      </c>
      <c r="B1289" t="inlineStr">
        <is>
          <t>RMS FP Equity</t>
        </is>
      </c>
      <c r="C1289" t="inlineStr">
        <is>
          <t>BEST_EBIT</t>
        </is>
      </c>
      <c r="D1289" t="inlineStr">
        <is>
          <t>24Y</t>
        </is>
      </c>
      <c r="E1289" t="inlineStr">
        <is>
          <t>EBIT estimate FY2024</t>
        </is>
      </c>
      <c r="F1289" s="53">
        <f>_xll.BDP("RMS FP Equity","BEST_EBIT","BEST_FPERIOD_OVERRIDE","24Y")</f>
        <v/>
      </c>
    </row>
    <row r="1290">
      <c r="A1290" t="inlineStr">
        <is>
          <t>RMS</t>
        </is>
      </c>
      <c r="B1290" t="inlineStr">
        <is>
          <t>RMS FP Equity</t>
        </is>
      </c>
      <c r="C1290" t="inlineStr">
        <is>
          <t>BEST_EPS</t>
        </is>
      </c>
      <c r="D1290" t="inlineStr">
        <is>
          <t>25Y</t>
        </is>
      </c>
      <c r="E1290" t="inlineStr">
        <is>
          <t>EPS estimate FY2025</t>
        </is>
      </c>
      <c r="F1290" s="53">
        <f>_xll.BDP("RMS FP Equity","BEST_EPS","BEST_FPERIOD_OVERRIDE","25Y")</f>
        <v/>
      </c>
    </row>
    <row r="1291">
      <c r="A1291" t="inlineStr">
        <is>
          <t>RMS</t>
        </is>
      </c>
      <c r="B1291" t="inlineStr">
        <is>
          <t>RMS FP Equity</t>
        </is>
      </c>
      <c r="C1291" t="inlineStr">
        <is>
          <t>BEST_SALES</t>
        </is>
      </c>
      <c r="D1291" t="inlineStr">
        <is>
          <t>25Y</t>
        </is>
      </c>
      <c r="E1291" t="inlineStr">
        <is>
          <t>Revenue estimate FY2025</t>
        </is>
      </c>
      <c r="F1291" s="53">
        <f>_xll.BDP("RMS FP Equity","BEST_SALES","BEST_FPERIOD_OVERRIDE","25Y")</f>
        <v/>
      </c>
    </row>
    <row r="1292">
      <c r="A1292" t="inlineStr">
        <is>
          <t>RMS</t>
        </is>
      </c>
      <c r="B1292" t="inlineStr">
        <is>
          <t>RMS FP Equity</t>
        </is>
      </c>
      <c r="C1292" t="inlineStr">
        <is>
          <t>BEST_EBIT</t>
        </is>
      </c>
      <c r="D1292" t="inlineStr">
        <is>
          <t>25Y</t>
        </is>
      </c>
      <c r="E1292" t="inlineStr">
        <is>
          <t>EBIT estimate FY2025</t>
        </is>
      </c>
      <c r="F1292" s="53">
        <f>_xll.BDP("RMS FP Equity","BEST_EBIT","BEST_FPERIOD_OVERRIDE","25Y")</f>
        <v/>
      </c>
    </row>
    <row r="1293">
      <c r="A1293" t="inlineStr">
        <is>
          <t>RMS</t>
        </is>
      </c>
      <c r="B1293" t="inlineStr">
        <is>
          <t>RMS FP Equity</t>
        </is>
      </c>
      <c r="C1293" t="inlineStr">
        <is>
          <t>BEST_EPS</t>
        </is>
      </c>
      <c r="D1293" t="inlineStr">
        <is>
          <t>26Y</t>
        </is>
      </c>
      <c r="E1293" t="inlineStr">
        <is>
          <t>EPS estimate FY2026</t>
        </is>
      </c>
      <c r="F1293" s="53">
        <f>_xll.BDP("RMS FP Equity","BEST_EPS","BEST_FPERIOD_OVERRIDE","26Y")</f>
        <v/>
      </c>
    </row>
    <row r="1294">
      <c r="A1294" t="inlineStr">
        <is>
          <t>RMS</t>
        </is>
      </c>
      <c r="B1294" t="inlineStr">
        <is>
          <t>RMS FP Equity</t>
        </is>
      </c>
      <c r="C1294" t="inlineStr">
        <is>
          <t>BEST_SALES</t>
        </is>
      </c>
      <c r="D1294" t="inlineStr">
        <is>
          <t>26Y</t>
        </is>
      </c>
      <c r="E1294" t="inlineStr">
        <is>
          <t>Revenue estimate FY2026</t>
        </is>
      </c>
      <c r="F1294" s="53">
        <f>_xll.BDP("RMS FP Equity","BEST_SALES","BEST_FPERIOD_OVERRIDE","26Y")</f>
        <v/>
      </c>
    </row>
    <row r="1295">
      <c r="A1295" t="inlineStr">
        <is>
          <t>RMS</t>
        </is>
      </c>
      <c r="B1295" t="inlineStr">
        <is>
          <t>RMS FP Equity</t>
        </is>
      </c>
      <c r="C1295" t="inlineStr">
        <is>
          <t>BEST_EBIT</t>
        </is>
      </c>
      <c r="D1295" t="inlineStr">
        <is>
          <t>26Y</t>
        </is>
      </c>
      <c r="E1295" t="inlineStr">
        <is>
          <t>EBIT estimate FY2026</t>
        </is>
      </c>
      <c r="F1295" s="53">
        <f>_xll.BDP("RMS FP Equity","BEST_EBIT","BEST_FPERIOD_OVERRIDE","26Y")</f>
        <v/>
      </c>
    </row>
    <row r="1296">
      <c r="A1296" t="inlineStr">
        <is>
          <t>RMS</t>
        </is>
      </c>
      <c r="B1296" t="inlineStr">
        <is>
          <t>RMS FP Equity</t>
        </is>
      </c>
      <c r="C1296" t="inlineStr">
        <is>
          <t>BEST_EPS</t>
        </is>
      </c>
      <c r="D1296" t="inlineStr">
        <is>
          <t>27Y</t>
        </is>
      </c>
      <c r="E1296" t="inlineStr">
        <is>
          <t>EPS estimate FY2027</t>
        </is>
      </c>
      <c r="F1296" s="53">
        <f>_xll.BDP("RMS FP Equity","BEST_EPS","BEST_FPERIOD_OVERRIDE","27Y")</f>
        <v/>
      </c>
    </row>
    <row r="1297">
      <c r="A1297" t="inlineStr">
        <is>
          <t>RMS</t>
        </is>
      </c>
      <c r="B1297" t="inlineStr">
        <is>
          <t>RMS FP Equity</t>
        </is>
      </c>
      <c r="C1297" t="inlineStr">
        <is>
          <t>BEST_SALES</t>
        </is>
      </c>
      <c r="D1297" t="inlineStr">
        <is>
          <t>27Y</t>
        </is>
      </c>
      <c r="E1297" t="inlineStr">
        <is>
          <t>Revenue estimate FY2027</t>
        </is>
      </c>
      <c r="F1297" s="53">
        <f>_xll.BDP("RMS FP Equity","BEST_SALES","BEST_FPERIOD_OVERRIDE","27Y")</f>
        <v/>
      </c>
    </row>
    <row r="1298">
      <c r="A1298" t="inlineStr">
        <is>
          <t>RMS</t>
        </is>
      </c>
      <c r="B1298" t="inlineStr">
        <is>
          <t>RMS FP Equity</t>
        </is>
      </c>
      <c r="C1298" t="inlineStr">
        <is>
          <t>BEST_EBIT</t>
        </is>
      </c>
      <c r="D1298" t="inlineStr">
        <is>
          <t>27Y</t>
        </is>
      </c>
      <c r="E1298" t="inlineStr">
        <is>
          <t>EBIT estimate FY2027</t>
        </is>
      </c>
      <c r="F1298" s="53">
        <f>_xll.BDP("RMS FP Equity","BEST_EBIT","BEST_FPERIOD_OVERRIDE","27Y")</f>
        <v/>
      </c>
    </row>
    <row r="1299">
      <c r="A1299" t="inlineStr">
        <is>
          <t>RMS</t>
        </is>
      </c>
      <c r="B1299" t="inlineStr">
        <is>
          <t>RMS FP Equity</t>
        </is>
      </c>
      <c r="C1299" t="inlineStr">
        <is>
          <t>BEST_EPS</t>
        </is>
      </c>
      <c r="D1299" t="inlineStr">
        <is>
          <t>28Y</t>
        </is>
      </c>
      <c r="E1299" t="inlineStr">
        <is>
          <t>EPS estimate FY2028</t>
        </is>
      </c>
      <c r="F1299" s="53">
        <f>_xll.BDP("RMS FP Equity","BEST_EPS","BEST_FPERIOD_OVERRIDE","28Y")</f>
        <v/>
      </c>
    </row>
    <row r="1300">
      <c r="A1300" t="inlineStr">
        <is>
          <t>RMS</t>
        </is>
      </c>
      <c r="B1300" t="inlineStr">
        <is>
          <t>RMS FP Equity</t>
        </is>
      </c>
      <c r="C1300" t="inlineStr">
        <is>
          <t>BEST_SALES</t>
        </is>
      </c>
      <c r="D1300" t="inlineStr">
        <is>
          <t>28Y</t>
        </is>
      </c>
      <c r="E1300" t="inlineStr">
        <is>
          <t>Revenue estimate FY2028</t>
        </is>
      </c>
      <c r="F1300" s="53">
        <f>_xll.BDP("RMS FP Equity","BEST_SALES","BEST_FPERIOD_OVERRIDE","28Y")</f>
        <v/>
      </c>
    </row>
    <row r="1301">
      <c r="A1301" t="inlineStr">
        <is>
          <t>RMS</t>
        </is>
      </c>
      <c r="B1301" t="inlineStr">
        <is>
          <t>RMS FP Equity</t>
        </is>
      </c>
      <c r="C1301" t="inlineStr">
        <is>
          <t>BEST_EBIT</t>
        </is>
      </c>
      <c r="D1301" t="inlineStr">
        <is>
          <t>28Y</t>
        </is>
      </c>
      <c r="E1301" t="inlineStr">
        <is>
          <t>EBIT estimate FY2028</t>
        </is>
      </c>
      <c r="F1301" s="53">
        <f>_xll.BDP("RMS FP Equity","BEST_EBIT","BEST_FPERIOD_OVERRIDE","28Y")</f>
        <v/>
      </c>
    </row>
    <row r="1302">
      <c r="A1302" t="inlineStr">
        <is>
          <t>PM</t>
        </is>
      </c>
      <c r="B1302" t="inlineStr">
        <is>
          <t>PM US Equity</t>
        </is>
      </c>
      <c r="C1302" t="inlineStr">
        <is>
          <t>PX_LAST</t>
        </is>
      </c>
      <c r="E1302" t="inlineStr">
        <is>
          <t>Last price</t>
        </is>
      </c>
      <c r="F1302" s="53">
        <f>_xll.BDP("PM US Equity","PX_LAST")</f>
        <v/>
      </c>
    </row>
    <row r="1303">
      <c r="A1303" t="inlineStr">
        <is>
          <t>PM</t>
        </is>
      </c>
      <c r="B1303" t="inlineStr">
        <is>
          <t>PM US Equity</t>
        </is>
      </c>
      <c r="C1303" t="inlineStr">
        <is>
          <t>CUR_MKT_CAP</t>
        </is>
      </c>
      <c r="E1303" t="inlineStr">
        <is>
          <t>Market cap (raw)</t>
        </is>
      </c>
      <c r="F1303" s="53">
        <f>_xll.BDP("PM US Equity","CUR_MKT_CAP")</f>
        <v/>
      </c>
    </row>
    <row r="1304">
      <c r="A1304" t="inlineStr">
        <is>
          <t>PM</t>
        </is>
      </c>
      <c r="B1304" t="inlineStr">
        <is>
          <t>PM US Equity</t>
        </is>
      </c>
      <c r="C1304" t="inlineStr">
        <is>
          <t>CHG_PCT_YTD</t>
        </is>
      </c>
      <c r="E1304" t="inlineStr">
        <is>
          <t>YTD price change %</t>
        </is>
      </c>
      <c r="F1304" s="53">
        <f>_xll.BDP("PM US Equity","CHG_PCT_YTD")</f>
        <v/>
      </c>
    </row>
    <row r="1305">
      <c r="A1305" t="inlineStr">
        <is>
          <t>PM</t>
        </is>
      </c>
      <c r="B1305" t="inlineStr">
        <is>
          <t>PM US Equity</t>
        </is>
      </c>
      <c r="C1305" t="inlineStr">
        <is>
          <t>NET_DEBT_TO_EBITDA</t>
        </is>
      </c>
      <c r="E1305" t="inlineStr">
        <is>
          <t>Net debt / EBITDA</t>
        </is>
      </c>
      <c r="F1305" s="53">
        <f>_xll.BDP("PM US Equity","NET_DEBT_TO_EBITDA")</f>
        <v/>
      </c>
    </row>
    <row r="1306">
      <c r="A1306" t="inlineStr">
        <is>
          <t>PM</t>
        </is>
      </c>
      <c r="B1306" t="inlineStr">
        <is>
          <t>PM US Equity</t>
        </is>
      </c>
      <c r="C1306" t="inlineStr">
        <is>
          <t>RETURN_ON_INV_CAPITAL</t>
        </is>
      </c>
      <c r="E1306" t="inlineStr">
        <is>
          <t>ROIC (LTM)</t>
        </is>
      </c>
      <c r="F1306" s="53">
        <f>_xll.BDP("PM US Equity","RETURN_ON_INV_CAPITAL")</f>
        <v/>
      </c>
    </row>
    <row r="1307">
      <c r="A1307" t="inlineStr">
        <is>
          <t>PM</t>
        </is>
      </c>
      <c r="B1307" t="inlineStr">
        <is>
          <t>PM US Equity</t>
        </is>
      </c>
      <c r="C1307" t="inlineStr">
        <is>
          <t>TRAIL_12M_OPER_INC</t>
        </is>
      </c>
      <c r="E1307" t="inlineStr">
        <is>
          <t>LTM operating income</t>
        </is>
      </c>
      <c r="F1307" s="53">
        <f>_xll.BDP("PM US Equity","TRAIL_12M_OPER_INC")</f>
        <v/>
      </c>
    </row>
    <row r="1308">
      <c r="A1308" t="inlineStr">
        <is>
          <t>PM</t>
        </is>
      </c>
      <c r="B1308" t="inlineStr">
        <is>
          <t>PM US Equity</t>
        </is>
      </c>
      <c r="C1308" t="inlineStr">
        <is>
          <t>TRAIL_12M_EBITDA</t>
        </is>
      </c>
      <c r="E1308" t="inlineStr">
        <is>
          <t>LTM EBITDA</t>
        </is>
      </c>
      <c r="F1308" s="53">
        <f>_xll.BDP("PM US Equity","TRAIL_12M_EBITDA")</f>
        <v/>
      </c>
    </row>
    <row r="1309">
      <c r="A1309" t="inlineStr">
        <is>
          <t>PM</t>
        </is>
      </c>
      <c r="B1309" t="inlineStr">
        <is>
          <t>PM US Equity</t>
        </is>
      </c>
      <c r="C1309" t="inlineStr">
        <is>
          <t>SHORT_AND_LONG_TERM_DEBT</t>
        </is>
      </c>
      <c r="E1309" t="inlineStr">
        <is>
          <t>Total debt</t>
        </is>
      </c>
      <c r="F1309" s="53">
        <f>_xll.BDP("PM US Equity","SHORT_AND_LONG_TERM_DEBT")</f>
        <v/>
      </c>
    </row>
    <row r="1310">
      <c r="A1310" t="inlineStr">
        <is>
          <t>PM</t>
        </is>
      </c>
      <c r="B1310" t="inlineStr">
        <is>
          <t>PM US Equity</t>
        </is>
      </c>
      <c r="C1310" t="inlineStr">
        <is>
          <t>TOTAL_EQUITY</t>
        </is>
      </c>
      <c r="E1310" t="inlineStr">
        <is>
          <t>Total equity</t>
        </is>
      </c>
      <c r="F1310" s="53">
        <f>_xll.BDP("PM US Equity","TOTAL_EQUITY")</f>
        <v/>
      </c>
    </row>
    <row r="1311">
      <c r="A1311" t="inlineStr">
        <is>
          <t>PM</t>
        </is>
      </c>
      <c r="B1311" t="inlineStr">
        <is>
          <t>PM US Equity</t>
        </is>
      </c>
      <c r="C1311" t="inlineStr">
        <is>
          <t>BS_CASH_NEAR_CASH_ITEM</t>
        </is>
      </c>
      <c r="E1311" t="inlineStr">
        <is>
          <t>Cash &amp; equivalents</t>
        </is>
      </c>
      <c r="F1311" s="53">
        <f>_xll.BDP("PM US Equity","BS_CASH_NEAR_CASH_ITEM")</f>
        <v/>
      </c>
    </row>
    <row r="1312">
      <c r="A1312" t="inlineStr">
        <is>
          <t>PM</t>
        </is>
      </c>
      <c r="B1312" t="inlineStr">
        <is>
          <t>PM US Equity</t>
        </is>
      </c>
      <c r="C1312" t="inlineStr">
        <is>
          <t>BEST_EPS</t>
        </is>
      </c>
      <c r="D1312" t="inlineStr">
        <is>
          <t>24Y</t>
        </is>
      </c>
      <c r="E1312" t="inlineStr">
        <is>
          <t>EPS estimate FY2024</t>
        </is>
      </c>
      <c r="F1312" s="53">
        <f>_xll.BDP("PM US Equity","BEST_EPS","BEST_FPERIOD_OVERRIDE","24Y")</f>
        <v/>
      </c>
    </row>
    <row r="1313">
      <c r="A1313" t="inlineStr">
        <is>
          <t>PM</t>
        </is>
      </c>
      <c r="B1313" t="inlineStr">
        <is>
          <t>PM US Equity</t>
        </is>
      </c>
      <c r="C1313" t="inlineStr">
        <is>
          <t>BEST_SALES</t>
        </is>
      </c>
      <c r="D1313" t="inlineStr">
        <is>
          <t>24Y</t>
        </is>
      </c>
      <c r="E1313" t="inlineStr">
        <is>
          <t>Revenue estimate FY2024</t>
        </is>
      </c>
      <c r="F1313" s="53">
        <f>_xll.BDP("PM US Equity","BEST_SALES","BEST_FPERIOD_OVERRIDE","24Y")</f>
        <v/>
      </c>
    </row>
    <row r="1314">
      <c r="A1314" t="inlineStr">
        <is>
          <t>PM</t>
        </is>
      </c>
      <c r="B1314" t="inlineStr">
        <is>
          <t>PM US Equity</t>
        </is>
      </c>
      <c r="C1314" t="inlineStr">
        <is>
          <t>BEST_EBIT</t>
        </is>
      </c>
      <c r="D1314" t="inlineStr">
        <is>
          <t>24Y</t>
        </is>
      </c>
      <c r="E1314" t="inlineStr">
        <is>
          <t>EBIT estimate FY2024</t>
        </is>
      </c>
      <c r="F1314" s="53">
        <f>_xll.BDP("PM US Equity","BEST_EBIT","BEST_FPERIOD_OVERRIDE","24Y")</f>
        <v/>
      </c>
    </row>
    <row r="1315">
      <c r="A1315" t="inlineStr">
        <is>
          <t>PM</t>
        </is>
      </c>
      <c r="B1315" t="inlineStr">
        <is>
          <t>PM US Equity</t>
        </is>
      </c>
      <c r="C1315" t="inlineStr">
        <is>
          <t>BEST_EPS</t>
        </is>
      </c>
      <c r="D1315" t="inlineStr">
        <is>
          <t>25Y</t>
        </is>
      </c>
      <c r="E1315" t="inlineStr">
        <is>
          <t>EPS estimate FY2025</t>
        </is>
      </c>
      <c r="F1315" s="53">
        <f>_xll.BDP("PM US Equity","BEST_EPS","BEST_FPERIOD_OVERRIDE","25Y")</f>
        <v/>
      </c>
    </row>
    <row r="1316">
      <c r="A1316" t="inlineStr">
        <is>
          <t>PM</t>
        </is>
      </c>
      <c r="B1316" t="inlineStr">
        <is>
          <t>PM US Equity</t>
        </is>
      </c>
      <c r="C1316" t="inlineStr">
        <is>
          <t>BEST_SALES</t>
        </is>
      </c>
      <c r="D1316" t="inlineStr">
        <is>
          <t>25Y</t>
        </is>
      </c>
      <c r="E1316" t="inlineStr">
        <is>
          <t>Revenue estimate FY2025</t>
        </is>
      </c>
      <c r="F1316" s="53">
        <f>_xll.BDP("PM US Equity","BEST_SALES","BEST_FPERIOD_OVERRIDE","25Y")</f>
        <v/>
      </c>
    </row>
    <row r="1317">
      <c r="A1317" t="inlineStr">
        <is>
          <t>PM</t>
        </is>
      </c>
      <c r="B1317" t="inlineStr">
        <is>
          <t>PM US Equity</t>
        </is>
      </c>
      <c r="C1317" t="inlineStr">
        <is>
          <t>BEST_EBIT</t>
        </is>
      </c>
      <c r="D1317" t="inlineStr">
        <is>
          <t>25Y</t>
        </is>
      </c>
      <c r="E1317" t="inlineStr">
        <is>
          <t>EBIT estimate FY2025</t>
        </is>
      </c>
      <c r="F1317" s="53">
        <f>_xll.BDP("PM US Equity","BEST_EBIT","BEST_FPERIOD_OVERRIDE","25Y")</f>
        <v/>
      </c>
    </row>
    <row r="1318">
      <c r="A1318" t="inlineStr">
        <is>
          <t>PM</t>
        </is>
      </c>
      <c r="B1318" t="inlineStr">
        <is>
          <t>PM US Equity</t>
        </is>
      </c>
      <c r="C1318" t="inlineStr">
        <is>
          <t>BEST_EPS</t>
        </is>
      </c>
      <c r="D1318" t="inlineStr">
        <is>
          <t>26Y</t>
        </is>
      </c>
      <c r="E1318" t="inlineStr">
        <is>
          <t>EPS estimate FY2026</t>
        </is>
      </c>
      <c r="F1318" s="53">
        <f>_xll.BDP("PM US Equity","BEST_EPS","BEST_FPERIOD_OVERRIDE","26Y")</f>
        <v/>
      </c>
    </row>
    <row r="1319">
      <c r="A1319" t="inlineStr">
        <is>
          <t>PM</t>
        </is>
      </c>
      <c r="B1319" t="inlineStr">
        <is>
          <t>PM US Equity</t>
        </is>
      </c>
      <c r="C1319" t="inlineStr">
        <is>
          <t>BEST_SALES</t>
        </is>
      </c>
      <c r="D1319" t="inlineStr">
        <is>
          <t>26Y</t>
        </is>
      </c>
      <c r="E1319" t="inlineStr">
        <is>
          <t>Revenue estimate FY2026</t>
        </is>
      </c>
      <c r="F1319" s="53">
        <f>_xll.BDP("PM US Equity","BEST_SALES","BEST_FPERIOD_OVERRIDE","26Y")</f>
        <v/>
      </c>
    </row>
    <row r="1320">
      <c r="A1320" t="inlineStr">
        <is>
          <t>PM</t>
        </is>
      </c>
      <c r="B1320" t="inlineStr">
        <is>
          <t>PM US Equity</t>
        </is>
      </c>
      <c r="C1320" t="inlineStr">
        <is>
          <t>BEST_EBIT</t>
        </is>
      </c>
      <c r="D1320" t="inlineStr">
        <is>
          <t>26Y</t>
        </is>
      </c>
      <c r="E1320" t="inlineStr">
        <is>
          <t>EBIT estimate FY2026</t>
        </is>
      </c>
      <c r="F1320" s="53">
        <f>_xll.BDP("PM US Equity","BEST_EBIT","BEST_FPERIOD_OVERRIDE","26Y")</f>
        <v/>
      </c>
    </row>
    <row r="1321">
      <c r="A1321" t="inlineStr">
        <is>
          <t>PM</t>
        </is>
      </c>
      <c r="B1321" t="inlineStr">
        <is>
          <t>PM US Equity</t>
        </is>
      </c>
      <c r="C1321" t="inlineStr">
        <is>
          <t>BEST_EPS</t>
        </is>
      </c>
      <c r="D1321" t="inlineStr">
        <is>
          <t>27Y</t>
        </is>
      </c>
      <c r="E1321" t="inlineStr">
        <is>
          <t>EPS estimate FY2027</t>
        </is>
      </c>
      <c r="F1321" s="53">
        <f>_xll.BDP("PM US Equity","BEST_EPS","BEST_FPERIOD_OVERRIDE","27Y")</f>
        <v/>
      </c>
    </row>
    <row r="1322">
      <c r="A1322" t="inlineStr">
        <is>
          <t>PM</t>
        </is>
      </c>
      <c r="B1322" t="inlineStr">
        <is>
          <t>PM US Equity</t>
        </is>
      </c>
      <c r="C1322" t="inlineStr">
        <is>
          <t>BEST_SALES</t>
        </is>
      </c>
      <c r="D1322" t="inlineStr">
        <is>
          <t>27Y</t>
        </is>
      </c>
      <c r="E1322" t="inlineStr">
        <is>
          <t>Revenue estimate FY2027</t>
        </is>
      </c>
      <c r="F1322" s="53">
        <f>_xll.BDP("PM US Equity","BEST_SALES","BEST_FPERIOD_OVERRIDE","27Y")</f>
        <v/>
      </c>
    </row>
    <row r="1323">
      <c r="A1323" t="inlineStr">
        <is>
          <t>PM</t>
        </is>
      </c>
      <c r="B1323" t="inlineStr">
        <is>
          <t>PM US Equity</t>
        </is>
      </c>
      <c r="C1323" t="inlineStr">
        <is>
          <t>BEST_EBIT</t>
        </is>
      </c>
      <c r="D1323" t="inlineStr">
        <is>
          <t>27Y</t>
        </is>
      </c>
      <c r="E1323" t="inlineStr">
        <is>
          <t>EBIT estimate FY2027</t>
        </is>
      </c>
      <c r="F1323" s="53">
        <f>_xll.BDP("PM US Equity","BEST_EBIT","BEST_FPERIOD_OVERRIDE","27Y")</f>
        <v/>
      </c>
    </row>
    <row r="1324">
      <c r="A1324" t="inlineStr">
        <is>
          <t>PM</t>
        </is>
      </c>
      <c r="B1324" t="inlineStr">
        <is>
          <t>PM US Equity</t>
        </is>
      </c>
      <c r="C1324" t="inlineStr">
        <is>
          <t>BEST_EPS</t>
        </is>
      </c>
      <c r="D1324" t="inlineStr">
        <is>
          <t>28Y</t>
        </is>
      </c>
      <c r="E1324" t="inlineStr">
        <is>
          <t>EPS estimate FY2028</t>
        </is>
      </c>
      <c r="F1324" s="53">
        <f>_xll.BDP("PM US Equity","BEST_EPS","BEST_FPERIOD_OVERRIDE","28Y")</f>
        <v/>
      </c>
    </row>
    <row r="1325">
      <c r="A1325" t="inlineStr">
        <is>
          <t>PM</t>
        </is>
      </c>
      <c r="B1325" t="inlineStr">
        <is>
          <t>PM US Equity</t>
        </is>
      </c>
      <c r="C1325" t="inlineStr">
        <is>
          <t>BEST_SALES</t>
        </is>
      </c>
      <c r="D1325" t="inlineStr">
        <is>
          <t>28Y</t>
        </is>
      </c>
      <c r="E1325" t="inlineStr">
        <is>
          <t>Revenue estimate FY2028</t>
        </is>
      </c>
      <c r="F1325" s="53">
        <f>_xll.BDP("PM US Equity","BEST_SALES","BEST_FPERIOD_OVERRIDE","28Y")</f>
        <v/>
      </c>
    </row>
    <row r="1326">
      <c r="A1326" t="inlineStr">
        <is>
          <t>PM</t>
        </is>
      </c>
      <c r="B1326" t="inlineStr">
        <is>
          <t>PM US Equity</t>
        </is>
      </c>
      <c r="C1326" t="inlineStr">
        <is>
          <t>BEST_EBIT</t>
        </is>
      </c>
      <c r="D1326" t="inlineStr">
        <is>
          <t>28Y</t>
        </is>
      </c>
      <c r="E1326" t="inlineStr">
        <is>
          <t>EBIT estimate FY2028</t>
        </is>
      </c>
      <c r="F1326" s="53">
        <f>_xll.BDP("PM US Equity","BEST_EBIT","BEST_FPERIOD_OVERRIDE","28Y")</f>
        <v/>
      </c>
    </row>
    <row r="1327">
      <c r="A1327" t="inlineStr">
        <is>
          <t>GE</t>
        </is>
      </c>
      <c r="B1327" t="inlineStr">
        <is>
          <t>GE US Equity</t>
        </is>
      </c>
      <c r="C1327" t="inlineStr">
        <is>
          <t>PX_LAST</t>
        </is>
      </c>
      <c r="E1327" t="inlineStr">
        <is>
          <t>Last price</t>
        </is>
      </c>
      <c r="F1327" s="53">
        <f>_xll.BDP("GE US Equity","PX_LAST")</f>
        <v/>
      </c>
    </row>
    <row r="1328">
      <c r="A1328" t="inlineStr">
        <is>
          <t>GE</t>
        </is>
      </c>
      <c r="B1328" t="inlineStr">
        <is>
          <t>GE US Equity</t>
        </is>
      </c>
      <c r="C1328" t="inlineStr">
        <is>
          <t>CUR_MKT_CAP</t>
        </is>
      </c>
      <c r="E1328" t="inlineStr">
        <is>
          <t>Market cap (raw)</t>
        </is>
      </c>
      <c r="F1328" s="53">
        <f>_xll.BDP("GE US Equity","CUR_MKT_CAP")</f>
        <v/>
      </c>
    </row>
    <row r="1329">
      <c r="A1329" t="inlineStr">
        <is>
          <t>GE</t>
        </is>
      </c>
      <c r="B1329" t="inlineStr">
        <is>
          <t>GE US Equity</t>
        </is>
      </c>
      <c r="C1329" t="inlineStr">
        <is>
          <t>CHG_PCT_YTD</t>
        </is>
      </c>
      <c r="E1329" t="inlineStr">
        <is>
          <t>YTD price change %</t>
        </is>
      </c>
      <c r="F1329" s="53">
        <f>_xll.BDP("GE US Equity","CHG_PCT_YTD")</f>
        <v/>
      </c>
    </row>
    <row r="1330">
      <c r="A1330" t="inlineStr">
        <is>
          <t>GE</t>
        </is>
      </c>
      <c r="B1330" t="inlineStr">
        <is>
          <t>GE US Equity</t>
        </is>
      </c>
      <c r="C1330" t="inlineStr">
        <is>
          <t>NET_DEBT_TO_EBITDA</t>
        </is>
      </c>
      <c r="E1330" t="inlineStr">
        <is>
          <t>Net debt / EBITDA</t>
        </is>
      </c>
      <c r="F1330" s="53">
        <f>_xll.BDP("GE US Equity","NET_DEBT_TO_EBITDA")</f>
        <v/>
      </c>
    </row>
    <row r="1331">
      <c r="A1331" t="inlineStr">
        <is>
          <t>GE</t>
        </is>
      </c>
      <c r="B1331" t="inlineStr">
        <is>
          <t>GE US Equity</t>
        </is>
      </c>
      <c r="C1331" t="inlineStr">
        <is>
          <t>RETURN_ON_INV_CAPITAL</t>
        </is>
      </c>
      <c r="E1331" t="inlineStr">
        <is>
          <t>ROIC (LTM)</t>
        </is>
      </c>
      <c r="F1331" s="53">
        <f>_xll.BDP("GE US Equity","RETURN_ON_INV_CAPITAL")</f>
        <v/>
      </c>
    </row>
    <row r="1332">
      <c r="A1332" t="inlineStr">
        <is>
          <t>GE</t>
        </is>
      </c>
      <c r="B1332" t="inlineStr">
        <is>
          <t>GE US Equity</t>
        </is>
      </c>
      <c r="C1332" t="inlineStr">
        <is>
          <t>TRAIL_12M_OPER_INC</t>
        </is>
      </c>
      <c r="E1332" t="inlineStr">
        <is>
          <t>LTM operating income</t>
        </is>
      </c>
      <c r="F1332" s="53">
        <f>_xll.BDP("GE US Equity","TRAIL_12M_OPER_INC")</f>
        <v/>
      </c>
    </row>
    <row r="1333">
      <c r="A1333" t="inlineStr">
        <is>
          <t>GE</t>
        </is>
      </c>
      <c r="B1333" t="inlineStr">
        <is>
          <t>GE US Equity</t>
        </is>
      </c>
      <c r="C1333" t="inlineStr">
        <is>
          <t>TRAIL_12M_EBITDA</t>
        </is>
      </c>
      <c r="E1333" t="inlineStr">
        <is>
          <t>LTM EBITDA</t>
        </is>
      </c>
      <c r="F1333" s="53">
        <f>_xll.BDP("GE US Equity","TRAIL_12M_EBITDA")</f>
        <v/>
      </c>
    </row>
    <row r="1334">
      <c r="A1334" t="inlineStr">
        <is>
          <t>GE</t>
        </is>
      </c>
      <c r="B1334" t="inlineStr">
        <is>
          <t>GE US Equity</t>
        </is>
      </c>
      <c r="C1334" t="inlineStr">
        <is>
          <t>SHORT_AND_LONG_TERM_DEBT</t>
        </is>
      </c>
      <c r="E1334" t="inlineStr">
        <is>
          <t>Total debt</t>
        </is>
      </c>
      <c r="F1334" s="53">
        <f>_xll.BDP("GE US Equity","SHORT_AND_LONG_TERM_DEBT")</f>
        <v/>
      </c>
    </row>
    <row r="1335">
      <c r="A1335" t="inlineStr">
        <is>
          <t>GE</t>
        </is>
      </c>
      <c r="B1335" t="inlineStr">
        <is>
          <t>GE US Equity</t>
        </is>
      </c>
      <c r="C1335" t="inlineStr">
        <is>
          <t>TOTAL_EQUITY</t>
        </is>
      </c>
      <c r="E1335" t="inlineStr">
        <is>
          <t>Total equity</t>
        </is>
      </c>
      <c r="F1335" s="53">
        <f>_xll.BDP("GE US Equity","TOTAL_EQUITY")</f>
        <v/>
      </c>
    </row>
    <row r="1336">
      <c r="A1336" t="inlineStr">
        <is>
          <t>GE</t>
        </is>
      </c>
      <c r="B1336" t="inlineStr">
        <is>
          <t>GE US Equity</t>
        </is>
      </c>
      <c r="C1336" t="inlineStr">
        <is>
          <t>BS_CASH_NEAR_CASH_ITEM</t>
        </is>
      </c>
      <c r="E1336" t="inlineStr">
        <is>
          <t>Cash &amp; equivalents</t>
        </is>
      </c>
      <c r="F1336" s="53">
        <f>_xll.BDP("GE US Equity","BS_CASH_NEAR_CASH_ITEM")</f>
        <v/>
      </c>
    </row>
    <row r="1337">
      <c r="A1337" t="inlineStr">
        <is>
          <t>GE</t>
        </is>
      </c>
      <c r="B1337" t="inlineStr">
        <is>
          <t>GE US Equity</t>
        </is>
      </c>
      <c r="C1337" t="inlineStr">
        <is>
          <t>BEST_EPS</t>
        </is>
      </c>
      <c r="D1337" t="inlineStr">
        <is>
          <t>24Y</t>
        </is>
      </c>
      <c r="E1337" t="inlineStr">
        <is>
          <t>EPS estimate FY2024</t>
        </is>
      </c>
      <c r="F1337" s="53">
        <f>_xll.BDP("GE US Equity","BEST_EPS","BEST_FPERIOD_OVERRIDE","24Y")</f>
        <v/>
      </c>
    </row>
    <row r="1338">
      <c r="A1338" t="inlineStr">
        <is>
          <t>GE</t>
        </is>
      </c>
      <c r="B1338" t="inlineStr">
        <is>
          <t>GE US Equity</t>
        </is>
      </c>
      <c r="C1338" t="inlineStr">
        <is>
          <t>BEST_SALES</t>
        </is>
      </c>
      <c r="D1338" t="inlineStr">
        <is>
          <t>24Y</t>
        </is>
      </c>
      <c r="E1338" t="inlineStr">
        <is>
          <t>Revenue estimate FY2024</t>
        </is>
      </c>
      <c r="F1338" s="53">
        <f>_xll.BDP("GE US Equity","BEST_SALES","BEST_FPERIOD_OVERRIDE","24Y")</f>
        <v/>
      </c>
    </row>
    <row r="1339">
      <c r="A1339" t="inlineStr">
        <is>
          <t>GE</t>
        </is>
      </c>
      <c r="B1339" t="inlineStr">
        <is>
          <t>GE US Equity</t>
        </is>
      </c>
      <c r="C1339" t="inlineStr">
        <is>
          <t>BEST_EBIT</t>
        </is>
      </c>
      <c r="D1339" t="inlineStr">
        <is>
          <t>24Y</t>
        </is>
      </c>
      <c r="E1339" t="inlineStr">
        <is>
          <t>EBIT estimate FY2024</t>
        </is>
      </c>
      <c r="F1339" s="53">
        <f>_xll.BDP("GE US Equity","BEST_EBIT","BEST_FPERIOD_OVERRIDE","24Y")</f>
        <v/>
      </c>
    </row>
    <row r="1340">
      <c r="A1340" t="inlineStr">
        <is>
          <t>GE</t>
        </is>
      </c>
      <c r="B1340" t="inlineStr">
        <is>
          <t>GE US Equity</t>
        </is>
      </c>
      <c r="C1340" t="inlineStr">
        <is>
          <t>BEST_EPS</t>
        </is>
      </c>
      <c r="D1340" t="inlineStr">
        <is>
          <t>25Y</t>
        </is>
      </c>
      <c r="E1340" t="inlineStr">
        <is>
          <t>EPS estimate FY2025</t>
        </is>
      </c>
      <c r="F1340" s="53">
        <f>_xll.BDP("GE US Equity","BEST_EPS","BEST_FPERIOD_OVERRIDE","25Y")</f>
        <v/>
      </c>
    </row>
    <row r="1341">
      <c r="A1341" t="inlineStr">
        <is>
          <t>GE</t>
        </is>
      </c>
      <c r="B1341" t="inlineStr">
        <is>
          <t>GE US Equity</t>
        </is>
      </c>
      <c r="C1341" t="inlineStr">
        <is>
          <t>BEST_SALES</t>
        </is>
      </c>
      <c r="D1341" t="inlineStr">
        <is>
          <t>25Y</t>
        </is>
      </c>
      <c r="E1341" t="inlineStr">
        <is>
          <t>Revenue estimate FY2025</t>
        </is>
      </c>
      <c r="F1341" s="53">
        <f>_xll.BDP("GE US Equity","BEST_SALES","BEST_FPERIOD_OVERRIDE","25Y")</f>
        <v/>
      </c>
    </row>
    <row r="1342">
      <c r="A1342" t="inlineStr">
        <is>
          <t>GE</t>
        </is>
      </c>
      <c r="B1342" t="inlineStr">
        <is>
          <t>GE US Equity</t>
        </is>
      </c>
      <c r="C1342" t="inlineStr">
        <is>
          <t>BEST_EBIT</t>
        </is>
      </c>
      <c r="D1342" t="inlineStr">
        <is>
          <t>25Y</t>
        </is>
      </c>
      <c r="E1342" t="inlineStr">
        <is>
          <t>EBIT estimate FY2025</t>
        </is>
      </c>
      <c r="F1342" s="53">
        <f>_xll.BDP("GE US Equity","BEST_EBIT","BEST_FPERIOD_OVERRIDE","25Y")</f>
        <v/>
      </c>
    </row>
    <row r="1343">
      <c r="A1343" t="inlineStr">
        <is>
          <t>GE</t>
        </is>
      </c>
      <c r="B1343" t="inlineStr">
        <is>
          <t>GE US Equity</t>
        </is>
      </c>
      <c r="C1343" t="inlineStr">
        <is>
          <t>BEST_EPS</t>
        </is>
      </c>
      <c r="D1343" t="inlineStr">
        <is>
          <t>26Y</t>
        </is>
      </c>
      <c r="E1343" t="inlineStr">
        <is>
          <t>EPS estimate FY2026</t>
        </is>
      </c>
      <c r="F1343" s="53">
        <f>_xll.BDP("GE US Equity","BEST_EPS","BEST_FPERIOD_OVERRIDE","26Y")</f>
        <v/>
      </c>
    </row>
    <row r="1344">
      <c r="A1344" t="inlineStr">
        <is>
          <t>GE</t>
        </is>
      </c>
      <c r="B1344" t="inlineStr">
        <is>
          <t>GE US Equity</t>
        </is>
      </c>
      <c r="C1344" t="inlineStr">
        <is>
          <t>BEST_SALES</t>
        </is>
      </c>
      <c r="D1344" t="inlineStr">
        <is>
          <t>26Y</t>
        </is>
      </c>
      <c r="E1344" t="inlineStr">
        <is>
          <t>Revenue estimate FY2026</t>
        </is>
      </c>
      <c r="F1344" s="53">
        <f>_xll.BDP("GE US Equity","BEST_SALES","BEST_FPERIOD_OVERRIDE","26Y")</f>
        <v/>
      </c>
    </row>
    <row r="1345">
      <c r="A1345" t="inlineStr">
        <is>
          <t>GE</t>
        </is>
      </c>
      <c r="B1345" t="inlineStr">
        <is>
          <t>GE US Equity</t>
        </is>
      </c>
      <c r="C1345" t="inlineStr">
        <is>
          <t>BEST_EBIT</t>
        </is>
      </c>
      <c r="D1345" t="inlineStr">
        <is>
          <t>26Y</t>
        </is>
      </c>
      <c r="E1345" t="inlineStr">
        <is>
          <t>EBIT estimate FY2026</t>
        </is>
      </c>
      <c r="F1345" s="53">
        <f>_xll.BDP("GE US Equity","BEST_EBIT","BEST_FPERIOD_OVERRIDE","26Y")</f>
        <v/>
      </c>
    </row>
    <row r="1346">
      <c r="A1346" t="inlineStr">
        <is>
          <t>GE</t>
        </is>
      </c>
      <c r="B1346" t="inlineStr">
        <is>
          <t>GE US Equity</t>
        </is>
      </c>
      <c r="C1346" t="inlineStr">
        <is>
          <t>BEST_EPS</t>
        </is>
      </c>
      <c r="D1346" t="inlineStr">
        <is>
          <t>27Y</t>
        </is>
      </c>
      <c r="E1346" t="inlineStr">
        <is>
          <t>EPS estimate FY2027</t>
        </is>
      </c>
      <c r="F1346" s="53">
        <f>_xll.BDP("GE US Equity","BEST_EPS","BEST_FPERIOD_OVERRIDE","27Y")</f>
        <v/>
      </c>
    </row>
    <row r="1347">
      <c r="A1347" t="inlineStr">
        <is>
          <t>GE</t>
        </is>
      </c>
      <c r="B1347" t="inlineStr">
        <is>
          <t>GE US Equity</t>
        </is>
      </c>
      <c r="C1347" t="inlineStr">
        <is>
          <t>BEST_SALES</t>
        </is>
      </c>
      <c r="D1347" t="inlineStr">
        <is>
          <t>27Y</t>
        </is>
      </c>
      <c r="E1347" t="inlineStr">
        <is>
          <t>Revenue estimate FY2027</t>
        </is>
      </c>
      <c r="F1347" s="53">
        <f>_xll.BDP("GE US Equity","BEST_SALES","BEST_FPERIOD_OVERRIDE","27Y")</f>
        <v/>
      </c>
    </row>
    <row r="1348">
      <c r="A1348" t="inlineStr">
        <is>
          <t>GE</t>
        </is>
      </c>
      <c r="B1348" t="inlineStr">
        <is>
          <t>GE US Equity</t>
        </is>
      </c>
      <c r="C1348" t="inlineStr">
        <is>
          <t>BEST_EBIT</t>
        </is>
      </c>
      <c r="D1348" t="inlineStr">
        <is>
          <t>27Y</t>
        </is>
      </c>
      <c r="E1348" t="inlineStr">
        <is>
          <t>EBIT estimate FY2027</t>
        </is>
      </c>
      <c r="F1348" s="53">
        <f>_xll.BDP("GE US Equity","BEST_EBIT","BEST_FPERIOD_OVERRIDE","27Y")</f>
        <v/>
      </c>
    </row>
    <row r="1349">
      <c r="A1349" t="inlineStr">
        <is>
          <t>GE</t>
        </is>
      </c>
      <c r="B1349" t="inlineStr">
        <is>
          <t>GE US Equity</t>
        </is>
      </c>
      <c r="C1349" t="inlineStr">
        <is>
          <t>BEST_EPS</t>
        </is>
      </c>
      <c r="D1349" t="inlineStr">
        <is>
          <t>28Y</t>
        </is>
      </c>
      <c r="E1349" t="inlineStr">
        <is>
          <t>EPS estimate FY2028</t>
        </is>
      </c>
      <c r="F1349" s="53">
        <f>_xll.BDP("GE US Equity","BEST_EPS","BEST_FPERIOD_OVERRIDE","28Y")</f>
        <v/>
      </c>
    </row>
    <row r="1350">
      <c r="A1350" t="inlineStr">
        <is>
          <t>GE</t>
        </is>
      </c>
      <c r="B1350" t="inlineStr">
        <is>
          <t>GE US Equity</t>
        </is>
      </c>
      <c r="C1350" t="inlineStr">
        <is>
          <t>BEST_SALES</t>
        </is>
      </c>
      <c r="D1350" t="inlineStr">
        <is>
          <t>28Y</t>
        </is>
      </c>
      <c r="E1350" t="inlineStr">
        <is>
          <t>Revenue estimate FY2028</t>
        </is>
      </c>
      <c r="F1350" s="53">
        <f>_xll.BDP("GE US Equity","BEST_SALES","BEST_FPERIOD_OVERRIDE","28Y")</f>
        <v/>
      </c>
    </row>
    <row r="1351">
      <c r="A1351" t="inlineStr">
        <is>
          <t>GE</t>
        </is>
      </c>
      <c r="B1351" t="inlineStr">
        <is>
          <t>GE US Equity</t>
        </is>
      </c>
      <c r="C1351" t="inlineStr">
        <is>
          <t>BEST_EBIT</t>
        </is>
      </c>
      <c r="D1351" t="inlineStr">
        <is>
          <t>28Y</t>
        </is>
      </c>
      <c r="E1351" t="inlineStr">
        <is>
          <t>EBIT estimate FY2028</t>
        </is>
      </c>
      <c r="F1351" s="53">
        <f>_xll.BDP("GE US Equity","BEST_EBIT","BEST_FPERIOD_OVERRIDE","28Y")</f>
        <v/>
      </c>
    </row>
    <row r="1352">
      <c r="A1352" t="inlineStr">
        <is>
          <t>TMO</t>
        </is>
      </c>
      <c r="B1352" t="inlineStr">
        <is>
          <t>TMO US Equity</t>
        </is>
      </c>
      <c r="C1352" t="inlineStr">
        <is>
          <t>PX_LAST</t>
        </is>
      </c>
      <c r="E1352" t="inlineStr">
        <is>
          <t>Last price</t>
        </is>
      </c>
      <c r="F1352" s="53">
        <f>_xll.BDP("TMO US Equity","PX_LAST")</f>
        <v/>
      </c>
    </row>
    <row r="1353">
      <c r="A1353" t="inlineStr">
        <is>
          <t>TMO</t>
        </is>
      </c>
      <c r="B1353" t="inlineStr">
        <is>
          <t>TMO US Equity</t>
        </is>
      </c>
      <c r="C1353" t="inlineStr">
        <is>
          <t>CUR_MKT_CAP</t>
        </is>
      </c>
      <c r="E1353" t="inlineStr">
        <is>
          <t>Market cap (raw)</t>
        </is>
      </c>
      <c r="F1353" s="53">
        <f>_xll.BDP("TMO US Equity","CUR_MKT_CAP")</f>
        <v/>
      </c>
    </row>
    <row r="1354">
      <c r="A1354" t="inlineStr">
        <is>
          <t>TMO</t>
        </is>
      </c>
      <c r="B1354" t="inlineStr">
        <is>
          <t>TMO US Equity</t>
        </is>
      </c>
      <c r="C1354" t="inlineStr">
        <is>
          <t>CHG_PCT_YTD</t>
        </is>
      </c>
      <c r="E1354" t="inlineStr">
        <is>
          <t>YTD price change %</t>
        </is>
      </c>
      <c r="F1354" s="53">
        <f>_xll.BDP("TMO US Equity","CHG_PCT_YTD")</f>
        <v/>
      </c>
    </row>
    <row r="1355">
      <c r="A1355" t="inlineStr">
        <is>
          <t>TMO</t>
        </is>
      </c>
      <c r="B1355" t="inlineStr">
        <is>
          <t>TMO US Equity</t>
        </is>
      </c>
      <c r="C1355" t="inlineStr">
        <is>
          <t>NET_DEBT_TO_EBITDA</t>
        </is>
      </c>
      <c r="E1355" t="inlineStr">
        <is>
          <t>Net debt / EBITDA</t>
        </is>
      </c>
      <c r="F1355" s="53">
        <f>_xll.BDP("TMO US Equity","NET_DEBT_TO_EBITDA")</f>
        <v/>
      </c>
    </row>
    <row r="1356">
      <c r="A1356" t="inlineStr">
        <is>
          <t>TMO</t>
        </is>
      </c>
      <c r="B1356" t="inlineStr">
        <is>
          <t>TMO US Equity</t>
        </is>
      </c>
      <c r="C1356" t="inlineStr">
        <is>
          <t>RETURN_ON_INV_CAPITAL</t>
        </is>
      </c>
      <c r="E1356" t="inlineStr">
        <is>
          <t>ROIC (LTM)</t>
        </is>
      </c>
      <c r="F1356" s="53">
        <f>_xll.BDP("TMO US Equity","RETURN_ON_INV_CAPITAL")</f>
        <v/>
      </c>
    </row>
    <row r="1357">
      <c r="A1357" t="inlineStr">
        <is>
          <t>TMO</t>
        </is>
      </c>
      <c r="B1357" t="inlineStr">
        <is>
          <t>TMO US Equity</t>
        </is>
      </c>
      <c r="C1357" t="inlineStr">
        <is>
          <t>TRAIL_12M_OPER_INC</t>
        </is>
      </c>
      <c r="E1357" t="inlineStr">
        <is>
          <t>LTM operating income</t>
        </is>
      </c>
      <c r="F1357" s="53">
        <f>_xll.BDP("TMO US Equity","TRAIL_12M_OPER_INC")</f>
        <v/>
      </c>
    </row>
    <row r="1358">
      <c r="A1358" t="inlineStr">
        <is>
          <t>TMO</t>
        </is>
      </c>
      <c r="B1358" t="inlineStr">
        <is>
          <t>TMO US Equity</t>
        </is>
      </c>
      <c r="C1358" t="inlineStr">
        <is>
          <t>TRAIL_12M_EBITDA</t>
        </is>
      </c>
      <c r="E1358" t="inlineStr">
        <is>
          <t>LTM EBITDA</t>
        </is>
      </c>
      <c r="F1358" s="53">
        <f>_xll.BDP("TMO US Equity","TRAIL_12M_EBITDA")</f>
        <v/>
      </c>
    </row>
    <row r="1359">
      <c r="A1359" t="inlineStr">
        <is>
          <t>TMO</t>
        </is>
      </c>
      <c r="B1359" t="inlineStr">
        <is>
          <t>TMO US Equity</t>
        </is>
      </c>
      <c r="C1359" t="inlineStr">
        <is>
          <t>SHORT_AND_LONG_TERM_DEBT</t>
        </is>
      </c>
      <c r="E1359" t="inlineStr">
        <is>
          <t>Total debt</t>
        </is>
      </c>
      <c r="F1359" s="53">
        <f>_xll.BDP("TMO US Equity","SHORT_AND_LONG_TERM_DEBT")</f>
        <v/>
      </c>
    </row>
    <row r="1360">
      <c r="A1360" t="inlineStr">
        <is>
          <t>TMO</t>
        </is>
      </c>
      <c r="B1360" t="inlineStr">
        <is>
          <t>TMO US Equity</t>
        </is>
      </c>
      <c r="C1360" t="inlineStr">
        <is>
          <t>TOTAL_EQUITY</t>
        </is>
      </c>
      <c r="E1360" t="inlineStr">
        <is>
          <t>Total equity</t>
        </is>
      </c>
      <c r="F1360" s="53">
        <f>_xll.BDP("TMO US Equity","TOTAL_EQUITY")</f>
        <v/>
      </c>
    </row>
    <row r="1361">
      <c r="A1361" t="inlineStr">
        <is>
          <t>TMO</t>
        </is>
      </c>
      <c r="B1361" t="inlineStr">
        <is>
          <t>TMO US Equity</t>
        </is>
      </c>
      <c r="C1361" t="inlineStr">
        <is>
          <t>BS_CASH_NEAR_CASH_ITEM</t>
        </is>
      </c>
      <c r="E1361" t="inlineStr">
        <is>
          <t>Cash &amp; equivalents</t>
        </is>
      </c>
      <c r="F1361" s="53">
        <f>_xll.BDP("TMO US Equity","BS_CASH_NEAR_CASH_ITEM")</f>
        <v/>
      </c>
    </row>
    <row r="1362">
      <c r="A1362" t="inlineStr">
        <is>
          <t>TMO</t>
        </is>
      </c>
      <c r="B1362" t="inlineStr">
        <is>
          <t>TMO US Equity</t>
        </is>
      </c>
      <c r="C1362" t="inlineStr">
        <is>
          <t>BEST_EPS</t>
        </is>
      </c>
      <c r="D1362" t="inlineStr">
        <is>
          <t>24Y</t>
        </is>
      </c>
      <c r="E1362" t="inlineStr">
        <is>
          <t>EPS estimate FY2024</t>
        </is>
      </c>
      <c r="F1362" s="53">
        <f>_xll.BDP("TMO US Equity","BEST_EPS","BEST_FPERIOD_OVERRIDE","24Y")</f>
        <v/>
      </c>
    </row>
    <row r="1363">
      <c r="A1363" t="inlineStr">
        <is>
          <t>TMO</t>
        </is>
      </c>
      <c r="B1363" t="inlineStr">
        <is>
          <t>TMO US Equity</t>
        </is>
      </c>
      <c r="C1363" t="inlineStr">
        <is>
          <t>BEST_SALES</t>
        </is>
      </c>
      <c r="D1363" t="inlineStr">
        <is>
          <t>24Y</t>
        </is>
      </c>
      <c r="E1363" t="inlineStr">
        <is>
          <t>Revenue estimate FY2024</t>
        </is>
      </c>
      <c r="F1363" s="53">
        <f>_xll.BDP("TMO US Equity","BEST_SALES","BEST_FPERIOD_OVERRIDE","24Y")</f>
        <v/>
      </c>
    </row>
    <row r="1364">
      <c r="A1364" t="inlineStr">
        <is>
          <t>TMO</t>
        </is>
      </c>
      <c r="B1364" t="inlineStr">
        <is>
          <t>TMO US Equity</t>
        </is>
      </c>
      <c r="C1364" t="inlineStr">
        <is>
          <t>BEST_EBIT</t>
        </is>
      </c>
      <c r="D1364" t="inlineStr">
        <is>
          <t>24Y</t>
        </is>
      </c>
      <c r="E1364" t="inlineStr">
        <is>
          <t>EBIT estimate FY2024</t>
        </is>
      </c>
      <c r="F1364" s="53">
        <f>_xll.BDP("TMO US Equity","BEST_EBIT","BEST_FPERIOD_OVERRIDE","24Y")</f>
        <v/>
      </c>
    </row>
    <row r="1365">
      <c r="A1365" t="inlineStr">
        <is>
          <t>TMO</t>
        </is>
      </c>
      <c r="B1365" t="inlineStr">
        <is>
          <t>TMO US Equity</t>
        </is>
      </c>
      <c r="C1365" t="inlineStr">
        <is>
          <t>BEST_EPS</t>
        </is>
      </c>
      <c r="D1365" t="inlineStr">
        <is>
          <t>25Y</t>
        </is>
      </c>
      <c r="E1365" t="inlineStr">
        <is>
          <t>EPS estimate FY2025</t>
        </is>
      </c>
      <c r="F1365" s="53">
        <f>_xll.BDP("TMO US Equity","BEST_EPS","BEST_FPERIOD_OVERRIDE","25Y")</f>
        <v/>
      </c>
    </row>
    <row r="1366">
      <c r="A1366" t="inlineStr">
        <is>
          <t>TMO</t>
        </is>
      </c>
      <c r="B1366" t="inlineStr">
        <is>
          <t>TMO US Equity</t>
        </is>
      </c>
      <c r="C1366" t="inlineStr">
        <is>
          <t>BEST_SALES</t>
        </is>
      </c>
      <c r="D1366" t="inlineStr">
        <is>
          <t>25Y</t>
        </is>
      </c>
      <c r="E1366" t="inlineStr">
        <is>
          <t>Revenue estimate FY2025</t>
        </is>
      </c>
      <c r="F1366" s="53">
        <f>_xll.BDP("TMO US Equity","BEST_SALES","BEST_FPERIOD_OVERRIDE","25Y")</f>
        <v/>
      </c>
    </row>
    <row r="1367">
      <c r="A1367" t="inlineStr">
        <is>
          <t>TMO</t>
        </is>
      </c>
      <c r="B1367" t="inlineStr">
        <is>
          <t>TMO US Equity</t>
        </is>
      </c>
      <c r="C1367" t="inlineStr">
        <is>
          <t>BEST_EBIT</t>
        </is>
      </c>
      <c r="D1367" t="inlineStr">
        <is>
          <t>25Y</t>
        </is>
      </c>
      <c r="E1367" t="inlineStr">
        <is>
          <t>EBIT estimate FY2025</t>
        </is>
      </c>
      <c r="F1367" s="53">
        <f>_xll.BDP("TMO US Equity","BEST_EBIT","BEST_FPERIOD_OVERRIDE","25Y")</f>
        <v/>
      </c>
    </row>
    <row r="1368">
      <c r="A1368" t="inlineStr">
        <is>
          <t>TMO</t>
        </is>
      </c>
      <c r="B1368" t="inlineStr">
        <is>
          <t>TMO US Equity</t>
        </is>
      </c>
      <c r="C1368" t="inlineStr">
        <is>
          <t>BEST_EPS</t>
        </is>
      </c>
      <c r="D1368" t="inlineStr">
        <is>
          <t>26Y</t>
        </is>
      </c>
      <c r="E1368" t="inlineStr">
        <is>
          <t>EPS estimate FY2026</t>
        </is>
      </c>
      <c r="F1368" s="53">
        <f>_xll.BDP("TMO US Equity","BEST_EPS","BEST_FPERIOD_OVERRIDE","26Y")</f>
        <v/>
      </c>
    </row>
    <row r="1369">
      <c r="A1369" t="inlineStr">
        <is>
          <t>TMO</t>
        </is>
      </c>
      <c r="B1369" t="inlineStr">
        <is>
          <t>TMO US Equity</t>
        </is>
      </c>
      <c r="C1369" t="inlineStr">
        <is>
          <t>BEST_SALES</t>
        </is>
      </c>
      <c r="D1369" t="inlineStr">
        <is>
          <t>26Y</t>
        </is>
      </c>
      <c r="E1369" t="inlineStr">
        <is>
          <t>Revenue estimate FY2026</t>
        </is>
      </c>
      <c r="F1369" s="53">
        <f>_xll.BDP("TMO US Equity","BEST_SALES","BEST_FPERIOD_OVERRIDE","26Y")</f>
        <v/>
      </c>
    </row>
    <row r="1370">
      <c r="A1370" t="inlineStr">
        <is>
          <t>TMO</t>
        </is>
      </c>
      <c r="B1370" t="inlineStr">
        <is>
          <t>TMO US Equity</t>
        </is>
      </c>
      <c r="C1370" t="inlineStr">
        <is>
          <t>BEST_EBIT</t>
        </is>
      </c>
      <c r="D1370" t="inlineStr">
        <is>
          <t>26Y</t>
        </is>
      </c>
      <c r="E1370" t="inlineStr">
        <is>
          <t>EBIT estimate FY2026</t>
        </is>
      </c>
      <c r="F1370" s="53">
        <f>_xll.BDP("TMO US Equity","BEST_EBIT","BEST_FPERIOD_OVERRIDE","26Y")</f>
        <v/>
      </c>
    </row>
    <row r="1371">
      <c r="A1371" t="inlineStr">
        <is>
          <t>TMO</t>
        </is>
      </c>
      <c r="B1371" t="inlineStr">
        <is>
          <t>TMO US Equity</t>
        </is>
      </c>
      <c r="C1371" t="inlineStr">
        <is>
          <t>BEST_EPS</t>
        </is>
      </c>
      <c r="D1371" t="inlineStr">
        <is>
          <t>27Y</t>
        </is>
      </c>
      <c r="E1371" t="inlineStr">
        <is>
          <t>EPS estimate FY2027</t>
        </is>
      </c>
      <c r="F1371" s="53">
        <f>_xll.BDP("TMO US Equity","BEST_EPS","BEST_FPERIOD_OVERRIDE","27Y")</f>
        <v/>
      </c>
    </row>
    <row r="1372">
      <c r="A1372" t="inlineStr">
        <is>
          <t>TMO</t>
        </is>
      </c>
      <c r="B1372" t="inlineStr">
        <is>
          <t>TMO US Equity</t>
        </is>
      </c>
      <c r="C1372" t="inlineStr">
        <is>
          <t>BEST_SALES</t>
        </is>
      </c>
      <c r="D1372" t="inlineStr">
        <is>
          <t>27Y</t>
        </is>
      </c>
      <c r="E1372" t="inlineStr">
        <is>
          <t>Revenue estimate FY2027</t>
        </is>
      </c>
      <c r="F1372" s="53">
        <f>_xll.BDP("TMO US Equity","BEST_SALES","BEST_FPERIOD_OVERRIDE","27Y")</f>
        <v/>
      </c>
    </row>
    <row r="1373">
      <c r="A1373" t="inlineStr">
        <is>
          <t>TMO</t>
        </is>
      </c>
      <c r="B1373" t="inlineStr">
        <is>
          <t>TMO US Equity</t>
        </is>
      </c>
      <c r="C1373" t="inlineStr">
        <is>
          <t>BEST_EBIT</t>
        </is>
      </c>
      <c r="D1373" t="inlineStr">
        <is>
          <t>27Y</t>
        </is>
      </c>
      <c r="E1373" t="inlineStr">
        <is>
          <t>EBIT estimate FY2027</t>
        </is>
      </c>
      <c r="F1373" s="53">
        <f>_xll.BDP("TMO US Equity","BEST_EBIT","BEST_FPERIOD_OVERRIDE","27Y")</f>
        <v/>
      </c>
    </row>
    <row r="1374">
      <c r="A1374" t="inlineStr">
        <is>
          <t>TMO</t>
        </is>
      </c>
      <c r="B1374" t="inlineStr">
        <is>
          <t>TMO US Equity</t>
        </is>
      </c>
      <c r="C1374" t="inlineStr">
        <is>
          <t>BEST_EPS</t>
        </is>
      </c>
      <c r="D1374" t="inlineStr">
        <is>
          <t>28Y</t>
        </is>
      </c>
      <c r="E1374" t="inlineStr">
        <is>
          <t>EPS estimate FY2028</t>
        </is>
      </c>
      <c r="F1374" s="53">
        <f>_xll.BDP("TMO US Equity","BEST_EPS","BEST_FPERIOD_OVERRIDE","28Y")</f>
        <v/>
      </c>
    </row>
    <row r="1375">
      <c r="A1375" t="inlineStr">
        <is>
          <t>TMO</t>
        </is>
      </c>
      <c r="B1375" t="inlineStr">
        <is>
          <t>TMO US Equity</t>
        </is>
      </c>
      <c r="C1375" t="inlineStr">
        <is>
          <t>BEST_SALES</t>
        </is>
      </c>
      <c r="D1375" t="inlineStr">
        <is>
          <t>28Y</t>
        </is>
      </c>
      <c r="E1375" t="inlineStr">
        <is>
          <t>Revenue estimate FY2028</t>
        </is>
      </c>
      <c r="F1375" s="53">
        <f>_xll.BDP("TMO US Equity","BEST_SALES","BEST_FPERIOD_OVERRIDE","28Y")</f>
        <v/>
      </c>
    </row>
    <row r="1376">
      <c r="A1376" t="inlineStr">
        <is>
          <t>TMO</t>
        </is>
      </c>
      <c r="B1376" t="inlineStr">
        <is>
          <t>TMO US Equity</t>
        </is>
      </c>
      <c r="C1376" t="inlineStr">
        <is>
          <t>BEST_EBIT</t>
        </is>
      </c>
      <c r="D1376" t="inlineStr">
        <is>
          <t>28Y</t>
        </is>
      </c>
      <c r="E1376" t="inlineStr">
        <is>
          <t>EBIT estimate FY2028</t>
        </is>
      </c>
      <c r="F1376" s="53">
        <f>_xll.BDP("TMO US Equity","BEST_EBIT","BEST_FPERIOD_OVERRIDE","28Y")</f>
        <v/>
      </c>
    </row>
    <row r="1377">
      <c r="A1377" t="inlineStr">
        <is>
          <t>DHR</t>
        </is>
      </c>
      <c r="B1377" t="inlineStr">
        <is>
          <t>DHR US Equity</t>
        </is>
      </c>
      <c r="C1377" t="inlineStr">
        <is>
          <t>PX_LAST</t>
        </is>
      </c>
      <c r="E1377" t="inlineStr">
        <is>
          <t>Last price</t>
        </is>
      </c>
      <c r="F1377" s="53">
        <f>_xll.BDP("DHR US Equity","PX_LAST")</f>
        <v/>
      </c>
    </row>
    <row r="1378">
      <c r="A1378" t="inlineStr">
        <is>
          <t>DHR</t>
        </is>
      </c>
      <c r="B1378" t="inlineStr">
        <is>
          <t>DHR US Equity</t>
        </is>
      </c>
      <c r="C1378" t="inlineStr">
        <is>
          <t>CUR_MKT_CAP</t>
        </is>
      </c>
      <c r="E1378" t="inlineStr">
        <is>
          <t>Market cap (raw)</t>
        </is>
      </c>
      <c r="F1378" s="53">
        <f>_xll.BDP("DHR US Equity","CUR_MKT_CAP")</f>
        <v/>
      </c>
    </row>
    <row r="1379">
      <c r="A1379" t="inlineStr">
        <is>
          <t>DHR</t>
        </is>
      </c>
      <c r="B1379" t="inlineStr">
        <is>
          <t>DHR US Equity</t>
        </is>
      </c>
      <c r="C1379" t="inlineStr">
        <is>
          <t>CHG_PCT_YTD</t>
        </is>
      </c>
      <c r="E1379" t="inlineStr">
        <is>
          <t>YTD price change %</t>
        </is>
      </c>
      <c r="F1379" s="53">
        <f>_xll.BDP("DHR US Equity","CHG_PCT_YTD")</f>
        <v/>
      </c>
    </row>
    <row r="1380">
      <c r="A1380" t="inlineStr">
        <is>
          <t>DHR</t>
        </is>
      </c>
      <c r="B1380" t="inlineStr">
        <is>
          <t>DHR US Equity</t>
        </is>
      </c>
      <c r="C1380" t="inlineStr">
        <is>
          <t>NET_DEBT_TO_EBITDA</t>
        </is>
      </c>
      <c r="E1380" t="inlineStr">
        <is>
          <t>Net debt / EBITDA</t>
        </is>
      </c>
      <c r="F1380" s="53">
        <f>_xll.BDP("DHR US Equity","NET_DEBT_TO_EBITDA")</f>
        <v/>
      </c>
    </row>
    <row r="1381">
      <c r="A1381" t="inlineStr">
        <is>
          <t>DHR</t>
        </is>
      </c>
      <c r="B1381" t="inlineStr">
        <is>
          <t>DHR US Equity</t>
        </is>
      </c>
      <c r="C1381" t="inlineStr">
        <is>
          <t>RETURN_ON_INV_CAPITAL</t>
        </is>
      </c>
      <c r="E1381" t="inlineStr">
        <is>
          <t>ROIC (LTM)</t>
        </is>
      </c>
      <c r="F1381" s="53">
        <f>_xll.BDP("DHR US Equity","RETURN_ON_INV_CAPITAL")</f>
        <v/>
      </c>
    </row>
    <row r="1382">
      <c r="A1382" t="inlineStr">
        <is>
          <t>DHR</t>
        </is>
      </c>
      <c r="B1382" t="inlineStr">
        <is>
          <t>DHR US Equity</t>
        </is>
      </c>
      <c r="C1382" t="inlineStr">
        <is>
          <t>TRAIL_12M_OPER_INC</t>
        </is>
      </c>
      <c r="E1382" t="inlineStr">
        <is>
          <t>LTM operating income</t>
        </is>
      </c>
      <c r="F1382" s="53">
        <f>_xll.BDP("DHR US Equity","TRAIL_12M_OPER_INC")</f>
        <v/>
      </c>
    </row>
    <row r="1383">
      <c r="A1383" t="inlineStr">
        <is>
          <t>DHR</t>
        </is>
      </c>
      <c r="B1383" t="inlineStr">
        <is>
          <t>DHR US Equity</t>
        </is>
      </c>
      <c r="C1383" t="inlineStr">
        <is>
          <t>TRAIL_12M_EBITDA</t>
        </is>
      </c>
      <c r="E1383" t="inlineStr">
        <is>
          <t>LTM EBITDA</t>
        </is>
      </c>
      <c r="F1383" s="53">
        <f>_xll.BDP("DHR US Equity","TRAIL_12M_EBITDA")</f>
        <v/>
      </c>
    </row>
    <row r="1384">
      <c r="A1384" t="inlineStr">
        <is>
          <t>DHR</t>
        </is>
      </c>
      <c r="B1384" t="inlineStr">
        <is>
          <t>DHR US Equity</t>
        </is>
      </c>
      <c r="C1384" t="inlineStr">
        <is>
          <t>SHORT_AND_LONG_TERM_DEBT</t>
        </is>
      </c>
      <c r="E1384" t="inlineStr">
        <is>
          <t>Total debt</t>
        </is>
      </c>
      <c r="F1384" s="53">
        <f>_xll.BDP("DHR US Equity","SHORT_AND_LONG_TERM_DEBT")</f>
        <v/>
      </c>
    </row>
    <row r="1385">
      <c r="A1385" t="inlineStr">
        <is>
          <t>DHR</t>
        </is>
      </c>
      <c r="B1385" t="inlineStr">
        <is>
          <t>DHR US Equity</t>
        </is>
      </c>
      <c r="C1385" t="inlineStr">
        <is>
          <t>TOTAL_EQUITY</t>
        </is>
      </c>
      <c r="E1385" t="inlineStr">
        <is>
          <t>Total equity</t>
        </is>
      </c>
      <c r="F1385" s="53">
        <f>_xll.BDP("DHR US Equity","TOTAL_EQUITY")</f>
        <v/>
      </c>
    </row>
    <row r="1386">
      <c r="A1386" t="inlineStr">
        <is>
          <t>DHR</t>
        </is>
      </c>
      <c r="B1386" t="inlineStr">
        <is>
          <t>DHR US Equity</t>
        </is>
      </c>
      <c r="C1386" t="inlineStr">
        <is>
          <t>BS_CASH_NEAR_CASH_ITEM</t>
        </is>
      </c>
      <c r="E1386" t="inlineStr">
        <is>
          <t>Cash &amp; equivalents</t>
        </is>
      </c>
      <c r="F1386" s="53">
        <f>_xll.BDP("DHR US Equity","BS_CASH_NEAR_CASH_ITEM")</f>
        <v/>
      </c>
    </row>
    <row r="1387">
      <c r="A1387" t="inlineStr">
        <is>
          <t>DHR</t>
        </is>
      </c>
      <c r="B1387" t="inlineStr">
        <is>
          <t>DHR US Equity</t>
        </is>
      </c>
      <c r="C1387" t="inlineStr">
        <is>
          <t>BEST_EPS</t>
        </is>
      </c>
      <c r="D1387" t="inlineStr">
        <is>
          <t>24Y</t>
        </is>
      </c>
      <c r="E1387" t="inlineStr">
        <is>
          <t>EPS estimate FY2024</t>
        </is>
      </c>
      <c r="F1387" s="53">
        <f>_xll.BDP("DHR US Equity","BEST_EPS","BEST_FPERIOD_OVERRIDE","24Y")</f>
        <v/>
      </c>
    </row>
    <row r="1388">
      <c r="A1388" t="inlineStr">
        <is>
          <t>DHR</t>
        </is>
      </c>
      <c r="B1388" t="inlineStr">
        <is>
          <t>DHR US Equity</t>
        </is>
      </c>
      <c r="C1388" t="inlineStr">
        <is>
          <t>BEST_SALES</t>
        </is>
      </c>
      <c r="D1388" t="inlineStr">
        <is>
          <t>24Y</t>
        </is>
      </c>
      <c r="E1388" t="inlineStr">
        <is>
          <t>Revenue estimate FY2024</t>
        </is>
      </c>
      <c r="F1388" s="53">
        <f>_xll.BDP("DHR US Equity","BEST_SALES","BEST_FPERIOD_OVERRIDE","24Y")</f>
        <v/>
      </c>
    </row>
    <row r="1389">
      <c r="A1389" t="inlineStr">
        <is>
          <t>DHR</t>
        </is>
      </c>
      <c r="B1389" t="inlineStr">
        <is>
          <t>DHR US Equity</t>
        </is>
      </c>
      <c r="C1389" t="inlineStr">
        <is>
          <t>BEST_EBIT</t>
        </is>
      </c>
      <c r="D1389" t="inlineStr">
        <is>
          <t>24Y</t>
        </is>
      </c>
      <c r="E1389" t="inlineStr">
        <is>
          <t>EBIT estimate FY2024</t>
        </is>
      </c>
      <c r="F1389" s="53">
        <f>_xll.BDP("DHR US Equity","BEST_EBIT","BEST_FPERIOD_OVERRIDE","24Y")</f>
        <v/>
      </c>
    </row>
    <row r="1390">
      <c r="A1390" t="inlineStr">
        <is>
          <t>DHR</t>
        </is>
      </c>
      <c r="B1390" t="inlineStr">
        <is>
          <t>DHR US Equity</t>
        </is>
      </c>
      <c r="C1390" t="inlineStr">
        <is>
          <t>BEST_EPS</t>
        </is>
      </c>
      <c r="D1390" t="inlineStr">
        <is>
          <t>25Y</t>
        </is>
      </c>
      <c r="E1390" t="inlineStr">
        <is>
          <t>EPS estimate FY2025</t>
        </is>
      </c>
      <c r="F1390" s="53">
        <f>_xll.BDP("DHR US Equity","BEST_EPS","BEST_FPERIOD_OVERRIDE","25Y")</f>
        <v/>
      </c>
    </row>
    <row r="1391">
      <c r="A1391" t="inlineStr">
        <is>
          <t>DHR</t>
        </is>
      </c>
      <c r="B1391" t="inlineStr">
        <is>
          <t>DHR US Equity</t>
        </is>
      </c>
      <c r="C1391" t="inlineStr">
        <is>
          <t>BEST_SALES</t>
        </is>
      </c>
      <c r="D1391" t="inlineStr">
        <is>
          <t>25Y</t>
        </is>
      </c>
      <c r="E1391" t="inlineStr">
        <is>
          <t>Revenue estimate FY2025</t>
        </is>
      </c>
      <c r="F1391" s="53">
        <f>_xll.BDP("DHR US Equity","BEST_SALES","BEST_FPERIOD_OVERRIDE","25Y")</f>
        <v/>
      </c>
    </row>
    <row r="1392">
      <c r="A1392" t="inlineStr">
        <is>
          <t>DHR</t>
        </is>
      </c>
      <c r="B1392" t="inlineStr">
        <is>
          <t>DHR US Equity</t>
        </is>
      </c>
      <c r="C1392" t="inlineStr">
        <is>
          <t>BEST_EBIT</t>
        </is>
      </c>
      <c r="D1392" t="inlineStr">
        <is>
          <t>25Y</t>
        </is>
      </c>
      <c r="E1392" t="inlineStr">
        <is>
          <t>EBIT estimate FY2025</t>
        </is>
      </c>
      <c r="F1392" s="53">
        <f>_xll.BDP("DHR US Equity","BEST_EBIT","BEST_FPERIOD_OVERRIDE","25Y")</f>
        <v/>
      </c>
    </row>
    <row r="1393">
      <c r="A1393" t="inlineStr">
        <is>
          <t>DHR</t>
        </is>
      </c>
      <c r="B1393" t="inlineStr">
        <is>
          <t>DHR US Equity</t>
        </is>
      </c>
      <c r="C1393" t="inlineStr">
        <is>
          <t>BEST_EPS</t>
        </is>
      </c>
      <c r="D1393" t="inlineStr">
        <is>
          <t>26Y</t>
        </is>
      </c>
      <c r="E1393" t="inlineStr">
        <is>
          <t>EPS estimate FY2026</t>
        </is>
      </c>
      <c r="F1393" s="53">
        <f>_xll.BDP("DHR US Equity","BEST_EPS","BEST_FPERIOD_OVERRIDE","26Y")</f>
        <v/>
      </c>
    </row>
    <row r="1394">
      <c r="A1394" t="inlineStr">
        <is>
          <t>DHR</t>
        </is>
      </c>
      <c r="B1394" t="inlineStr">
        <is>
          <t>DHR US Equity</t>
        </is>
      </c>
      <c r="C1394" t="inlineStr">
        <is>
          <t>BEST_SALES</t>
        </is>
      </c>
      <c r="D1394" t="inlineStr">
        <is>
          <t>26Y</t>
        </is>
      </c>
      <c r="E1394" t="inlineStr">
        <is>
          <t>Revenue estimate FY2026</t>
        </is>
      </c>
      <c r="F1394" s="53">
        <f>_xll.BDP("DHR US Equity","BEST_SALES","BEST_FPERIOD_OVERRIDE","26Y")</f>
        <v/>
      </c>
    </row>
    <row r="1395">
      <c r="A1395" t="inlineStr">
        <is>
          <t>DHR</t>
        </is>
      </c>
      <c r="B1395" t="inlineStr">
        <is>
          <t>DHR US Equity</t>
        </is>
      </c>
      <c r="C1395" t="inlineStr">
        <is>
          <t>BEST_EBIT</t>
        </is>
      </c>
      <c r="D1395" t="inlineStr">
        <is>
          <t>26Y</t>
        </is>
      </c>
      <c r="E1395" t="inlineStr">
        <is>
          <t>EBIT estimate FY2026</t>
        </is>
      </c>
      <c r="F1395" s="53">
        <f>_xll.BDP("DHR US Equity","BEST_EBIT","BEST_FPERIOD_OVERRIDE","26Y")</f>
        <v/>
      </c>
    </row>
    <row r="1396">
      <c r="A1396" t="inlineStr">
        <is>
          <t>DHR</t>
        </is>
      </c>
      <c r="B1396" t="inlineStr">
        <is>
          <t>DHR US Equity</t>
        </is>
      </c>
      <c r="C1396" t="inlineStr">
        <is>
          <t>BEST_EPS</t>
        </is>
      </c>
      <c r="D1396" t="inlineStr">
        <is>
          <t>27Y</t>
        </is>
      </c>
      <c r="E1396" t="inlineStr">
        <is>
          <t>EPS estimate FY2027</t>
        </is>
      </c>
      <c r="F1396" s="53">
        <f>_xll.BDP("DHR US Equity","BEST_EPS","BEST_FPERIOD_OVERRIDE","27Y")</f>
        <v/>
      </c>
    </row>
    <row r="1397">
      <c r="A1397" t="inlineStr">
        <is>
          <t>DHR</t>
        </is>
      </c>
      <c r="B1397" t="inlineStr">
        <is>
          <t>DHR US Equity</t>
        </is>
      </c>
      <c r="C1397" t="inlineStr">
        <is>
          <t>BEST_SALES</t>
        </is>
      </c>
      <c r="D1397" t="inlineStr">
        <is>
          <t>27Y</t>
        </is>
      </c>
      <c r="E1397" t="inlineStr">
        <is>
          <t>Revenue estimate FY2027</t>
        </is>
      </c>
      <c r="F1397" s="53">
        <f>_xll.BDP("DHR US Equity","BEST_SALES","BEST_FPERIOD_OVERRIDE","27Y")</f>
        <v/>
      </c>
    </row>
    <row r="1398">
      <c r="A1398" t="inlineStr">
        <is>
          <t>DHR</t>
        </is>
      </c>
      <c r="B1398" t="inlineStr">
        <is>
          <t>DHR US Equity</t>
        </is>
      </c>
      <c r="C1398" t="inlineStr">
        <is>
          <t>BEST_EBIT</t>
        </is>
      </c>
      <c r="D1398" t="inlineStr">
        <is>
          <t>27Y</t>
        </is>
      </c>
      <c r="E1398" t="inlineStr">
        <is>
          <t>EBIT estimate FY2027</t>
        </is>
      </c>
      <c r="F1398" s="53">
        <f>_xll.BDP("DHR US Equity","BEST_EBIT","BEST_FPERIOD_OVERRIDE","27Y")</f>
        <v/>
      </c>
    </row>
    <row r="1399">
      <c r="A1399" t="inlineStr">
        <is>
          <t>DHR</t>
        </is>
      </c>
      <c r="B1399" t="inlineStr">
        <is>
          <t>DHR US Equity</t>
        </is>
      </c>
      <c r="C1399" t="inlineStr">
        <is>
          <t>BEST_EPS</t>
        </is>
      </c>
      <c r="D1399" t="inlineStr">
        <is>
          <t>28Y</t>
        </is>
      </c>
      <c r="E1399" t="inlineStr">
        <is>
          <t>EPS estimate FY2028</t>
        </is>
      </c>
      <c r="F1399" s="53">
        <f>_xll.BDP("DHR US Equity","BEST_EPS","BEST_FPERIOD_OVERRIDE","28Y")</f>
        <v/>
      </c>
    </row>
    <row r="1400">
      <c r="A1400" t="inlineStr">
        <is>
          <t>DHR</t>
        </is>
      </c>
      <c r="B1400" t="inlineStr">
        <is>
          <t>DHR US Equity</t>
        </is>
      </c>
      <c r="C1400" t="inlineStr">
        <is>
          <t>BEST_SALES</t>
        </is>
      </c>
      <c r="D1400" t="inlineStr">
        <is>
          <t>28Y</t>
        </is>
      </c>
      <c r="E1400" t="inlineStr">
        <is>
          <t>Revenue estimate FY2028</t>
        </is>
      </c>
      <c r="F1400" s="53">
        <f>_xll.BDP("DHR US Equity","BEST_SALES","BEST_FPERIOD_OVERRIDE","28Y")</f>
        <v/>
      </c>
    </row>
    <row r="1401">
      <c r="A1401" t="inlineStr">
        <is>
          <t>DHR</t>
        </is>
      </c>
      <c r="B1401" t="inlineStr">
        <is>
          <t>DHR US Equity</t>
        </is>
      </c>
      <c r="C1401" t="inlineStr">
        <is>
          <t>BEST_EBIT</t>
        </is>
      </c>
      <c r="D1401" t="inlineStr">
        <is>
          <t>28Y</t>
        </is>
      </c>
      <c r="E1401" t="inlineStr">
        <is>
          <t>EBIT estimate FY2028</t>
        </is>
      </c>
      <c r="F1401" s="53">
        <f>_xll.BDP("DHR US Equity","BEST_EBIT","BEST_FPERIOD_OVERRIDE","28Y")</f>
        <v/>
      </c>
    </row>
    <row r="1402">
      <c r="A1402" t="inlineStr">
        <is>
          <t>APH</t>
        </is>
      </c>
      <c r="B1402" t="inlineStr">
        <is>
          <t>APH US Equity</t>
        </is>
      </c>
      <c r="C1402" t="inlineStr">
        <is>
          <t>PX_LAST</t>
        </is>
      </c>
      <c r="E1402" t="inlineStr">
        <is>
          <t>Last price</t>
        </is>
      </c>
      <c r="F1402" s="53">
        <f>_xll.BDP("APH US Equity","PX_LAST")</f>
        <v/>
      </c>
    </row>
    <row r="1403">
      <c r="A1403" t="inlineStr">
        <is>
          <t>APH</t>
        </is>
      </c>
      <c r="B1403" t="inlineStr">
        <is>
          <t>APH US Equity</t>
        </is>
      </c>
      <c r="C1403" t="inlineStr">
        <is>
          <t>CUR_MKT_CAP</t>
        </is>
      </c>
      <c r="E1403" t="inlineStr">
        <is>
          <t>Market cap (raw)</t>
        </is>
      </c>
      <c r="F1403" s="53">
        <f>_xll.BDP("APH US Equity","CUR_MKT_CAP")</f>
        <v/>
      </c>
    </row>
    <row r="1404">
      <c r="A1404" t="inlineStr">
        <is>
          <t>APH</t>
        </is>
      </c>
      <c r="B1404" t="inlineStr">
        <is>
          <t>APH US Equity</t>
        </is>
      </c>
      <c r="C1404" t="inlineStr">
        <is>
          <t>CHG_PCT_YTD</t>
        </is>
      </c>
      <c r="E1404" t="inlineStr">
        <is>
          <t>YTD price change %</t>
        </is>
      </c>
      <c r="F1404" s="53">
        <f>_xll.BDP("APH US Equity","CHG_PCT_YTD")</f>
        <v/>
      </c>
    </row>
    <row r="1405">
      <c r="A1405" t="inlineStr">
        <is>
          <t>APH</t>
        </is>
      </c>
      <c r="B1405" t="inlineStr">
        <is>
          <t>APH US Equity</t>
        </is>
      </c>
      <c r="C1405" t="inlineStr">
        <is>
          <t>NET_DEBT_TO_EBITDA</t>
        </is>
      </c>
      <c r="E1405" t="inlineStr">
        <is>
          <t>Net debt / EBITDA</t>
        </is>
      </c>
      <c r="F1405" s="53">
        <f>_xll.BDP("APH US Equity","NET_DEBT_TO_EBITDA")</f>
        <v/>
      </c>
    </row>
    <row r="1406">
      <c r="A1406" t="inlineStr">
        <is>
          <t>APH</t>
        </is>
      </c>
      <c r="B1406" t="inlineStr">
        <is>
          <t>APH US Equity</t>
        </is>
      </c>
      <c r="C1406" t="inlineStr">
        <is>
          <t>RETURN_ON_INV_CAPITAL</t>
        </is>
      </c>
      <c r="E1406" t="inlineStr">
        <is>
          <t>ROIC (LTM)</t>
        </is>
      </c>
      <c r="F1406" s="53">
        <f>_xll.BDP("APH US Equity","RETURN_ON_INV_CAPITAL")</f>
        <v/>
      </c>
    </row>
    <row r="1407">
      <c r="A1407" t="inlineStr">
        <is>
          <t>APH</t>
        </is>
      </c>
      <c r="B1407" t="inlineStr">
        <is>
          <t>APH US Equity</t>
        </is>
      </c>
      <c r="C1407" t="inlineStr">
        <is>
          <t>TRAIL_12M_OPER_INC</t>
        </is>
      </c>
      <c r="E1407" t="inlineStr">
        <is>
          <t>LTM operating income</t>
        </is>
      </c>
      <c r="F1407" s="53">
        <f>_xll.BDP("APH US Equity","TRAIL_12M_OPER_INC")</f>
        <v/>
      </c>
    </row>
    <row r="1408">
      <c r="A1408" t="inlineStr">
        <is>
          <t>APH</t>
        </is>
      </c>
      <c r="B1408" t="inlineStr">
        <is>
          <t>APH US Equity</t>
        </is>
      </c>
      <c r="C1408" t="inlineStr">
        <is>
          <t>TRAIL_12M_EBITDA</t>
        </is>
      </c>
      <c r="E1408" t="inlineStr">
        <is>
          <t>LTM EBITDA</t>
        </is>
      </c>
      <c r="F1408" s="53">
        <f>_xll.BDP("APH US Equity","TRAIL_12M_EBITDA")</f>
        <v/>
      </c>
    </row>
    <row r="1409">
      <c r="A1409" t="inlineStr">
        <is>
          <t>APH</t>
        </is>
      </c>
      <c r="B1409" t="inlineStr">
        <is>
          <t>APH US Equity</t>
        </is>
      </c>
      <c r="C1409" t="inlineStr">
        <is>
          <t>SHORT_AND_LONG_TERM_DEBT</t>
        </is>
      </c>
      <c r="E1409" t="inlineStr">
        <is>
          <t>Total debt</t>
        </is>
      </c>
      <c r="F1409" s="53">
        <f>_xll.BDP("APH US Equity","SHORT_AND_LONG_TERM_DEBT")</f>
        <v/>
      </c>
    </row>
    <row r="1410">
      <c r="A1410" t="inlineStr">
        <is>
          <t>APH</t>
        </is>
      </c>
      <c r="B1410" t="inlineStr">
        <is>
          <t>APH US Equity</t>
        </is>
      </c>
      <c r="C1410" t="inlineStr">
        <is>
          <t>TOTAL_EQUITY</t>
        </is>
      </c>
      <c r="E1410" t="inlineStr">
        <is>
          <t>Total equity</t>
        </is>
      </c>
      <c r="F1410" s="53">
        <f>_xll.BDP("APH US Equity","TOTAL_EQUITY")</f>
        <v/>
      </c>
    </row>
    <row r="1411">
      <c r="A1411" t="inlineStr">
        <is>
          <t>APH</t>
        </is>
      </c>
      <c r="B1411" t="inlineStr">
        <is>
          <t>APH US Equity</t>
        </is>
      </c>
      <c r="C1411" t="inlineStr">
        <is>
          <t>BS_CASH_NEAR_CASH_ITEM</t>
        </is>
      </c>
      <c r="E1411" t="inlineStr">
        <is>
          <t>Cash &amp; equivalents</t>
        </is>
      </c>
      <c r="F1411" s="53">
        <f>_xll.BDP("APH US Equity","BS_CASH_NEAR_CASH_ITEM")</f>
        <v/>
      </c>
    </row>
    <row r="1412">
      <c r="A1412" t="inlineStr">
        <is>
          <t>APH</t>
        </is>
      </c>
      <c r="B1412" t="inlineStr">
        <is>
          <t>APH US Equity</t>
        </is>
      </c>
      <c r="C1412" t="inlineStr">
        <is>
          <t>BEST_EPS</t>
        </is>
      </c>
      <c r="D1412" t="inlineStr">
        <is>
          <t>24Y</t>
        </is>
      </c>
      <c r="E1412" t="inlineStr">
        <is>
          <t>EPS estimate FY2024</t>
        </is>
      </c>
      <c r="F1412" s="53">
        <f>_xll.BDP("APH US Equity","BEST_EPS","BEST_FPERIOD_OVERRIDE","24Y")</f>
        <v/>
      </c>
    </row>
    <row r="1413">
      <c r="A1413" t="inlineStr">
        <is>
          <t>APH</t>
        </is>
      </c>
      <c r="B1413" t="inlineStr">
        <is>
          <t>APH US Equity</t>
        </is>
      </c>
      <c r="C1413" t="inlineStr">
        <is>
          <t>BEST_SALES</t>
        </is>
      </c>
      <c r="D1413" t="inlineStr">
        <is>
          <t>24Y</t>
        </is>
      </c>
      <c r="E1413" t="inlineStr">
        <is>
          <t>Revenue estimate FY2024</t>
        </is>
      </c>
      <c r="F1413" s="53">
        <f>_xll.BDP("APH US Equity","BEST_SALES","BEST_FPERIOD_OVERRIDE","24Y")</f>
        <v/>
      </c>
    </row>
    <row r="1414">
      <c r="A1414" t="inlineStr">
        <is>
          <t>APH</t>
        </is>
      </c>
      <c r="B1414" t="inlineStr">
        <is>
          <t>APH US Equity</t>
        </is>
      </c>
      <c r="C1414" t="inlineStr">
        <is>
          <t>BEST_EBIT</t>
        </is>
      </c>
      <c r="D1414" t="inlineStr">
        <is>
          <t>24Y</t>
        </is>
      </c>
      <c r="E1414" t="inlineStr">
        <is>
          <t>EBIT estimate FY2024</t>
        </is>
      </c>
      <c r="F1414" s="53">
        <f>_xll.BDP("APH US Equity","BEST_EBIT","BEST_FPERIOD_OVERRIDE","24Y")</f>
        <v/>
      </c>
    </row>
    <row r="1415">
      <c r="A1415" t="inlineStr">
        <is>
          <t>APH</t>
        </is>
      </c>
      <c r="B1415" t="inlineStr">
        <is>
          <t>APH US Equity</t>
        </is>
      </c>
      <c r="C1415" t="inlineStr">
        <is>
          <t>BEST_EPS</t>
        </is>
      </c>
      <c r="D1415" t="inlineStr">
        <is>
          <t>25Y</t>
        </is>
      </c>
      <c r="E1415" t="inlineStr">
        <is>
          <t>EPS estimate FY2025</t>
        </is>
      </c>
      <c r="F1415" s="53">
        <f>_xll.BDP("APH US Equity","BEST_EPS","BEST_FPERIOD_OVERRIDE","25Y")</f>
        <v/>
      </c>
    </row>
    <row r="1416">
      <c r="A1416" t="inlineStr">
        <is>
          <t>APH</t>
        </is>
      </c>
      <c r="B1416" t="inlineStr">
        <is>
          <t>APH US Equity</t>
        </is>
      </c>
      <c r="C1416" t="inlineStr">
        <is>
          <t>BEST_SALES</t>
        </is>
      </c>
      <c r="D1416" t="inlineStr">
        <is>
          <t>25Y</t>
        </is>
      </c>
      <c r="E1416" t="inlineStr">
        <is>
          <t>Revenue estimate FY2025</t>
        </is>
      </c>
      <c r="F1416" s="53">
        <f>_xll.BDP("APH US Equity","BEST_SALES","BEST_FPERIOD_OVERRIDE","25Y")</f>
        <v/>
      </c>
    </row>
    <row r="1417">
      <c r="A1417" t="inlineStr">
        <is>
          <t>APH</t>
        </is>
      </c>
      <c r="B1417" t="inlineStr">
        <is>
          <t>APH US Equity</t>
        </is>
      </c>
      <c r="C1417" t="inlineStr">
        <is>
          <t>BEST_EBIT</t>
        </is>
      </c>
      <c r="D1417" t="inlineStr">
        <is>
          <t>25Y</t>
        </is>
      </c>
      <c r="E1417" t="inlineStr">
        <is>
          <t>EBIT estimate FY2025</t>
        </is>
      </c>
      <c r="F1417" s="53">
        <f>_xll.BDP("APH US Equity","BEST_EBIT","BEST_FPERIOD_OVERRIDE","25Y")</f>
        <v/>
      </c>
    </row>
    <row r="1418">
      <c r="A1418" t="inlineStr">
        <is>
          <t>APH</t>
        </is>
      </c>
      <c r="B1418" t="inlineStr">
        <is>
          <t>APH US Equity</t>
        </is>
      </c>
      <c r="C1418" t="inlineStr">
        <is>
          <t>BEST_EPS</t>
        </is>
      </c>
      <c r="D1418" t="inlineStr">
        <is>
          <t>26Y</t>
        </is>
      </c>
      <c r="E1418" t="inlineStr">
        <is>
          <t>EPS estimate FY2026</t>
        </is>
      </c>
      <c r="F1418" s="53">
        <f>_xll.BDP("APH US Equity","BEST_EPS","BEST_FPERIOD_OVERRIDE","26Y")</f>
        <v/>
      </c>
    </row>
    <row r="1419">
      <c r="A1419" t="inlineStr">
        <is>
          <t>APH</t>
        </is>
      </c>
      <c r="B1419" t="inlineStr">
        <is>
          <t>APH US Equity</t>
        </is>
      </c>
      <c r="C1419" t="inlineStr">
        <is>
          <t>BEST_SALES</t>
        </is>
      </c>
      <c r="D1419" t="inlineStr">
        <is>
          <t>26Y</t>
        </is>
      </c>
      <c r="E1419" t="inlineStr">
        <is>
          <t>Revenue estimate FY2026</t>
        </is>
      </c>
      <c r="F1419" s="53">
        <f>_xll.BDP("APH US Equity","BEST_SALES","BEST_FPERIOD_OVERRIDE","26Y")</f>
        <v/>
      </c>
    </row>
    <row r="1420">
      <c r="A1420" t="inlineStr">
        <is>
          <t>APH</t>
        </is>
      </c>
      <c r="B1420" t="inlineStr">
        <is>
          <t>APH US Equity</t>
        </is>
      </c>
      <c r="C1420" t="inlineStr">
        <is>
          <t>BEST_EBIT</t>
        </is>
      </c>
      <c r="D1420" t="inlineStr">
        <is>
          <t>26Y</t>
        </is>
      </c>
      <c r="E1420" t="inlineStr">
        <is>
          <t>EBIT estimate FY2026</t>
        </is>
      </c>
      <c r="F1420" s="53">
        <f>_xll.BDP("APH US Equity","BEST_EBIT","BEST_FPERIOD_OVERRIDE","26Y")</f>
        <v/>
      </c>
    </row>
    <row r="1421">
      <c r="A1421" t="inlineStr">
        <is>
          <t>APH</t>
        </is>
      </c>
      <c r="B1421" t="inlineStr">
        <is>
          <t>APH US Equity</t>
        </is>
      </c>
      <c r="C1421" t="inlineStr">
        <is>
          <t>BEST_EPS</t>
        </is>
      </c>
      <c r="D1421" t="inlineStr">
        <is>
          <t>27Y</t>
        </is>
      </c>
      <c r="E1421" t="inlineStr">
        <is>
          <t>EPS estimate FY2027</t>
        </is>
      </c>
      <c r="F1421" s="53">
        <f>_xll.BDP("APH US Equity","BEST_EPS","BEST_FPERIOD_OVERRIDE","27Y")</f>
        <v/>
      </c>
    </row>
    <row r="1422">
      <c r="A1422" t="inlineStr">
        <is>
          <t>APH</t>
        </is>
      </c>
      <c r="B1422" t="inlineStr">
        <is>
          <t>APH US Equity</t>
        </is>
      </c>
      <c r="C1422" t="inlineStr">
        <is>
          <t>BEST_SALES</t>
        </is>
      </c>
      <c r="D1422" t="inlineStr">
        <is>
          <t>27Y</t>
        </is>
      </c>
      <c r="E1422" t="inlineStr">
        <is>
          <t>Revenue estimate FY2027</t>
        </is>
      </c>
      <c r="F1422" s="53">
        <f>_xll.BDP("APH US Equity","BEST_SALES","BEST_FPERIOD_OVERRIDE","27Y")</f>
        <v/>
      </c>
    </row>
    <row r="1423">
      <c r="A1423" t="inlineStr">
        <is>
          <t>APH</t>
        </is>
      </c>
      <c r="B1423" t="inlineStr">
        <is>
          <t>APH US Equity</t>
        </is>
      </c>
      <c r="C1423" t="inlineStr">
        <is>
          <t>BEST_EBIT</t>
        </is>
      </c>
      <c r="D1423" t="inlineStr">
        <is>
          <t>27Y</t>
        </is>
      </c>
      <c r="E1423" t="inlineStr">
        <is>
          <t>EBIT estimate FY2027</t>
        </is>
      </c>
      <c r="F1423" s="53">
        <f>_xll.BDP("APH US Equity","BEST_EBIT","BEST_FPERIOD_OVERRIDE","27Y")</f>
        <v/>
      </c>
    </row>
    <row r="1424">
      <c r="A1424" t="inlineStr">
        <is>
          <t>APH</t>
        </is>
      </c>
      <c r="B1424" t="inlineStr">
        <is>
          <t>APH US Equity</t>
        </is>
      </c>
      <c r="C1424" t="inlineStr">
        <is>
          <t>BEST_EPS</t>
        </is>
      </c>
      <c r="D1424" t="inlineStr">
        <is>
          <t>28Y</t>
        </is>
      </c>
      <c r="E1424" t="inlineStr">
        <is>
          <t>EPS estimate FY2028</t>
        </is>
      </c>
      <c r="F1424" s="53">
        <f>_xll.BDP("APH US Equity","BEST_EPS","BEST_FPERIOD_OVERRIDE","28Y")</f>
        <v/>
      </c>
    </row>
    <row r="1425">
      <c r="A1425" t="inlineStr">
        <is>
          <t>APH</t>
        </is>
      </c>
      <c r="B1425" t="inlineStr">
        <is>
          <t>APH US Equity</t>
        </is>
      </c>
      <c r="C1425" t="inlineStr">
        <is>
          <t>BEST_SALES</t>
        </is>
      </c>
      <c r="D1425" t="inlineStr">
        <is>
          <t>28Y</t>
        </is>
      </c>
      <c r="E1425" t="inlineStr">
        <is>
          <t>Revenue estimate FY2028</t>
        </is>
      </c>
      <c r="F1425" s="53">
        <f>_xll.BDP("APH US Equity","BEST_SALES","BEST_FPERIOD_OVERRIDE","28Y")</f>
        <v/>
      </c>
    </row>
    <row r="1426">
      <c r="A1426" t="inlineStr">
        <is>
          <t>APH</t>
        </is>
      </c>
      <c r="B1426" t="inlineStr">
        <is>
          <t>APH US Equity</t>
        </is>
      </c>
      <c r="C1426" t="inlineStr">
        <is>
          <t>BEST_EBIT</t>
        </is>
      </c>
      <c r="D1426" t="inlineStr">
        <is>
          <t>28Y</t>
        </is>
      </c>
      <c r="E1426" t="inlineStr">
        <is>
          <t>EBIT estimate FY2028</t>
        </is>
      </c>
      <c r="F1426" s="53">
        <f>_xll.BDP("APH US Equity","BEST_EBIT","BEST_FPERIOD_OVERRIDE","28Y")</f>
        <v/>
      </c>
    </row>
    <row r="1427">
      <c r="A1427" t="inlineStr">
        <is>
          <t>MSI</t>
        </is>
      </c>
      <c r="B1427" t="inlineStr">
        <is>
          <t>MSI US Equity</t>
        </is>
      </c>
      <c r="C1427" t="inlineStr">
        <is>
          <t>PX_LAST</t>
        </is>
      </c>
      <c r="E1427" t="inlineStr">
        <is>
          <t>Last price</t>
        </is>
      </c>
      <c r="F1427" s="53">
        <f>_xll.BDP("MSI US Equity","PX_LAST")</f>
        <v/>
      </c>
    </row>
    <row r="1428">
      <c r="A1428" t="inlineStr">
        <is>
          <t>MSI</t>
        </is>
      </c>
      <c r="B1428" t="inlineStr">
        <is>
          <t>MSI US Equity</t>
        </is>
      </c>
      <c r="C1428" t="inlineStr">
        <is>
          <t>CUR_MKT_CAP</t>
        </is>
      </c>
      <c r="E1428" t="inlineStr">
        <is>
          <t>Market cap (raw)</t>
        </is>
      </c>
      <c r="F1428" s="53">
        <f>_xll.BDP("MSI US Equity","CUR_MKT_CAP")</f>
        <v/>
      </c>
    </row>
    <row r="1429">
      <c r="A1429" t="inlineStr">
        <is>
          <t>MSI</t>
        </is>
      </c>
      <c r="B1429" t="inlineStr">
        <is>
          <t>MSI US Equity</t>
        </is>
      </c>
      <c r="C1429" t="inlineStr">
        <is>
          <t>CHG_PCT_YTD</t>
        </is>
      </c>
      <c r="E1429" t="inlineStr">
        <is>
          <t>YTD price change %</t>
        </is>
      </c>
      <c r="F1429" s="53">
        <f>_xll.BDP("MSI US Equity","CHG_PCT_YTD")</f>
        <v/>
      </c>
    </row>
    <row r="1430">
      <c r="A1430" t="inlineStr">
        <is>
          <t>MSI</t>
        </is>
      </c>
      <c r="B1430" t="inlineStr">
        <is>
          <t>MSI US Equity</t>
        </is>
      </c>
      <c r="C1430" t="inlineStr">
        <is>
          <t>NET_DEBT_TO_EBITDA</t>
        </is>
      </c>
      <c r="E1430" t="inlineStr">
        <is>
          <t>Net debt / EBITDA</t>
        </is>
      </c>
      <c r="F1430" s="53">
        <f>_xll.BDP("MSI US Equity","NET_DEBT_TO_EBITDA")</f>
        <v/>
      </c>
    </row>
    <row r="1431">
      <c r="A1431" t="inlineStr">
        <is>
          <t>MSI</t>
        </is>
      </c>
      <c r="B1431" t="inlineStr">
        <is>
          <t>MSI US Equity</t>
        </is>
      </c>
      <c r="C1431" t="inlineStr">
        <is>
          <t>RETURN_ON_INV_CAPITAL</t>
        </is>
      </c>
      <c r="E1431" t="inlineStr">
        <is>
          <t>ROIC (LTM)</t>
        </is>
      </c>
      <c r="F1431" s="53">
        <f>_xll.BDP("MSI US Equity","RETURN_ON_INV_CAPITAL")</f>
        <v/>
      </c>
    </row>
    <row r="1432">
      <c r="A1432" t="inlineStr">
        <is>
          <t>MSI</t>
        </is>
      </c>
      <c r="B1432" t="inlineStr">
        <is>
          <t>MSI US Equity</t>
        </is>
      </c>
      <c r="C1432" t="inlineStr">
        <is>
          <t>TRAIL_12M_OPER_INC</t>
        </is>
      </c>
      <c r="E1432" t="inlineStr">
        <is>
          <t>LTM operating income</t>
        </is>
      </c>
      <c r="F1432" s="53">
        <f>_xll.BDP("MSI US Equity","TRAIL_12M_OPER_INC")</f>
        <v/>
      </c>
    </row>
    <row r="1433">
      <c r="A1433" t="inlineStr">
        <is>
          <t>MSI</t>
        </is>
      </c>
      <c r="B1433" t="inlineStr">
        <is>
          <t>MSI US Equity</t>
        </is>
      </c>
      <c r="C1433" t="inlineStr">
        <is>
          <t>TRAIL_12M_EBITDA</t>
        </is>
      </c>
      <c r="E1433" t="inlineStr">
        <is>
          <t>LTM EBITDA</t>
        </is>
      </c>
      <c r="F1433" s="53">
        <f>_xll.BDP("MSI US Equity","TRAIL_12M_EBITDA")</f>
        <v/>
      </c>
    </row>
    <row r="1434">
      <c r="A1434" t="inlineStr">
        <is>
          <t>MSI</t>
        </is>
      </c>
      <c r="B1434" t="inlineStr">
        <is>
          <t>MSI US Equity</t>
        </is>
      </c>
      <c r="C1434" t="inlineStr">
        <is>
          <t>SHORT_AND_LONG_TERM_DEBT</t>
        </is>
      </c>
      <c r="E1434" t="inlineStr">
        <is>
          <t>Total debt</t>
        </is>
      </c>
      <c r="F1434" s="53">
        <f>_xll.BDP("MSI US Equity","SHORT_AND_LONG_TERM_DEBT")</f>
        <v/>
      </c>
    </row>
    <row r="1435">
      <c r="A1435" t="inlineStr">
        <is>
          <t>MSI</t>
        </is>
      </c>
      <c r="B1435" t="inlineStr">
        <is>
          <t>MSI US Equity</t>
        </is>
      </c>
      <c r="C1435" t="inlineStr">
        <is>
          <t>TOTAL_EQUITY</t>
        </is>
      </c>
      <c r="E1435" t="inlineStr">
        <is>
          <t>Total equity</t>
        </is>
      </c>
      <c r="F1435" s="53">
        <f>_xll.BDP("MSI US Equity","TOTAL_EQUITY")</f>
        <v/>
      </c>
    </row>
    <row r="1436">
      <c r="A1436" t="inlineStr">
        <is>
          <t>MSI</t>
        </is>
      </c>
      <c r="B1436" t="inlineStr">
        <is>
          <t>MSI US Equity</t>
        </is>
      </c>
      <c r="C1436" t="inlineStr">
        <is>
          <t>BS_CASH_NEAR_CASH_ITEM</t>
        </is>
      </c>
      <c r="E1436" t="inlineStr">
        <is>
          <t>Cash &amp; equivalents</t>
        </is>
      </c>
      <c r="F1436" s="53">
        <f>_xll.BDP("MSI US Equity","BS_CASH_NEAR_CASH_ITEM")</f>
        <v/>
      </c>
    </row>
    <row r="1437">
      <c r="A1437" t="inlineStr">
        <is>
          <t>MSI</t>
        </is>
      </c>
      <c r="B1437" t="inlineStr">
        <is>
          <t>MSI US Equity</t>
        </is>
      </c>
      <c r="C1437" t="inlineStr">
        <is>
          <t>BEST_EPS</t>
        </is>
      </c>
      <c r="D1437" t="inlineStr">
        <is>
          <t>24Y</t>
        </is>
      </c>
      <c r="E1437" t="inlineStr">
        <is>
          <t>EPS estimate FY2024</t>
        </is>
      </c>
      <c r="F1437" s="53">
        <f>_xll.BDP("MSI US Equity","BEST_EPS","BEST_FPERIOD_OVERRIDE","24Y")</f>
        <v/>
      </c>
    </row>
    <row r="1438">
      <c r="A1438" t="inlineStr">
        <is>
          <t>MSI</t>
        </is>
      </c>
      <c r="B1438" t="inlineStr">
        <is>
          <t>MSI US Equity</t>
        </is>
      </c>
      <c r="C1438" t="inlineStr">
        <is>
          <t>BEST_SALES</t>
        </is>
      </c>
      <c r="D1438" t="inlineStr">
        <is>
          <t>24Y</t>
        </is>
      </c>
      <c r="E1438" t="inlineStr">
        <is>
          <t>Revenue estimate FY2024</t>
        </is>
      </c>
      <c r="F1438" s="53">
        <f>_xll.BDP("MSI US Equity","BEST_SALES","BEST_FPERIOD_OVERRIDE","24Y")</f>
        <v/>
      </c>
    </row>
    <row r="1439">
      <c r="A1439" t="inlineStr">
        <is>
          <t>MSI</t>
        </is>
      </c>
      <c r="B1439" t="inlineStr">
        <is>
          <t>MSI US Equity</t>
        </is>
      </c>
      <c r="C1439" t="inlineStr">
        <is>
          <t>BEST_EBIT</t>
        </is>
      </c>
      <c r="D1439" t="inlineStr">
        <is>
          <t>24Y</t>
        </is>
      </c>
      <c r="E1439" t="inlineStr">
        <is>
          <t>EBIT estimate FY2024</t>
        </is>
      </c>
      <c r="F1439" s="53">
        <f>_xll.BDP("MSI US Equity","BEST_EBIT","BEST_FPERIOD_OVERRIDE","24Y")</f>
        <v/>
      </c>
    </row>
    <row r="1440">
      <c r="A1440" t="inlineStr">
        <is>
          <t>MSI</t>
        </is>
      </c>
      <c r="B1440" t="inlineStr">
        <is>
          <t>MSI US Equity</t>
        </is>
      </c>
      <c r="C1440" t="inlineStr">
        <is>
          <t>BEST_EPS</t>
        </is>
      </c>
      <c r="D1440" t="inlineStr">
        <is>
          <t>25Y</t>
        </is>
      </c>
      <c r="E1440" t="inlineStr">
        <is>
          <t>EPS estimate FY2025</t>
        </is>
      </c>
      <c r="F1440" s="53">
        <f>_xll.BDP("MSI US Equity","BEST_EPS","BEST_FPERIOD_OVERRIDE","25Y")</f>
        <v/>
      </c>
    </row>
    <row r="1441">
      <c r="A1441" t="inlineStr">
        <is>
          <t>MSI</t>
        </is>
      </c>
      <c r="B1441" t="inlineStr">
        <is>
          <t>MSI US Equity</t>
        </is>
      </c>
      <c r="C1441" t="inlineStr">
        <is>
          <t>BEST_SALES</t>
        </is>
      </c>
      <c r="D1441" t="inlineStr">
        <is>
          <t>25Y</t>
        </is>
      </c>
      <c r="E1441" t="inlineStr">
        <is>
          <t>Revenue estimate FY2025</t>
        </is>
      </c>
      <c r="F1441" s="53">
        <f>_xll.BDP("MSI US Equity","BEST_SALES","BEST_FPERIOD_OVERRIDE","25Y")</f>
        <v/>
      </c>
    </row>
    <row r="1442">
      <c r="A1442" t="inlineStr">
        <is>
          <t>MSI</t>
        </is>
      </c>
      <c r="B1442" t="inlineStr">
        <is>
          <t>MSI US Equity</t>
        </is>
      </c>
      <c r="C1442" t="inlineStr">
        <is>
          <t>BEST_EBIT</t>
        </is>
      </c>
      <c r="D1442" t="inlineStr">
        <is>
          <t>25Y</t>
        </is>
      </c>
      <c r="E1442" t="inlineStr">
        <is>
          <t>EBIT estimate FY2025</t>
        </is>
      </c>
      <c r="F1442" s="53">
        <f>_xll.BDP("MSI US Equity","BEST_EBIT","BEST_FPERIOD_OVERRIDE","25Y")</f>
        <v/>
      </c>
    </row>
    <row r="1443">
      <c r="A1443" t="inlineStr">
        <is>
          <t>MSI</t>
        </is>
      </c>
      <c r="B1443" t="inlineStr">
        <is>
          <t>MSI US Equity</t>
        </is>
      </c>
      <c r="C1443" t="inlineStr">
        <is>
          <t>BEST_EPS</t>
        </is>
      </c>
      <c r="D1443" t="inlineStr">
        <is>
          <t>26Y</t>
        </is>
      </c>
      <c r="E1443" t="inlineStr">
        <is>
          <t>EPS estimate FY2026</t>
        </is>
      </c>
      <c r="F1443" s="53">
        <f>_xll.BDP("MSI US Equity","BEST_EPS","BEST_FPERIOD_OVERRIDE","26Y")</f>
        <v/>
      </c>
    </row>
    <row r="1444">
      <c r="A1444" t="inlineStr">
        <is>
          <t>MSI</t>
        </is>
      </c>
      <c r="B1444" t="inlineStr">
        <is>
          <t>MSI US Equity</t>
        </is>
      </c>
      <c r="C1444" t="inlineStr">
        <is>
          <t>BEST_SALES</t>
        </is>
      </c>
      <c r="D1444" t="inlineStr">
        <is>
          <t>26Y</t>
        </is>
      </c>
      <c r="E1444" t="inlineStr">
        <is>
          <t>Revenue estimate FY2026</t>
        </is>
      </c>
      <c r="F1444" s="53">
        <f>_xll.BDP("MSI US Equity","BEST_SALES","BEST_FPERIOD_OVERRIDE","26Y")</f>
        <v/>
      </c>
    </row>
    <row r="1445">
      <c r="A1445" t="inlineStr">
        <is>
          <t>MSI</t>
        </is>
      </c>
      <c r="B1445" t="inlineStr">
        <is>
          <t>MSI US Equity</t>
        </is>
      </c>
      <c r="C1445" t="inlineStr">
        <is>
          <t>BEST_EBIT</t>
        </is>
      </c>
      <c r="D1445" t="inlineStr">
        <is>
          <t>26Y</t>
        </is>
      </c>
      <c r="E1445" t="inlineStr">
        <is>
          <t>EBIT estimate FY2026</t>
        </is>
      </c>
      <c r="F1445" s="53">
        <f>_xll.BDP("MSI US Equity","BEST_EBIT","BEST_FPERIOD_OVERRIDE","26Y")</f>
        <v/>
      </c>
    </row>
    <row r="1446">
      <c r="A1446" t="inlineStr">
        <is>
          <t>MSI</t>
        </is>
      </c>
      <c r="B1446" t="inlineStr">
        <is>
          <t>MSI US Equity</t>
        </is>
      </c>
      <c r="C1446" t="inlineStr">
        <is>
          <t>BEST_EPS</t>
        </is>
      </c>
      <c r="D1446" t="inlineStr">
        <is>
          <t>27Y</t>
        </is>
      </c>
      <c r="E1446" t="inlineStr">
        <is>
          <t>EPS estimate FY2027</t>
        </is>
      </c>
      <c r="F1446" s="53">
        <f>_xll.BDP("MSI US Equity","BEST_EPS","BEST_FPERIOD_OVERRIDE","27Y")</f>
        <v/>
      </c>
    </row>
    <row r="1447">
      <c r="A1447" t="inlineStr">
        <is>
          <t>MSI</t>
        </is>
      </c>
      <c r="B1447" t="inlineStr">
        <is>
          <t>MSI US Equity</t>
        </is>
      </c>
      <c r="C1447" t="inlineStr">
        <is>
          <t>BEST_SALES</t>
        </is>
      </c>
      <c r="D1447" t="inlineStr">
        <is>
          <t>27Y</t>
        </is>
      </c>
      <c r="E1447" t="inlineStr">
        <is>
          <t>Revenue estimate FY2027</t>
        </is>
      </c>
      <c r="F1447" s="53">
        <f>_xll.BDP("MSI US Equity","BEST_SALES","BEST_FPERIOD_OVERRIDE","27Y")</f>
        <v/>
      </c>
    </row>
    <row r="1448">
      <c r="A1448" t="inlineStr">
        <is>
          <t>MSI</t>
        </is>
      </c>
      <c r="B1448" t="inlineStr">
        <is>
          <t>MSI US Equity</t>
        </is>
      </c>
      <c r="C1448" t="inlineStr">
        <is>
          <t>BEST_EBIT</t>
        </is>
      </c>
      <c r="D1448" t="inlineStr">
        <is>
          <t>27Y</t>
        </is>
      </c>
      <c r="E1448" t="inlineStr">
        <is>
          <t>EBIT estimate FY2027</t>
        </is>
      </c>
      <c r="F1448" s="53">
        <f>_xll.BDP("MSI US Equity","BEST_EBIT","BEST_FPERIOD_OVERRIDE","27Y")</f>
        <v/>
      </c>
    </row>
    <row r="1449">
      <c r="A1449" t="inlineStr">
        <is>
          <t>MSI</t>
        </is>
      </c>
      <c r="B1449" t="inlineStr">
        <is>
          <t>MSI US Equity</t>
        </is>
      </c>
      <c r="C1449" t="inlineStr">
        <is>
          <t>BEST_EPS</t>
        </is>
      </c>
      <c r="D1449" t="inlineStr">
        <is>
          <t>28Y</t>
        </is>
      </c>
      <c r="E1449" t="inlineStr">
        <is>
          <t>EPS estimate FY2028</t>
        </is>
      </c>
      <c r="F1449" s="53">
        <f>_xll.BDP("MSI US Equity","BEST_EPS","BEST_FPERIOD_OVERRIDE","28Y")</f>
        <v/>
      </c>
    </row>
    <row r="1450">
      <c r="A1450" t="inlineStr">
        <is>
          <t>MSI</t>
        </is>
      </c>
      <c r="B1450" t="inlineStr">
        <is>
          <t>MSI US Equity</t>
        </is>
      </c>
      <c r="C1450" t="inlineStr">
        <is>
          <t>BEST_SALES</t>
        </is>
      </c>
      <c r="D1450" t="inlineStr">
        <is>
          <t>28Y</t>
        </is>
      </c>
      <c r="E1450" t="inlineStr">
        <is>
          <t>Revenue estimate FY2028</t>
        </is>
      </c>
      <c r="F1450" s="53">
        <f>_xll.BDP("MSI US Equity","BEST_SALES","BEST_FPERIOD_OVERRIDE","28Y")</f>
        <v/>
      </c>
    </row>
    <row r="1451">
      <c r="A1451" t="inlineStr">
        <is>
          <t>MSI</t>
        </is>
      </c>
      <c r="B1451" t="inlineStr">
        <is>
          <t>MSI US Equity</t>
        </is>
      </c>
      <c r="C1451" t="inlineStr">
        <is>
          <t>BEST_EBIT</t>
        </is>
      </c>
      <c r="D1451" t="inlineStr">
        <is>
          <t>28Y</t>
        </is>
      </c>
      <c r="E1451" t="inlineStr">
        <is>
          <t>EBIT estimate FY2028</t>
        </is>
      </c>
      <c r="F1451" s="53">
        <f>_xll.BDP("MSI US Equity","BEST_EBIT","BEST_FPERIOD_OVERRIDE","28Y")</f>
        <v/>
      </c>
    </row>
    <row r="1452">
      <c r="A1452" t="inlineStr">
        <is>
          <t>AXON</t>
        </is>
      </c>
      <c r="B1452" t="inlineStr">
        <is>
          <t>AXON US Equity</t>
        </is>
      </c>
      <c r="C1452" t="inlineStr">
        <is>
          <t>PX_LAST</t>
        </is>
      </c>
      <c r="E1452" t="inlineStr">
        <is>
          <t>Last price</t>
        </is>
      </c>
      <c r="F1452" s="53">
        <f>_xll.BDP("AXON US Equity","PX_LAST")</f>
        <v/>
      </c>
    </row>
    <row r="1453">
      <c r="A1453" t="inlineStr">
        <is>
          <t>AXON</t>
        </is>
      </c>
      <c r="B1453" t="inlineStr">
        <is>
          <t>AXON US Equity</t>
        </is>
      </c>
      <c r="C1453" t="inlineStr">
        <is>
          <t>CUR_MKT_CAP</t>
        </is>
      </c>
      <c r="E1453" t="inlineStr">
        <is>
          <t>Market cap (raw)</t>
        </is>
      </c>
      <c r="F1453" s="53">
        <f>_xll.BDP("AXON US Equity","CUR_MKT_CAP")</f>
        <v/>
      </c>
    </row>
    <row r="1454">
      <c r="A1454" t="inlineStr">
        <is>
          <t>AXON</t>
        </is>
      </c>
      <c r="B1454" t="inlineStr">
        <is>
          <t>AXON US Equity</t>
        </is>
      </c>
      <c r="C1454" t="inlineStr">
        <is>
          <t>CHG_PCT_YTD</t>
        </is>
      </c>
      <c r="E1454" t="inlineStr">
        <is>
          <t>YTD price change %</t>
        </is>
      </c>
      <c r="F1454" s="53">
        <f>_xll.BDP("AXON US Equity","CHG_PCT_YTD")</f>
        <v/>
      </c>
    </row>
    <row r="1455">
      <c r="A1455" t="inlineStr">
        <is>
          <t>AXON</t>
        </is>
      </c>
      <c r="B1455" t="inlineStr">
        <is>
          <t>AXON US Equity</t>
        </is>
      </c>
      <c r="C1455" t="inlineStr">
        <is>
          <t>NET_DEBT_TO_EBITDA</t>
        </is>
      </c>
      <c r="E1455" t="inlineStr">
        <is>
          <t>Net debt / EBITDA</t>
        </is>
      </c>
      <c r="F1455" s="53">
        <f>_xll.BDP("AXON US Equity","NET_DEBT_TO_EBITDA")</f>
        <v/>
      </c>
    </row>
    <row r="1456">
      <c r="A1456" t="inlineStr">
        <is>
          <t>AXON</t>
        </is>
      </c>
      <c r="B1456" t="inlineStr">
        <is>
          <t>AXON US Equity</t>
        </is>
      </c>
      <c r="C1456" t="inlineStr">
        <is>
          <t>RETURN_ON_INV_CAPITAL</t>
        </is>
      </c>
      <c r="E1456" t="inlineStr">
        <is>
          <t>ROIC (LTM)</t>
        </is>
      </c>
      <c r="F1456" s="53">
        <f>_xll.BDP("AXON US Equity","RETURN_ON_INV_CAPITAL")</f>
        <v/>
      </c>
    </row>
    <row r="1457">
      <c r="A1457" t="inlineStr">
        <is>
          <t>AXON</t>
        </is>
      </c>
      <c r="B1457" t="inlineStr">
        <is>
          <t>AXON US Equity</t>
        </is>
      </c>
      <c r="C1457" t="inlineStr">
        <is>
          <t>TRAIL_12M_OPER_INC</t>
        </is>
      </c>
      <c r="E1457" t="inlineStr">
        <is>
          <t>LTM operating income</t>
        </is>
      </c>
      <c r="F1457" s="53">
        <f>_xll.BDP("AXON US Equity","TRAIL_12M_OPER_INC")</f>
        <v/>
      </c>
    </row>
    <row r="1458">
      <c r="A1458" t="inlineStr">
        <is>
          <t>AXON</t>
        </is>
      </c>
      <c r="B1458" t="inlineStr">
        <is>
          <t>AXON US Equity</t>
        </is>
      </c>
      <c r="C1458" t="inlineStr">
        <is>
          <t>TRAIL_12M_EBITDA</t>
        </is>
      </c>
      <c r="E1458" t="inlineStr">
        <is>
          <t>LTM EBITDA</t>
        </is>
      </c>
      <c r="F1458" s="53">
        <f>_xll.BDP("AXON US Equity","TRAIL_12M_EBITDA")</f>
        <v/>
      </c>
    </row>
    <row r="1459">
      <c r="A1459" t="inlineStr">
        <is>
          <t>AXON</t>
        </is>
      </c>
      <c r="B1459" t="inlineStr">
        <is>
          <t>AXON US Equity</t>
        </is>
      </c>
      <c r="C1459" t="inlineStr">
        <is>
          <t>SHORT_AND_LONG_TERM_DEBT</t>
        </is>
      </c>
      <c r="E1459" t="inlineStr">
        <is>
          <t>Total debt</t>
        </is>
      </c>
      <c r="F1459" s="53">
        <f>_xll.BDP("AXON US Equity","SHORT_AND_LONG_TERM_DEBT")</f>
        <v/>
      </c>
    </row>
    <row r="1460">
      <c r="A1460" t="inlineStr">
        <is>
          <t>AXON</t>
        </is>
      </c>
      <c r="B1460" t="inlineStr">
        <is>
          <t>AXON US Equity</t>
        </is>
      </c>
      <c r="C1460" t="inlineStr">
        <is>
          <t>TOTAL_EQUITY</t>
        </is>
      </c>
      <c r="E1460" t="inlineStr">
        <is>
          <t>Total equity</t>
        </is>
      </c>
      <c r="F1460" s="53">
        <f>_xll.BDP("AXON US Equity","TOTAL_EQUITY")</f>
        <v/>
      </c>
    </row>
    <row r="1461">
      <c r="A1461" t="inlineStr">
        <is>
          <t>AXON</t>
        </is>
      </c>
      <c r="B1461" t="inlineStr">
        <is>
          <t>AXON US Equity</t>
        </is>
      </c>
      <c r="C1461" t="inlineStr">
        <is>
          <t>BS_CASH_NEAR_CASH_ITEM</t>
        </is>
      </c>
      <c r="E1461" t="inlineStr">
        <is>
          <t>Cash &amp; equivalents</t>
        </is>
      </c>
      <c r="F1461" s="53">
        <f>_xll.BDP("AXON US Equity","BS_CASH_NEAR_CASH_ITEM")</f>
        <v/>
      </c>
    </row>
    <row r="1462">
      <c r="A1462" t="inlineStr">
        <is>
          <t>AXON</t>
        </is>
      </c>
      <c r="B1462" t="inlineStr">
        <is>
          <t>AXON US Equity</t>
        </is>
      </c>
      <c r="C1462" t="inlineStr">
        <is>
          <t>BEST_EPS</t>
        </is>
      </c>
      <c r="D1462" t="inlineStr">
        <is>
          <t>24Y</t>
        </is>
      </c>
      <c r="E1462" t="inlineStr">
        <is>
          <t>EPS estimate FY2024</t>
        </is>
      </c>
      <c r="F1462" s="53">
        <f>_xll.BDP("AXON US Equity","BEST_EPS","BEST_FPERIOD_OVERRIDE","24Y")</f>
        <v/>
      </c>
    </row>
    <row r="1463">
      <c r="A1463" t="inlineStr">
        <is>
          <t>AXON</t>
        </is>
      </c>
      <c r="B1463" t="inlineStr">
        <is>
          <t>AXON US Equity</t>
        </is>
      </c>
      <c r="C1463" t="inlineStr">
        <is>
          <t>BEST_SALES</t>
        </is>
      </c>
      <c r="D1463" t="inlineStr">
        <is>
          <t>24Y</t>
        </is>
      </c>
      <c r="E1463" t="inlineStr">
        <is>
          <t>Revenue estimate FY2024</t>
        </is>
      </c>
      <c r="F1463" s="53">
        <f>_xll.BDP("AXON US Equity","BEST_SALES","BEST_FPERIOD_OVERRIDE","24Y")</f>
        <v/>
      </c>
    </row>
    <row r="1464">
      <c r="A1464" t="inlineStr">
        <is>
          <t>AXON</t>
        </is>
      </c>
      <c r="B1464" t="inlineStr">
        <is>
          <t>AXON US Equity</t>
        </is>
      </c>
      <c r="C1464" t="inlineStr">
        <is>
          <t>BEST_EBIT</t>
        </is>
      </c>
      <c r="D1464" t="inlineStr">
        <is>
          <t>24Y</t>
        </is>
      </c>
      <c r="E1464" t="inlineStr">
        <is>
          <t>EBIT estimate FY2024</t>
        </is>
      </c>
      <c r="F1464" s="53">
        <f>_xll.BDP("AXON US Equity","BEST_EBIT","BEST_FPERIOD_OVERRIDE","24Y")</f>
        <v/>
      </c>
    </row>
    <row r="1465">
      <c r="A1465" t="inlineStr">
        <is>
          <t>AXON</t>
        </is>
      </c>
      <c r="B1465" t="inlineStr">
        <is>
          <t>AXON US Equity</t>
        </is>
      </c>
      <c r="C1465" t="inlineStr">
        <is>
          <t>BEST_EPS</t>
        </is>
      </c>
      <c r="D1465" t="inlineStr">
        <is>
          <t>25Y</t>
        </is>
      </c>
      <c r="E1465" t="inlineStr">
        <is>
          <t>EPS estimate FY2025</t>
        </is>
      </c>
      <c r="F1465" s="53">
        <f>_xll.BDP("AXON US Equity","BEST_EPS","BEST_FPERIOD_OVERRIDE","25Y")</f>
        <v/>
      </c>
    </row>
    <row r="1466">
      <c r="A1466" t="inlineStr">
        <is>
          <t>AXON</t>
        </is>
      </c>
      <c r="B1466" t="inlineStr">
        <is>
          <t>AXON US Equity</t>
        </is>
      </c>
      <c r="C1466" t="inlineStr">
        <is>
          <t>BEST_SALES</t>
        </is>
      </c>
      <c r="D1466" t="inlineStr">
        <is>
          <t>25Y</t>
        </is>
      </c>
      <c r="E1466" t="inlineStr">
        <is>
          <t>Revenue estimate FY2025</t>
        </is>
      </c>
      <c r="F1466" s="53">
        <f>_xll.BDP("AXON US Equity","BEST_SALES","BEST_FPERIOD_OVERRIDE","25Y")</f>
        <v/>
      </c>
    </row>
    <row r="1467">
      <c r="A1467" t="inlineStr">
        <is>
          <t>AXON</t>
        </is>
      </c>
      <c r="B1467" t="inlineStr">
        <is>
          <t>AXON US Equity</t>
        </is>
      </c>
      <c r="C1467" t="inlineStr">
        <is>
          <t>BEST_EBIT</t>
        </is>
      </c>
      <c r="D1467" t="inlineStr">
        <is>
          <t>25Y</t>
        </is>
      </c>
      <c r="E1467" t="inlineStr">
        <is>
          <t>EBIT estimate FY2025</t>
        </is>
      </c>
      <c r="F1467" s="53">
        <f>_xll.BDP("AXON US Equity","BEST_EBIT","BEST_FPERIOD_OVERRIDE","25Y")</f>
        <v/>
      </c>
    </row>
    <row r="1468">
      <c r="A1468" t="inlineStr">
        <is>
          <t>AXON</t>
        </is>
      </c>
      <c r="B1468" t="inlineStr">
        <is>
          <t>AXON US Equity</t>
        </is>
      </c>
      <c r="C1468" t="inlineStr">
        <is>
          <t>BEST_EPS</t>
        </is>
      </c>
      <c r="D1468" t="inlineStr">
        <is>
          <t>26Y</t>
        </is>
      </c>
      <c r="E1468" t="inlineStr">
        <is>
          <t>EPS estimate FY2026</t>
        </is>
      </c>
      <c r="F1468" s="53">
        <f>_xll.BDP("AXON US Equity","BEST_EPS","BEST_FPERIOD_OVERRIDE","26Y")</f>
        <v/>
      </c>
    </row>
    <row r="1469">
      <c r="A1469" t="inlineStr">
        <is>
          <t>AXON</t>
        </is>
      </c>
      <c r="B1469" t="inlineStr">
        <is>
          <t>AXON US Equity</t>
        </is>
      </c>
      <c r="C1469" t="inlineStr">
        <is>
          <t>BEST_SALES</t>
        </is>
      </c>
      <c r="D1469" t="inlineStr">
        <is>
          <t>26Y</t>
        </is>
      </c>
      <c r="E1469" t="inlineStr">
        <is>
          <t>Revenue estimate FY2026</t>
        </is>
      </c>
      <c r="F1469" s="53">
        <f>_xll.BDP("AXON US Equity","BEST_SALES","BEST_FPERIOD_OVERRIDE","26Y")</f>
        <v/>
      </c>
    </row>
    <row r="1470">
      <c r="A1470" t="inlineStr">
        <is>
          <t>AXON</t>
        </is>
      </c>
      <c r="B1470" t="inlineStr">
        <is>
          <t>AXON US Equity</t>
        </is>
      </c>
      <c r="C1470" t="inlineStr">
        <is>
          <t>BEST_EBIT</t>
        </is>
      </c>
      <c r="D1470" t="inlineStr">
        <is>
          <t>26Y</t>
        </is>
      </c>
      <c r="E1470" t="inlineStr">
        <is>
          <t>EBIT estimate FY2026</t>
        </is>
      </c>
      <c r="F1470" s="53">
        <f>_xll.BDP("AXON US Equity","BEST_EBIT","BEST_FPERIOD_OVERRIDE","26Y")</f>
        <v/>
      </c>
    </row>
    <row r="1471">
      <c r="A1471" t="inlineStr">
        <is>
          <t>AXON</t>
        </is>
      </c>
      <c r="B1471" t="inlineStr">
        <is>
          <t>AXON US Equity</t>
        </is>
      </c>
      <c r="C1471" t="inlineStr">
        <is>
          <t>BEST_EPS</t>
        </is>
      </c>
      <c r="D1471" t="inlineStr">
        <is>
          <t>27Y</t>
        </is>
      </c>
      <c r="E1471" t="inlineStr">
        <is>
          <t>EPS estimate FY2027</t>
        </is>
      </c>
      <c r="F1471" s="53">
        <f>_xll.BDP("AXON US Equity","BEST_EPS","BEST_FPERIOD_OVERRIDE","27Y")</f>
        <v/>
      </c>
    </row>
    <row r="1472">
      <c r="A1472" t="inlineStr">
        <is>
          <t>AXON</t>
        </is>
      </c>
      <c r="B1472" t="inlineStr">
        <is>
          <t>AXON US Equity</t>
        </is>
      </c>
      <c r="C1472" t="inlineStr">
        <is>
          <t>BEST_SALES</t>
        </is>
      </c>
      <c r="D1472" t="inlineStr">
        <is>
          <t>27Y</t>
        </is>
      </c>
      <c r="E1472" t="inlineStr">
        <is>
          <t>Revenue estimate FY2027</t>
        </is>
      </c>
      <c r="F1472" s="53">
        <f>_xll.BDP("AXON US Equity","BEST_SALES","BEST_FPERIOD_OVERRIDE","27Y")</f>
        <v/>
      </c>
    </row>
    <row r="1473">
      <c r="A1473" t="inlineStr">
        <is>
          <t>AXON</t>
        </is>
      </c>
      <c r="B1473" t="inlineStr">
        <is>
          <t>AXON US Equity</t>
        </is>
      </c>
      <c r="C1473" t="inlineStr">
        <is>
          <t>BEST_EBIT</t>
        </is>
      </c>
      <c r="D1473" t="inlineStr">
        <is>
          <t>27Y</t>
        </is>
      </c>
      <c r="E1473" t="inlineStr">
        <is>
          <t>EBIT estimate FY2027</t>
        </is>
      </c>
      <c r="F1473" s="53">
        <f>_xll.BDP("AXON US Equity","BEST_EBIT","BEST_FPERIOD_OVERRIDE","27Y")</f>
        <v/>
      </c>
    </row>
    <row r="1474">
      <c r="A1474" t="inlineStr">
        <is>
          <t>AXON</t>
        </is>
      </c>
      <c r="B1474" t="inlineStr">
        <is>
          <t>AXON US Equity</t>
        </is>
      </c>
      <c r="C1474" t="inlineStr">
        <is>
          <t>BEST_EPS</t>
        </is>
      </c>
      <c r="D1474" t="inlineStr">
        <is>
          <t>28Y</t>
        </is>
      </c>
      <c r="E1474" t="inlineStr">
        <is>
          <t>EPS estimate FY2028</t>
        </is>
      </c>
      <c r="F1474" s="53">
        <f>_xll.BDP("AXON US Equity","BEST_EPS","BEST_FPERIOD_OVERRIDE","28Y")</f>
        <v/>
      </c>
    </row>
    <row r="1475">
      <c r="A1475" t="inlineStr">
        <is>
          <t>AXON</t>
        </is>
      </c>
      <c r="B1475" t="inlineStr">
        <is>
          <t>AXON US Equity</t>
        </is>
      </c>
      <c r="C1475" t="inlineStr">
        <is>
          <t>BEST_SALES</t>
        </is>
      </c>
      <c r="D1475" t="inlineStr">
        <is>
          <t>28Y</t>
        </is>
      </c>
      <c r="E1475" t="inlineStr">
        <is>
          <t>Revenue estimate FY2028</t>
        </is>
      </c>
      <c r="F1475" s="53">
        <f>_xll.BDP("AXON US Equity","BEST_SALES","BEST_FPERIOD_OVERRIDE","28Y")</f>
        <v/>
      </c>
    </row>
    <row r="1476">
      <c r="A1476" t="inlineStr">
        <is>
          <t>AXON</t>
        </is>
      </c>
      <c r="B1476" t="inlineStr">
        <is>
          <t>AXON US Equity</t>
        </is>
      </c>
      <c r="C1476" t="inlineStr">
        <is>
          <t>BEST_EBIT</t>
        </is>
      </c>
      <c r="D1476" t="inlineStr">
        <is>
          <t>28Y</t>
        </is>
      </c>
      <c r="E1476" t="inlineStr">
        <is>
          <t>EBIT estimate FY2028</t>
        </is>
      </c>
      <c r="F1476" s="53">
        <f>_xll.BDP("AXON US Equity","BEST_EBIT","BEST_FPERIOD_OVERRIDE","28Y")</f>
        <v/>
      </c>
    </row>
    <row r="1477">
      <c r="A1477" t="inlineStr">
        <is>
          <t>VMC</t>
        </is>
      </c>
      <c r="B1477" t="inlineStr">
        <is>
          <t>VMC US Equity</t>
        </is>
      </c>
      <c r="C1477" t="inlineStr">
        <is>
          <t>PX_LAST</t>
        </is>
      </c>
      <c r="E1477" t="inlineStr">
        <is>
          <t>Last price</t>
        </is>
      </c>
      <c r="F1477" s="53">
        <f>_xll.BDP("VMC US Equity","PX_LAST")</f>
        <v/>
      </c>
    </row>
    <row r="1478">
      <c r="A1478" t="inlineStr">
        <is>
          <t>VMC</t>
        </is>
      </c>
      <c r="B1478" t="inlineStr">
        <is>
          <t>VMC US Equity</t>
        </is>
      </c>
      <c r="C1478" t="inlineStr">
        <is>
          <t>CUR_MKT_CAP</t>
        </is>
      </c>
      <c r="E1478" t="inlineStr">
        <is>
          <t>Market cap (raw)</t>
        </is>
      </c>
      <c r="F1478" s="53">
        <f>_xll.BDP("VMC US Equity","CUR_MKT_CAP")</f>
        <v/>
      </c>
    </row>
    <row r="1479">
      <c r="A1479" t="inlineStr">
        <is>
          <t>VMC</t>
        </is>
      </c>
      <c r="B1479" t="inlineStr">
        <is>
          <t>VMC US Equity</t>
        </is>
      </c>
      <c r="C1479" t="inlineStr">
        <is>
          <t>CHG_PCT_YTD</t>
        </is>
      </c>
      <c r="E1479" t="inlineStr">
        <is>
          <t>YTD price change %</t>
        </is>
      </c>
      <c r="F1479" s="53">
        <f>_xll.BDP("VMC US Equity","CHG_PCT_YTD")</f>
        <v/>
      </c>
    </row>
    <row r="1480">
      <c r="A1480" t="inlineStr">
        <is>
          <t>VMC</t>
        </is>
      </c>
      <c r="B1480" t="inlineStr">
        <is>
          <t>VMC US Equity</t>
        </is>
      </c>
      <c r="C1480" t="inlineStr">
        <is>
          <t>NET_DEBT_TO_EBITDA</t>
        </is>
      </c>
      <c r="E1480" t="inlineStr">
        <is>
          <t>Net debt / EBITDA</t>
        </is>
      </c>
      <c r="F1480" s="53">
        <f>_xll.BDP("VMC US Equity","NET_DEBT_TO_EBITDA")</f>
        <v/>
      </c>
    </row>
    <row r="1481">
      <c r="A1481" t="inlineStr">
        <is>
          <t>VMC</t>
        </is>
      </c>
      <c r="B1481" t="inlineStr">
        <is>
          <t>VMC US Equity</t>
        </is>
      </c>
      <c r="C1481" t="inlineStr">
        <is>
          <t>RETURN_ON_INV_CAPITAL</t>
        </is>
      </c>
      <c r="E1481" t="inlineStr">
        <is>
          <t>ROIC (LTM)</t>
        </is>
      </c>
      <c r="F1481" s="53">
        <f>_xll.BDP("VMC US Equity","RETURN_ON_INV_CAPITAL")</f>
        <v/>
      </c>
    </row>
    <row r="1482">
      <c r="A1482" t="inlineStr">
        <is>
          <t>VMC</t>
        </is>
      </c>
      <c r="B1482" t="inlineStr">
        <is>
          <t>VMC US Equity</t>
        </is>
      </c>
      <c r="C1482" t="inlineStr">
        <is>
          <t>TRAIL_12M_OPER_INC</t>
        </is>
      </c>
      <c r="E1482" t="inlineStr">
        <is>
          <t>LTM operating income</t>
        </is>
      </c>
      <c r="F1482" s="53">
        <f>_xll.BDP("VMC US Equity","TRAIL_12M_OPER_INC")</f>
        <v/>
      </c>
    </row>
    <row r="1483">
      <c r="A1483" t="inlineStr">
        <is>
          <t>VMC</t>
        </is>
      </c>
      <c r="B1483" t="inlineStr">
        <is>
          <t>VMC US Equity</t>
        </is>
      </c>
      <c r="C1483" t="inlineStr">
        <is>
          <t>TRAIL_12M_EBITDA</t>
        </is>
      </c>
      <c r="E1483" t="inlineStr">
        <is>
          <t>LTM EBITDA</t>
        </is>
      </c>
      <c r="F1483" s="53">
        <f>_xll.BDP("VMC US Equity","TRAIL_12M_EBITDA")</f>
        <v/>
      </c>
    </row>
    <row r="1484">
      <c r="A1484" t="inlineStr">
        <is>
          <t>VMC</t>
        </is>
      </c>
      <c r="B1484" t="inlineStr">
        <is>
          <t>VMC US Equity</t>
        </is>
      </c>
      <c r="C1484" t="inlineStr">
        <is>
          <t>SHORT_AND_LONG_TERM_DEBT</t>
        </is>
      </c>
      <c r="E1484" t="inlineStr">
        <is>
          <t>Total debt</t>
        </is>
      </c>
      <c r="F1484" s="53">
        <f>_xll.BDP("VMC US Equity","SHORT_AND_LONG_TERM_DEBT")</f>
        <v/>
      </c>
    </row>
    <row r="1485">
      <c r="A1485" t="inlineStr">
        <is>
          <t>VMC</t>
        </is>
      </c>
      <c r="B1485" t="inlineStr">
        <is>
          <t>VMC US Equity</t>
        </is>
      </c>
      <c r="C1485" t="inlineStr">
        <is>
          <t>TOTAL_EQUITY</t>
        </is>
      </c>
      <c r="E1485" t="inlineStr">
        <is>
          <t>Total equity</t>
        </is>
      </c>
      <c r="F1485" s="53">
        <f>_xll.BDP("VMC US Equity","TOTAL_EQUITY")</f>
        <v/>
      </c>
    </row>
    <row r="1486">
      <c r="A1486" t="inlineStr">
        <is>
          <t>VMC</t>
        </is>
      </c>
      <c r="B1486" t="inlineStr">
        <is>
          <t>VMC US Equity</t>
        </is>
      </c>
      <c r="C1486" t="inlineStr">
        <is>
          <t>BS_CASH_NEAR_CASH_ITEM</t>
        </is>
      </c>
      <c r="E1486" t="inlineStr">
        <is>
          <t>Cash &amp; equivalents</t>
        </is>
      </c>
      <c r="F1486" s="53">
        <f>_xll.BDP("VMC US Equity","BS_CASH_NEAR_CASH_ITEM")</f>
        <v/>
      </c>
    </row>
    <row r="1487">
      <c r="A1487" t="inlineStr">
        <is>
          <t>VMC</t>
        </is>
      </c>
      <c r="B1487" t="inlineStr">
        <is>
          <t>VMC US Equity</t>
        </is>
      </c>
      <c r="C1487" t="inlineStr">
        <is>
          <t>BEST_EPS</t>
        </is>
      </c>
      <c r="D1487" t="inlineStr">
        <is>
          <t>24Y</t>
        </is>
      </c>
      <c r="E1487" t="inlineStr">
        <is>
          <t>EPS estimate FY2024</t>
        </is>
      </c>
      <c r="F1487" s="53">
        <f>_xll.BDP("VMC US Equity","BEST_EPS","BEST_FPERIOD_OVERRIDE","24Y")</f>
        <v/>
      </c>
    </row>
    <row r="1488">
      <c r="A1488" t="inlineStr">
        <is>
          <t>VMC</t>
        </is>
      </c>
      <c r="B1488" t="inlineStr">
        <is>
          <t>VMC US Equity</t>
        </is>
      </c>
      <c r="C1488" t="inlineStr">
        <is>
          <t>BEST_SALES</t>
        </is>
      </c>
      <c r="D1488" t="inlineStr">
        <is>
          <t>24Y</t>
        </is>
      </c>
      <c r="E1488" t="inlineStr">
        <is>
          <t>Revenue estimate FY2024</t>
        </is>
      </c>
      <c r="F1488" s="53">
        <f>_xll.BDP("VMC US Equity","BEST_SALES","BEST_FPERIOD_OVERRIDE","24Y")</f>
        <v/>
      </c>
    </row>
    <row r="1489">
      <c r="A1489" t="inlineStr">
        <is>
          <t>VMC</t>
        </is>
      </c>
      <c r="B1489" t="inlineStr">
        <is>
          <t>VMC US Equity</t>
        </is>
      </c>
      <c r="C1489" t="inlineStr">
        <is>
          <t>BEST_EBIT</t>
        </is>
      </c>
      <c r="D1489" t="inlineStr">
        <is>
          <t>24Y</t>
        </is>
      </c>
      <c r="E1489" t="inlineStr">
        <is>
          <t>EBIT estimate FY2024</t>
        </is>
      </c>
      <c r="F1489" s="53">
        <f>_xll.BDP("VMC US Equity","BEST_EBIT","BEST_FPERIOD_OVERRIDE","24Y")</f>
        <v/>
      </c>
    </row>
    <row r="1490">
      <c r="A1490" t="inlineStr">
        <is>
          <t>VMC</t>
        </is>
      </c>
      <c r="B1490" t="inlineStr">
        <is>
          <t>VMC US Equity</t>
        </is>
      </c>
      <c r="C1490" t="inlineStr">
        <is>
          <t>BEST_EPS</t>
        </is>
      </c>
      <c r="D1490" t="inlineStr">
        <is>
          <t>25Y</t>
        </is>
      </c>
      <c r="E1490" t="inlineStr">
        <is>
          <t>EPS estimate FY2025</t>
        </is>
      </c>
      <c r="F1490" s="53">
        <f>_xll.BDP("VMC US Equity","BEST_EPS","BEST_FPERIOD_OVERRIDE","25Y")</f>
        <v/>
      </c>
    </row>
    <row r="1491">
      <c r="A1491" t="inlineStr">
        <is>
          <t>VMC</t>
        </is>
      </c>
      <c r="B1491" t="inlineStr">
        <is>
          <t>VMC US Equity</t>
        </is>
      </c>
      <c r="C1491" t="inlineStr">
        <is>
          <t>BEST_SALES</t>
        </is>
      </c>
      <c r="D1491" t="inlineStr">
        <is>
          <t>25Y</t>
        </is>
      </c>
      <c r="E1491" t="inlineStr">
        <is>
          <t>Revenue estimate FY2025</t>
        </is>
      </c>
      <c r="F1491" s="53">
        <f>_xll.BDP("VMC US Equity","BEST_SALES","BEST_FPERIOD_OVERRIDE","25Y")</f>
        <v/>
      </c>
    </row>
    <row r="1492">
      <c r="A1492" t="inlineStr">
        <is>
          <t>VMC</t>
        </is>
      </c>
      <c r="B1492" t="inlineStr">
        <is>
          <t>VMC US Equity</t>
        </is>
      </c>
      <c r="C1492" t="inlineStr">
        <is>
          <t>BEST_EBIT</t>
        </is>
      </c>
      <c r="D1492" t="inlineStr">
        <is>
          <t>25Y</t>
        </is>
      </c>
      <c r="E1492" t="inlineStr">
        <is>
          <t>EBIT estimate FY2025</t>
        </is>
      </c>
      <c r="F1492" s="53">
        <f>_xll.BDP("VMC US Equity","BEST_EBIT","BEST_FPERIOD_OVERRIDE","25Y")</f>
        <v/>
      </c>
    </row>
    <row r="1493">
      <c r="A1493" t="inlineStr">
        <is>
          <t>VMC</t>
        </is>
      </c>
      <c r="B1493" t="inlineStr">
        <is>
          <t>VMC US Equity</t>
        </is>
      </c>
      <c r="C1493" t="inlineStr">
        <is>
          <t>BEST_EPS</t>
        </is>
      </c>
      <c r="D1493" t="inlineStr">
        <is>
          <t>26Y</t>
        </is>
      </c>
      <c r="E1493" t="inlineStr">
        <is>
          <t>EPS estimate FY2026</t>
        </is>
      </c>
      <c r="F1493" s="53">
        <f>_xll.BDP("VMC US Equity","BEST_EPS","BEST_FPERIOD_OVERRIDE","26Y")</f>
        <v/>
      </c>
    </row>
    <row r="1494">
      <c r="A1494" t="inlineStr">
        <is>
          <t>VMC</t>
        </is>
      </c>
      <c r="B1494" t="inlineStr">
        <is>
          <t>VMC US Equity</t>
        </is>
      </c>
      <c r="C1494" t="inlineStr">
        <is>
          <t>BEST_SALES</t>
        </is>
      </c>
      <c r="D1494" t="inlineStr">
        <is>
          <t>26Y</t>
        </is>
      </c>
      <c r="E1494" t="inlineStr">
        <is>
          <t>Revenue estimate FY2026</t>
        </is>
      </c>
      <c r="F1494" s="53">
        <f>_xll.BDP("VMC US Equity","BEST_SALES","BEST_FPERIOD_OVERRIDE","26Y")</f>
        <v/>
      </c>
    </row>
    <row r="1495">
      <c r="A1495" t="inlineStr">
        <is>
          <t>VMC</t>
        </is>
      </c>
      <c r="B1495" t="inlineStr">
        <is>
          <t>VMC US Equity</t>
        </is>
      </c>
      <c r="C1495" t="inlineStr">
        <is>
          <t>BEST_EBIT</t>
        </is>
      </c>
      <c r="D1495" t="inlineStr">
        <is>
          <t>26Y</t>
        </is>
      </c>
      <c r="E1495" t="inlineStr">
        <is>
          <t>EBIT estimate FY2026</t>
        </is>
      </c>
      <c r="F1495" s="53">
        <f>_xll.BDP("VMC US Equity","BEST_EBIT","BEST_FPERIOD_OVERRIDE","26Y")</f>
        <v/>
      </c>
    </row>
    <row r="1496">
      <c r="A1496" t="inlineStr">
        <is>
          <t>VMC</t>
        </is>
      </c>
      <c r="B1496" t="inlineStr">
        <is>
          <t>VMC US Equity</t>
        </is>
      </c>
      <c r="C1496" t="inlineStr">
        <is>
          <t>BEST_EPS</t>
        </is>
      </c>
      <c r="D1496" t="inlineStr">
        <is>
          <t>27Y</t>
        </is>
      </c>
      <c r="E1496" t="inlineStr">
        <is>
          <t>EPS estimate FY2027</t>
        </is>
      </c>
      <c r="F1496" s="53">
        <f>_xll.BDP("VMC US Equity","BEST_EPS","BEST_FPERIOD_OVERRIDE","27Y")</f>
        <v/>
      </c>
    </row>
    <row r="1497">
      <c r="A1497" t="inlineStr">
        <is>
          <t>VMC</t>
        </is>
      </c>
      <c r="B1497" t="inlineStr">
        <is>
          <t>VMC US Equity</t>
        </is>
      </c>
      <c r="C1497" t="inlineStr">
        <is>
          <t>BEST_SALES</t>
        </is>
      </c>
      <c r="D1497" t="inlineStr">
        <is>
          <t>27Y</t>
        </is>
      </c>
      <c r="E1497" t="inlineStr">
        <is>
          <t>Revenue estimate FY2027</t>
        </is>
      </c>
      <c r="F1497" s="53">
        <f>_xll.BDP("VMC US Equity","BEST_SALES","BEST_FPERIOD_OVERRIDE","27Y")</f>
        <v/>
      </c>
    </row>
    <row r="1498">
      <c r="A1498" t="inlineStr">
        <is>
          <t>VMC</t>
        </is>
      </c>
      <c r="B1498" t="inlineStr">
        <is>
          <t>VMC US Equity</t>
        </is>
      </c>
      <c r="C1498" t="inlineStr">
        <is>
          <t>BEST_EBIT</t>
        </is>
      </c>
      <c r="D1498" t="inlineStr">
        <is>
          <t>27Y</t>
        </is>
      </c>
      <c r="E1498" t="inlineStr">
        <is>
          <t>EBIT estimate FY2027</t>
        </is>
      </c>
      <c r="F1498" s="53">
        <f>_xll.BDP("VMC US Equity","BEST_EBIT","BEST_FPERIOD_OVERRIDE","27Y")</f>
        <v/>
      </c>
    </row>
    <row r="1499">
      <c r="A1499" t="inlineStr">
        <is>
          <t>VMC</t>
        </is>
      </c>
      <c r="B1499" t="inlineStr">
        <is>
          <t>VMC US Equity</t>
        </is>
      </c>
      <c r="C1499" t="inlineStr">
        <is>
          <t>BEST_EPS</t>
        </is>
      </c>
      <c r="D1499" t="inlineStr">
        <is>
          <t>28Y</t>
        </is>
      </c>
      <c r="E1499" t="inlineStr">
        <is>
          <t>EPS estimate FY2028</t>
        </is>
      </c>
      <c r="F1499" s="53">
        <f>_xll.BDP("VMC US Equity","BEST_EPS","BEST_FPERIOD_OVERRIDE","28Y")</f>
        <v/>
      </c>
    </row>
    <row r="1500">
      <c r="A1500" t="inlineStr">
        <is>
          <t>VMC</t>
        </is>
      </c>
      <c r="B1500" t="inlineStr">
        <is>
          <t>VMC US Equity</t>
        </is>
      </c>
      <c r="C1500" t="inlineStr">
        <is>
          <t>BEST_SALES</t>
        </is>
      </c>
      <c r="D1500" t="inlineStr">
        <is>
          <t>28Y</t>
        </is>
      </c>
      <c r="E1500" t="inlineStr">
        <is>
          <t>Revenue estimate FY2028</t>
        </is>
      </c>
      <c r="F1500" s="53">
        <f>_xll.BDP("VMC US Equity","BEST_SALES","BEST_FPERIOD_OVERRIDE","28Y")</f>
        <v/>
      </c>
    </row>
    <row r="1501">
      <c r="A1501" t="inlineStr">
        <is>
          <t>VMC</t>
        </is>
      </c>
      <c r="B1501" t="inlineStr">
        <is>
          <t>VMC US Equity</t>
        </is>
      </c>
      <c r="C1501" t="inlineStr">
        <is>
          <t>BEST_EBIT</t>
        </is>
      </c>
      <c r="D1501" t="inlineStr">
        <is>
          <t>28Y</t>
        </is>
      </c>
      <c r="E1501" t="inlineStr">
        <is>
          <t>EBIT estimate FY2028</t>
        </is>
      </c>
      <c r="F1501" s="53">
        <f>_xll.BDP("VMC US Equity","BEST_EBIT","BEST_FPERIOD_OVERRIDE","28Y")</f>
        <v/>
      </c>
    </row>
    <row r="1502">
      <c r="A1502" t="inlineStr">
        <is>
          <t>CRH</t>
        </is>
      </c>
      <c r="B1502" t="inlineStr">
        <is>
          <t>CRH US Equity</t>
        </is>
      </c>
      <c r="C1502" t="inlineStr">
        <is>
          <t>PX_LAST</t>
        </is>
      </c>
      <c r="E1502" t="inlineStr">
        <is>
          <t>Last price</t>
        </is>
      </c>
      <c r="F1502" s="53">
        <f>_xll.BDP("CRH US Equity","PX_LAST")</f>
        <v/>
      </c>
    </row>
    <row r="1503">
      <c r="A1503" t="inlineStr">
        <is>
          <t>CRH</t>
        </is>
      </c>
      <c r="B1503" t="inlineStr">
        <is>
          <t>CRH US Equity</t>
        </is>
      </c>
      <c r="C1503" t="inlineStr">
        <is>
          <t>CUR_MKT_CAP</t>
        </is>
      </c>
      <c r="E1503" t="inlineStr">
        <is>
          <t>Market cap (raw)</t>
        </is>
      </c>
      <c r="F1503" s="53">
        <f>_xll.BDP("CRH US Equity","CUR_MKT_CAP")</f>
        <v/>
      </c>
    </row>
    <row r="1504">
      <c r="A1504" t="inlineStr">
        <is>
          <t>CRH</t>
        </is>
      </c>
      <c r="B1504" t="inlineStr">
        <is>
          <t>CRH US Equity</t>
        </is>
      </c>
      <c r="C1504" t="inlineStr">
        <is>
          <t>CHG_PCT_YTD</t>
        </is>
      </c>
      <c r="E1504" t="inlineStr">
        <is>
          <t>YTD price change %</t>
        </is>
      </c>
      <c r="F1504" s="53">
        <f>_xll.BDP("CRH US Equity","CHG_PCT_YTD")</f>
        <v/>
      </c>
    </row>
    <row r="1505">
      <c r="A1505" t="inlineStr">
        <is>
          <t>CRH</t>
        </is>
      </c>
      <c r="B1505" t="inlineStr">
        <is>
          <t>CRH US Equity</t>
        </is>
      </c>
      <c r="C1505" t="inlineStr">
        <is>
          <t>NET_DEBT_TO_EBITDA</t>
        </is>
      </c>
      <c r="E1505" t="inlineStr">
        <is>
          <t>Net debt / EBITDA</t>
        </is>
      </c>
      <c r="F1505" s="53">
        <f>_xll.BDP("CRH US Equity","NET_DEBT_TO_EBITDA")</f>
        <v/>
      </c>
    </row>
    <row r="1506">
      <c r="A1506" t="inlineStr">
        <is>
          <t>CRH</t>
        </is>
      </c>
      <c r="B1506" t="inlineStr">
        <is>
          <t>CRH US Equity</t>
        </is>
      </c>
      <c r="C1506" t="inlineStr">
        <is>
          <t>RETURN_ON_INV_CAPITAL</t>
        </is>
      </c>
      <c r="E1506" t="inlineStr">
        <is>
          <t>ROIC (LTM)</t>
        </is>
      </c>
      <c r="F1506" s="53">
        <f>_xll.BDP("CRH US Equity","RETURN_ON_INV_CAPITAL")</f>
        <v/>
      </c>
    </row>
    <row r="1507">
      <c r="A1507" t="inlineStr">
        <is>
          <t>CRH</t>
        </is>
      </c>
      <c r="B1507" t="inlineStr">
        <is>
          <t>CRH US Equity</t>
        </is>
      </c>
      <c r="C1507" t="inlineStr">
        <is>
          <t>TRAIL_12M_OPER_INC</t>
        </is>
      </c>
      <c r="E1507" t="inlineStr">
        <is>
          <t>LTM operating income</t>
        </is>
      </c>
      <c r="F1507" s="53">
        <f>_xll.BDP("CRH US Equity","TRAIL_12M_OPER_INC")</f>
        <v/>
      </c>
    </row>
    <row r="1508">
      <c r="A1508" t="inlineStr">
        <is>
          <t>CRH</t>
        </is>
      </c>
      <c r="B1508" t="inlineStr">
        <is>
          <t>CRH US Equity</t>
        </is>
      </c>
      <c r="C1508" t="inlineStr">
        <is>
          <t>TRAIL_12M_EBITDA</t>
        </is>
      </c>
      <c r="E1508" t="inlineStr">
        <is>
          <t>LTM EBITDA</t>
        </is>
      </c>
      <c r="F1508" s="53">
        <f>_xll.BDP("CRH US Equity","TRAIL_12M_EBITDA")</f>
        <v/>
      </c>
    </row>
    <row r="1509">
      <c r="A1509" t="inlineStr">
        <is>
          <t>CRH</t>
        </is>
      </c>
      <c r="B1509" t="inlineStr">
        <is>
          <t>CRH US Equity</t>
        </is>
      </c>
      <c r="C1509" t="inlineStr">
        <is>
          <t>SHORT_AND_LONG_TERM_DEBT</t>
        </is>
      </c>
      <c r="E1509" t="inlineStr">
        <is>
          <t>Total debt</t>
        </is>
      </c>
      <c r="F1509" s="53">
        <f>_xll.BDP("CRH US Equity","SHORT_AND_LONG_TERM_DEBT")</f>
        <v/>
      </c>
    </row>
    <row r="1510">
      <c r="A1510" t="inlineStr">
        <is>
          <t>CRH</t>
        </is>
      </c>
      <c r="B1510" t="inlineStr">
        <is>
          <t>CRH US Equity</t>
        </is>
      </c>
      <c r="C1510" t="inlineStr">
        <is>
          <t>TOTAL_EQUITY</t>
        </is>
      </c>
      <c r="E1510" t="inlineStr">
        <is>
          <t>Total equity</t>
        </is>
      </c>
      <c r="F1510" s="53">
        <f>_xll.BDP("CRH US Equity","TOTAL_EQUITY")</f>
        <v/>
      </c>
    </row>
    <row r="1511">
      <c r="A1511" t="inlineStr">
        <is>
          <t>CRH</t>
        </is>
      </c>
      <c r="B1511" t="inlineStr">
        <is>
          <t>CRH US Equity</t>
        </is>
      </c>
      <c r="C1511" t="inlineStr">
        <is>
          <t>BS_CASH_NEAR_CASH_ITEM</t>
        </is>
      </c>
      <c r="E1511" t="inlineStr">
        <is>
          <t>Cash &amp; equivalents</t>
        </is>
      </c>
      <c r="F1511" s="53">
        <f>_xll.BDP("CRH US Equity","BS_CASH_NEAR_CASH_ITEM")</f>
        <v/>
      </c>
    </row>
    <row r="1512">
      <c r="A1512" t="inlineStr">
        <is>
          <t>CRH</t>
        </is>
      </c>
      <c r="B1512" t="inlineStr">
        <is>
          <t>CRH US Equity</t>
        </is>
      </c>
      <c r="C1512" t="inlineStr">
        <is>
          <t>BEST_EPS</t>
        </is>
      </c>
      <c r="D1512" t="inlineStr">
        <is>
          <t>24Y</t>
        </is>
      </c>
      <c r="E1512" t="inlineStr">
        <is>
          <t>EPS estimate FY2024</t>
        </is>
      </c>
      <c r="F1512" s="53">
        <f>_xll.BDP("CRH US Equity","BEST_EPS","BEST_FPERIOD_OVERRIDE","24Y")</f>
        <v/>
      </c>
    </row>
    <row r="1513">
      <c r="A1513" t="inlineStr">
        <is>
          <t>CRH</t>
        </is>
      </c>
      <c r="B1513" t="inlineStr">
        <is>
          <t>CRH US Equity</t>
        </is>
      </c>
      <c r="C1513" t="inlineStr">
        <is>
          <t>BEST_SALES</t>
        </is>
      </c>
      <c r="D1513" t="inlineStr">
        <is>
          <t>24Y</t>
        </is>
      </c>
      <c r="E1513" t="inlineStr">
        <is>
          <t>Revenue estimate FY2024</t>
        </is>
      </c>
      <c r="F1513" s="53">
        <f>_xll.BDP("CRH US Equity","BEST_SALES","BEST_FPERIOD_OVERRIDE","24Y")</f>
        <v/>
      </c>
    </row>
    <row r="1514">
      <c r="A1514" t="inlineStr">
        <is>
          <t>CRH</t>
        </is>
      </c>
      <c r="B1514" t="inlineStr">
        <is>
          <t>CRH US Equity</t>
        </is>
      </c>
      <c r="C1514" t="inlineStr">
        <is>
          <t>BEST_EBIT</t>
        </is>
      </c>
      <c r="D1514" t="inlineStr">
        <is>
          <t>24Y</t>
        </is>
      </c>
      <c r="E1514" t="inlineStr">
        <is>
          <t>EBIT estimate FY2024</t>
        </is>
      </c>
      <c r="F1514" s="53">
        <f>_xll.BDP("CRH US Equity","BEST_EBIT","BEST_FPERIOD_OVERRIDE","24Y")</f>
        <v/>
      </c>
    </row>
    <row r="1515">
      <c r="A1515" t="inlineStr">
        <is>
          <t>CRH</t>
        </is>
      </c>
      <c r="B1515" t="inlineStr">
        <is>
          <t>CRH US Equity</t>
        </is>
      </c>
      <c r="C1515" t="inlineStr">
        <is>
          <t>BEST_EPS</t>
        </is>
      </c>
      <c r="D1515" t="inlineStr">
        <is>
          <t>25Y</t>
        </is>
      </c>
      <c r="E1515" t="inlineStr">
        <is>
          <t>EPS estimate FY2025</t>
        </is>
      </c>
      <c r="F1515" s="53">
        <f>_xll.BDP("CRH US Equity","BEST_EPS","BEST_FPERIOD_OVERRIDE","25Y")</f>
        <v/>
      </c>
    </row>
    <row r="1516">
      <c r="A1516" t="inlineStr">
        <is>
          <t>CRH</t>
        </is>
      </c>
      <c r="B1516" t="inlineStr">
        <is>
          <t>CRH US Equity</t>
        </is>
      </c>
      <c r="C1516" t="inlineStr">
        <is>
          <t>BEST_SALES</t>
        </is>
      </c>
      <c r="D1516" t="inlineStr">
        <is>
          <t>25Y</t>
        </is>
      </c>
      <c r="E1516" t="inlineStr">
        <is>
          <t>Revenue estimate FY2025</t>
        </is>
      </c>
      <c r="F1516" s="53">
        <f>_xll.BDP("CRH US Equity","BEST_SALES","BEST_FPERIOD_OVERRIDE","25Y")</f>
        <v/>
      </c>
    </row>
    <row r="1517">
      <c r="A1517" t="inlineStr">
        <is>
          <t>CRH</t>
        </is>
      </c>
      <c r="B1517" t="inlineStr">
        <is>
          <t>CRH US Equity</t>
        </is>
      </c>
      <c r="C1517" t="inlineStr">
        <is>
          <t>BEST_EBIT</t>
        </is>
      </c>
      <c r="D1517" t="inlineStr">
        <is>
          <t>25Y</t>
        </is>
      </c>
      <c r="E1517" t="inlineStr">
        <is>
          <t>EBIT estimate FY2025</t>
        </is>
      </c>
      <c r="F1517" s="53">
        <f>_xll.BDP("CRH US Equity","BEST_EBIT","BEST_FPERIOD_OVERRIDE","25Y")</f>
        <v/>
      </c>
    </row>
    <row r="1518">
      <c r="A1518" t="inlineStr">
        <is>
          <t>CRH</t>
        </is>
      </c>
      <c r="B1518" t="inlineStr">
        <is>
          <t>CRH US Equity</t>
        </is>
      </c>
      <c r="C1518" t="inlineStr">
        <is>
          <t>BEST_EPS</t>
        </is>
      </c>
      <c r="D1518" t="inlineStr">
        <is>
          <t>26Y</t>
        </is>
      </c>
      <c r="E1518" t="inlineStr">
        <is>
          <t>EPS estimate FY2026</t>
        </is>
      </c>
      <c r="F1518" s="53">
        <f>_xll.BDP("CRH US Equity","BEST_EPS","BEST_FPERIOD_OVERRIDE","26Y")</f>
        <v/>
      </c>
    </row>
    <row r="1519">
      <c r="A1519" t="inlineStr">
        <is>
          <t>CRH</t>
        </is>
      </c>
      <c r="B1519" t="inlineStr">
        <is>
          <t>CRH US Equity</t>
        </is>
      </c>
      <c r="C1519" t="inlineStr">
        <is>
          <t>BEST_SALES</t>
        </is>
      </c>
      <c r="D1519" t="inlineStr">
        <is>
          <t>26Y</t>
        </is>
      </c>
      <c r="E1519" t="inlineStr">
        <is>
          <t>Revenue estimate FY2026</t>
        </is>
      </c>
      <c r="F1519" s="53">
        <f>_xll.BDP("CRH US Equity","BEST_SALES","BEST_FPERIOD_OVERRIDE","26Y")</f>
        <v/>
      </c>
    </row>
    <row r="1520">
      <c r="A1520" t="inlineStr">
        <is>
          <t>CRH</t>
        </is>
      </c>
      <c r="B1520" t="inlineStr">
        <is>
          <t>CRH US Equity</t>
        </is>
      </c>
      <c r="C1520" t="inlineStr">
        <is>
          <t>BEST_EBIT</t>
        </is>
      </c>
      <c r="D1520" t="inlineStr">
        <is>
          <t>26Y</t>
        </is>
      </c>
      <c r="E1520" t="inlineStr">
        <is>
          <t>EBIT estimate FY2026</t>
        </is>
      </c>
      <c r="F1520" s="53">
        <f>_xll.BDP("CRH US Equity","BEST_EBIT","BEST_FPERIOD_OVERRIDE","26Y")</f>
        <v/>
      </c>
    </row>
    <row r="1521">
      <c r="A1521" t="inlineStr">
        <is>
          <t>CRH</t>
        </is>
      </c>
      <c r="B1521" t="inlineStr">
        <is>
          <t>CRH US Equity</t>
        </is>
      </c>
      <c r="C1521" t="inlineStr">
        <is>
          <t>BEST_EPS</t>
        </is>
      </c>
      <c r="D1521" t="inlineStr">
        <is>
          <t>27Y</t>
        </is>
      </c>
      <c r="E1521" t="inlineStr">
        <is>
          <t>EPS estimate FY2027</t>
        </is>
      </c>
      <c r="F1521" s="53">
        <f>_xll.BDP("CRH US Equity","BEST_EPS","BEST_FPERIOD_OVERRIDE","27Y")</f>
        <v/>
      </c>
    </row>
    <row r="1522">
      <c r="A1522" t="inlineStr">
        <is>
          <t>CRH</t>
        </is>
      </c>
      <c r="B1522" t="inlineStr">
        <is>
          <t>CRH US Equity</t>
        </is>
      </c>
      <c r="C1522" t="inlineStr">
        <is>
          <t>BEST_SALES</t>
        </is>
      </c>
      <c r="D1522" t="inlineStr">
        <is>
          <t>27Y</t>
        </is>
      </c>
      <c r="E1522" t="inlineStr">
        <is>
          <t>Revenue estimate FY2027</t>
        </is>
      </c>
      <c r="F1522" s="53">
        <f>_xll.BDP("CRH US Equity","BEST_SALES","BEST_FPERIOD_OVERRIDE","27Y")</f>
        <v/>
      </c>
    </row>
    <row r="1523">
      <c r="A1523" t="inlineStr">
        <is>
          <t>CRH</t>
        </is>
      </c>
      <c r="B1523" t="inlineStr">
        <is>
          <t>CRH US Equity</t>
        </is>
      </c>
      <c r="C1523" t="inlineStr">
        <is>
          <t>BEST_EBIT</t>
        </is>
      </c>
      <c r="D1523" t="inlineStr">
        <is>
          <t>27Y</t>
        </is>
      </c>
      <c r="E1523" t="inlineStr">
        <is>
          <t>EBIT estimate FY2027</t>
        </is>
      </c>
      <c r="F1523" s="53">
        <f>_xll.BDP("CRH US Equity","BEST_EBIT","BEST_FPERIOD_OVERRIDE","27Y")</f>
        <v/>
      </c>
    </row>
    <row r="1524">
      <c r="A1524" t="inlineStr">
        <is>
          <t>CRH</t>
        </is>
      </c>
      <c r="B1524" t="inlineStr">
        <is>
          <t>CRH US Equity</t>
        </is>
      </c>
      <c r="C1524" t="inlineStr">
        <is>
          <t>BEST_EPS</t>
        </is>
      </c>
      <c r="D1524" t="inlineStr">
        <is>
          <t>28Y</t>
        </is>
      </c>
      <c r="E1524" t="inlineStr">
        <is>
          <t>EPS estimate FY2028</t>
        </is>
      </c>
      <c r="F1524" s="53">
        <f>_xll.BDP("CRH US Equity","BEST_EPS","BEST_FPERIOD_OVERRIDE","28Y")</f>
        <v/>
      </c>
    </row>
    <row r="1525">
      <c r="A1525" t="inlineStr">
        <is>
          <t>CRH</t>
        </is>
      </c>
      <c r="B1525" t="inlineStr">
        <is>
          <t>CRH US Equity</t>
        </is>
      </c>
      <c r="C1525" t="inlineStr">
        <is>
          <t>BEST_SALES</t>
        </is>
      </c>
      <c r="D1525" t="inlineStr">
        <is>
          <t>28Y</t>
        </is>
      </c>
      <c r="E1525" t="inlineStr">
        <is>
          <t>Revenue estimate FY2028</t>
        </is>
      </c>
      <c r="F1525" s="53">
        <f>_xll.BDP("CRH US Equity","BEST_SALES","BEST_FPERIOD_OVERRIDE","28Y")</f>
        <v/>
      </c>
    </row>
    <row r="1526">
      <c r="A1526" t="inlineStr">
        <is>
          <t>CRH</t>
        </is>
      </c>
      <c r="B1526" t="inlineStr">
        <is>
          <t>CRH US Equity</t>
        </is>
      </c>
      <c r="C1526" t="inlineStr">
        <is>
          <t>BEST_EBIT</t>
        </is>
      </c>
      <c r="D1526" t="inlineStr">
        <is>
          <t>28Y</t>
        </is>
      </c>
      <c r="E1526" t="inlineStr">
        <is>
          <t>EBIT estimate FY2028</t>
        </is>
      </c>
      <c r="F1526" s="53">
        <f>_xll.BDP("CRH US Equity","BEST_EBIT","BEST_FPERIOD_OVERRIDE","28Y")</f>
        <v/>
      </c>
    </row>
    <row r="1527">
      <c r="A1527" t="inlineStr">
        <is>
          <t>LIN</t>
        </is>
      </c>
      <c r="B1527" t="inlineStr">
        <is>
          <t>LIN US Equity</t>
        </is>
      </c>
      <c r="C1527" t="inlineStr">
        <is>
          <t>PX_LAST</t>
        </is>
      </c>
      <c r="E1527" t="inlineStr">
        <is>
          <t>Last price</t>
        </is>
      </c>
      <c r="F1527" s="53">
        <f>_xll.BDP("LIN US Equity","PX_LAST")</f>
        <v/>
      </c>
    </row>
    <row r="1528">
      <c r="A1528" t="inlineStr">
        <is>
          <t>LIN</t>
        </is>
      </c>
      <c r="B1528" t="inlineStr">
        <is>
          <t>LIN US Equity</t>
        </is>
      </c>
      <c r="C1528" t="inlineStr">
        <is>
          <t>CUR_MKT_CAP</t>
        </is>
      </c>
      <c r="E1528" t="inlineStr">
        <is>
          <t>Market cap (raw)</t>
        </is>
      </c>
      <c r="F1528" s="53">
        <f>_xll.BDP("LIN US Equity","CUR_MKT_CAP")</f>
        <v/>
      </c>
    </row>
    <row r="1529">
      <c r="A1529" t="inlineStr">
        <is>
          <t>LIN</t>
        </is>
      </c>
      <c r="B1529" t="inlineStr">
        <is>
          <t>LIN US Equity</t>
        </is>
      </c>
      <c r="C1529" t="inlineStr">
        <is>
          <t>CHG_PCT_YTD</t>
        </is>
      </c>
      <c r="E1529" t="inlineStr">
        <is>
          <t>YTD price change %</t>
        </is>
      </c>
      <c r="F1529" s="53">
        <f>_xll.BDP("LIN US Equity","CHG_PCT_YTD")</f>
        <v/>
      </c>
    </row>
    <row r="1530">
      <c r="A1530" t="inlineStr">
        <is>
          <t>LIN</t>
        </is>
      </c>
      <c r="B1530" t="inlineStr">
        <is>
          <t>LIN US Equity</t>
        </is>
      </c>
      <c r="C1530" t="inlineStr">
        <is>
          <t>NET_DEBT_TO_EBITDA</t>
        </is>
      </c>
      <c r="E1530" t="inlineStr">
        <is>
          <t>Net debt / EBITDA</t>
        </is>
      </c>
      <c r="F1530" s="53">
        <f>_xll.BDP("LIN US Equity","NET_DEBT_TO_EBITDA")</f>
        <v/>
      </c>
    </row>
    <row r="1531">
      <c r="A1531" t="inlineStr">
        <is>
          <t>LIN</t>
        </is>
      </c>
      <c r="B1531" t="inlineStr">
        <is>
          <t>LIN US Equity</t>
        </is>
      </c>
      <c r="C1531" t="inlineStr">
        <is>
          <t>RETURN_ON_INV_CAPITAL</t>
        </is>
      </c>
      <c r="E1531" t="inlineStr">
        <is>
          <t>ROIC (LTM)</t>
        </is>
      </c>
      <c r="F1531" s="53">
        <f>_xll.BDP("LIN US Equity","RETURN_ON_INV_CAPITAL")</f>
        <v/>
      </c>
    </row>
    <row r="1532">
      <c r="A1532" t="inlineStr">
        <is>
          <t>LIN</t>
        </is>
      </c>
      <c r="B1532" t="inlineStr">
        <is>
          <t>LIN US Equity</t>
        </is>
      </c>
      <c r="C1532" t="inlineStr">
        <is>
          <t>TRAIL_12M_OPER_INC</t>
        </is>
      </c>
      <c r="E1532" t="inlineStr">
        <is>
          <t>LTM operating income</t>
        </is>
      </c>
      <c r="F1532" s="53">
        <f>_xll.BDP("LIN US Equity","TRAIL_12M_OPER_INC")</f>
        <v/>
      </c>
    </row>
    <row r="1533">
      <c r="A1533" t="inlineStr">
        <is>
          <t>LIN</t>
        </is>
      </c>
      <c r="B1533" t="inlineStr">
        <is>
          <t>LIN US Equity</t>
        </is>
      </c>
      <c r="C1533" t="inlineStr">
        <is>
          <t>TRAIL_12M_EBITDA</t>
        </is>
      </c>
      <c r="E1533" t="inlineStr">
        <is>
          <t>LTM EBITDA</t>
        </is>
      </c>
      <c r="F1533" s="53">
        <f>_xll.BDP("LIN US Equity","TRAIL_12M_EBITDA")</f>
        <v/>
      </c>
    </row>
    <row r="1534">
      <c r="A1534" t="inlineStr">
        <is>
          <t>LIN</t>
        </is>
      </c>
      <c r="B1534" t="inlineStr">
        <is>
          <t>LIN US Equity</t>
        </is>
      </c>
      <c r="C1534" t="inlineStr">
        <is>
          <t>SHORT_AND_LONG_TERM_DEBT</t>
        </is>
      </c>
      <c r="E1534" t="inlineStr">
        <is>
          <t>Total debt</t>
        </is>
      </c>
      <c r="F1534" s="53">
        <f>_xll.BDP("LIN US Equity","SHORT_AND_LONG_TERM_DEBT")</f>
        <v/>
      </c>
    </row>
    <row r="1535">
      <c r="A1535" t="inlineStr">
        <is>
          <t>LIN</t>
        </is>
      </c>
      <c r="B1535" t="inlineStr">
        <is>
          <t>LIN US Equity</t>
        </is>
      </c>
      <c r="C1535" t="inlineStr">
        <is>
          <t>TOTAL_EQUITY</t>
        </is>
      </c>
      <c r="E1535" t="inlineStr">
        <is>
          <t>Total equity</t>
        </is>
      </c>
      <c r="F1535" s="53">
        <f>_xll.BDP("LIN US Equity","TOTAL_EQUITY")</f>
        <v/>
      </c>
    </row>
    <row r="1536">
      <c r="A1536" t="inlineStr">
        <is>
          <t>LIN</t>
        </is>
      </c>
      <c r="B1536" t="inlineStr">
        <is>
          <t>LIN US Equity</t>
        </is>
      </c>
      <c r="C1536" t="inlineStr">
        <is>
          <t>BS_CASH_NEAR_CASH_ITEM</t>
        </is>
      </c>
      <c r="E1536" t="inlineStr">
        <is>
          <t>Cash &amp; equivalents</t>
        </is>
      </c>
      <c r="F1536" s="53">
        <f>_xll.BDP("LIN US Equity","BS_CASH_NEAR_CASH_ITEM")</f>
        <v/>
      </c>
    </row>
    <row r="1537">
      <c r="A1537" t="inlineStr">
        <is>
          <t>LIN</t>
        </is>
      </c>
      <c r="B1537" t="inlineStr">
        <is>
          <t>LIN US Equity</t>
        </is>
      </c>
      <c r="C1537" t="inlineStr">
        <is>
          <t>BEST_EPS</t>
        </is>
      </c>
      <c r="D1537" t="inlineStr">
        <is>
          <t>24Y</t>
        </is>
      </c>
      <c r="E1537" t="inlineStr">
        <is>
          <t>EPS estimate FY2024</t>
        </is>
      </c>
      <c r="F1537" s="53">
        <f>_xll.BDP("LIN US Equity","BEST_EPS","BEST_FPERIOD_OVERRIDE","24Y")</f>
        <v/>
      </c>
    </row>
    <row r="1538">
      <c r="A1538" t="inlineStr">
        <is>
          <t>LIN</t>
        </is>
      </c>
      <c r="B1538" t="inlineStr">
        <is>
          <t>LIN US Equity</t>
        </is>
      </c>
      <c r="C1538" t="inlineStr">
        <is>
          <t>BEST_SALES</t>
        </is>
      </c>
      <c r="D1538" t="inlineStr">
        <is>
          <t>24Y</t>
        </is>
      </c>
      <c r="E1538" t="inlineStr">
        <is>
          <t>Revenue estimate FY2024</t>
        </is>
      </c>
      <c r="F1538" s="53">
        <f>_xll.BDP("LIN US Equity","BEST_SALES","BEST_FPERIOD_OVERRIDE","24Y")</f>
        <v/>
      </c>
    </row>
    <row r="1539">
      <c r="A1539" t="inlineStr">
        <is>
          <t>LIN</t>
        </is>
      </c>
      <c r="B1539" t="inlineStr">
        <is>
          <t>LIN US Equity</t>
        </is>
      </c>
      <c r="C1539" t="inlineStr">
        <is>
          <t>BEST_EBIT</t>
        </is>
      </c>
      <c r="D1539" t="inlineStr">
        <is>
          <t>24Y</t>
        </is>
      </c>
      <c r="E1539" t="inlineStr">
        <is>
          <t>EBIT estimate FY2024</t>
        </is>
      </c>
      <c r="F1539" s="53">
        <f>_xll.BDP("LIN US Equity","BEST_EBIT","BEST_FPERIOD_OVERRIDE","24Y")</f>
        <v/>
      </c>
    </row>
    <row r="1540">
      <c r="A1540" t="inlineStr">
        <is>
          <t>LIN</t>
        </is>
      </c>
      <c r="B1540" t="inlineStr">
        <is>
          <t>LIN US Equity</t>
        </is>
      </c>
      <c r="C1540" t="inlineStr">
        <is>
          <t>BEST_EPS</t>
        </is>
      </c>
      <c r="D1540" t="inlineStr">
        <is>
          <t>25Y</t>
        </is>
      </c>
      <c r="E1540" t="inlineStr">
        <is>
          <t>EPS estimate FY2025</t>
        </is>
      </c>
      <c r="F1540" s="53">
        <f>_xll.BDP("LIN US Equity","BEST_EPS","BEST_FPERIOD_OVERRIDE","25Y")</f>
        <v/>
      </c>
    </row>
    <row r="1541">
      <c r="A1541" t="inlineStr">
        <is>
          <t>LIN</t>
        </is>
      </c>
      <c r="B1541" t="inlineStr">
        <is>
          <t>LIN US Equity</t>
        </is>
      </c>
      <c r="C1541" t="inlineStr">
        <is>
          <t>BEST_SALES</t>
        </is>
      </c>
      <c r="D1541" t="inlineStr">
        <is>
          <t>25Y</t>
        </is>
      </c>
      <c r="E1541" t="inlineStr">
        <is>
          <t>Revenue estimate FY2025</t>
        </is>
      </c>
      <c r="F1541" s="53">
        <f>_xll.BDP("LIN US Equity","BEST_SALES","BEST_FPERIOD_OVERRIDE","25Y")</f>
        <v/>
      </c>
    </row>
    <row r="1542">
      <c r="A1542" t="inlineStr">
        <is>
          <t>LIN</t>
        </is>
      </c>
      <c r="B1542" t="inlineStr">
        <is>
          <t>LIN US Equity</t>
        </is>
      </c>
      <c r="C1542" t="inlineStr">
        <is>
          <t>BEST_EBIT</t>
        </is>
      </c>
      <c r="D1542" t="inlineStr">
        <is>
          <t>25Y</t>
        </is>
      </c>
      <c r="E1542" t="inlineStr">
        <is>
          <t>EBIT estimate FY2025</t>
        </is>
      </c>
      <c r="F1542" s="53">
        <f>_xll.BDP("LIN US Equity","BEST_EBIT","BEST_FPERIOD_OVERRIDE","25Y")</f>
        <v/>
      </c>
    </row>
    <row r="1543">
      <c r="A1543" t="inlineStr">
        <is>
          <t>LIN</t>
        </is>
      </c>
      <c r="B1543" t="inlineStr">
        <is>
          <t>LIN US Equity</t>
        </is>
      </c>
      <c r="C1543" t="inlineStr">
        <is>
          <t>BEST_EPS</t>
        </is>
      </c>
      <c r="D1543" t="inlineStr">
        <is>
          <t>26Y</t>
        </is>
      </c>
      <c r="E1543" t="inlineStr">
        <is>
          <t>EPS estimate FY2026</t>
        </is>
      </c>
      <c r="F1543" s="53">
        <f>_xll.BDP("LIN US Equity","BEST_EPS","BEST_FPERIOD_OVERRIDE","26Y")</f>
        <v/>
      </c>
    </row>
    <row r="1544">
      <c r="A1544" t="inlineStr">
        <is>
          <t>LIN</t>
        </is>
      </c>
      <c r="B1544" t="inlineStr">
        <is>
          <t>LIN US Equity</t>
        </is>
      </c>
      <c r="C1544" t="inlineStr">
        <is>
          <t>BEST_SALES</t>
        </is>
      </c>
      <c r="D1544" t="inlineStr">
        <is>
          <t>26Y</t>
        </is>
      </c>
      <c r="E1544" t="inlineStr">
        <is>
          <t>Revenue estimate FY2026</t>
        </is>
      </c>
      <c r="F1544" s="53">
        <f>_xll.BDP("LIN US Equity","BEST_SALES","BEST_FPERIOD_OVERRIDE","26Y")</f>
        <v/>
      </c>
    </row>
    <row r="1545">
      <c r="A1545" t="inlineStr">
        <is>
          <t>LIN</t>
        </is>
      </c>
      <c r="B1545" t="inlineStr">
        <is>
          <t>LIN US Equity</t>
        </is>
      </c>
      <c r="C1545" t="inlineStr">
        <is>
          <t>BEST_EBIT</t>
        </is>
      </c>
      <c r="D1545" t="inlineStr">
        <is>
          <t>26Y</t>
        </is>
      </c>
      <c r="E1545" t="inlineStr">
        <is>
          <t>EBIT estimate FY2026</t>
        </is>
      </c>
      <c r="F1545" s="53">
        <f>_xll.BDP("LIN US Equity","BEST_EBIT","BEST_FPERIOD_OVERRIDE","26Y")</f>
        <v/>
      </c>
    </row>
    <row r="1546">
      <c r="A1546" t="inlineStr">
        <is>
          <t>LIN</t>
        </is>
      </c>
      <c r="B1546" t="inlineStr">
        <is>
          <t>LIN US Equity</t>
        </is>
      </c>
      <c r="C1546" t="inlineStr">
        <is>
          <t>BEST_EPS</t>
        </is>
      </c>
      <c r="D1546" t="inlineStr">
        <is>
          <t>27Y</t>
        </is>
      </c>
      <c r="E1546" t="inlineStr">
        <is>
          <t>EPS estimate FY2027</t>
        </is>
      </c>
      <c r="F1546" s="53">
        <f>_xll.BDP("LIN US Equity","BEST_EPS","BEST_FPERIOD_OVERRIDE","27Y")</f>
        <v/>
      </c>
    </row>
    <row r="1547">
      <c r="A1547" t="inlineStr">
        <is>
          <t>LIN</t>
        </is>
      </c>
      <c r="B1547" t="inlineStr">
        <is>
          <t>LIN US Equity</t>
        </is>
      </c>
      <c r="C1547" t="inlineStr">
        <is>
          <t>BEST_SALES</t>
        </is>
      </c>
      <c r="D1547" t="inlineStr">
        <is>
          <t>27Y</t>
        </is>
      </c>
      <c r="E1547" t="inlineStr">
        <is>
          <t>Revenue estimate FY2027</t>
        </is>
      </c>
      <c r="F1547" s="53">
        <f>_xll.BDP("LIN US Equity","BEST_SALES","BEST_FPERIOD_OVERRIDE","27Y")</f>
        <v/>
      </c>
    </row>
    <row r="1548">
      <c r="A1548" t="inlineStr">
        <is>
          <t>LIN</t>
        </is>
      </c>
      <c r="B1548" t="inlineStr">
        <is>
          <t>LIN US Equity</t>
        </is>
      </c>
      <c r="C1548" t="inlineStr">
        <is>
          <t>BEST_EBIT</t>
        </is>
      </c>
      <c r="D1548" t="inlineStr">
        <is>
          <t>27Y</t>
        </is>
      </c>
      <c r="E1548" t="inlineStr">
        <is>
          <t>EBIT estimate FY2027</t>
        </is>
      </c>
      <c r="F1548" s="53">
        <f>_xll.BDP("LIN US Equity","BEST_EBIT","BEST_FPERIOD_OVERRIDE","27Y")</f>
        <v/>
      </c>
    </row>
    <row r="1549">
      <c r="A1549" t="inlineStr">
        <is>
          <t>LIN</t>
        </is>
      </c>
      <c r="B1549" t="inlineStr">
        <is>
          <t>LIN US Equity</t>
        </is>
      </c>
      <c r="C1549" t="inlineStr">
        <is>
          <t>BEST_EPS</t>
        </is>
      </c>
      <c r="D1549" t="inlineStr">
        <is>
          <t>28Y</t>
        </is>
      </c>
      <c r="E1549" t="inlineStr">
        <is>
          <t>EPS estimate FY2028</t>
        </is>
      </c>
      <c r="F1549" s="53">
        <f>_xll.BDP("LIN US Equity","BEST_EPS","BEST_FPERIOD_OVERRIDE","28Y")</f>
        <v/>
      </c>
    </row>
    <row r="1550">
      <c r="A1550" t="inlineStr">
        <is>
          <t>LIN</t>
        </is>
      </c>
      <c r="B1550" t="inlineStr">
        <is>
          <t>LIN US Equity</t>
        </is>
      </c>
      <c r="C1550" t="inlineStr">
        <is>
          <t>BEST_SALES</t>
        </is>
      </c>
      <c r="D1550" t="inlineStr">
        <is>
          <t>28Y</t>
        </is>
      </c>
      <c r="E1550" t="inlineStr">
        <is>
          <t>Revenue estimate FY2028</t>
        </is>
      </c>
      <c r="F1550" s="53">
        <f>_xll.BDP("LIN US Equity","BEST_SALES","BEST_FPERIOD_OVERRIDE","28Y")</f>
        <v/>
      </c>
    </row>
    <row r="1551">
      <c r="A1551" t="inlineStr">
        <is>
          <t>LIN</t>
        </is>
      </c>
      <c r="B1551" t="inlineStr">
        <is>
          <t>LIN US Equity</t>
        </is>
      </c>
      <c r="C1551" t="inlineStr">
        <is>
          <t>BEST_EBIT</t>
        </is>
      </c>
      <c r="D1551" t="inlineStr">
        <is>
          <t>28Y</t>
        </is>
      </c>
      <c r="E1551" t="inlineStr">
        <is>
          <t>EBIT estimate FY2028</t>
        </is>
      </c>
      <c r="F1551" s="53">
        <f>_xll.BDP("LIN US Equity","BEST_EBIT","BEST_FPERIOD_OVERRIDE","28Y")</f>
        <v/>
      </c>
    </row>
    <row r="1552">
      <c r="A1552" t="inlineStr">
        <is>
          <t>ISRG</t>
        </is>
      </c>
      <c r="B1552" t="inlineStr">
        <is>
          <t>ISRG US Equity</t>
        </is>
      </c>
      <c r="C1552" t="inlineStr">
        <is>
          <t>PX_LAST</t>
        </is>
      </c>
      <c r="E1552" t="inlineStr">
        <is>
          <t>Last price</t>
        </is>
      </c>
      <c r="F1552" s="53">
        <f>_xll.BDP("ISRG US Equity","PX_LAST")</f>
        <v/>
      </c>
    </row>
    <row r="1553">
      <c r="A1553" t="inlineStr">
        <is>
          <t>ISRG</t>
        </is>
      </c>
      <c r="B1553" t="inlineStr">
        <is>
          <t>ISRG US Equity</t>
        </is>
      </c>
      <c r="C1553" t="inlineStr">
        <is>
          <t>CUR_MKT_CAP</t>
        </is>
      </c>
      <c r="E1553" t="inlineStr">
        <is>
          <t>Market cap (raw)</t>
        </is>
      </c>
      <c r="F1553" s="53">
        <f>_xll.BDP("ISRG US Equity","CUR_MKT_CAP")</f>
        <v/>
      </c>
    </row>
    <row r="1554">
      <c r="A1554" t="inlineStr">
        <is>
          <t>ISRG</t>
        </is>
      </c>
      <c r="B1554" t="inlineStr">
        <is>
          <t>ISRG US Equity</t>
        </is>
      </c>
      <c r="C1554" t="inlineStr">
        <is>
          <t>CHG_PCT_YTD</t>
        </is>
      </c>
      <c r="E1554" t="inlineStr">
        <is>
          <t>YTD price change %</t>
        </is>
      </c>
      <c r="F1554" s="53">
        <f>_xll.BDP("ISRG US Equity","CHG_PCT_YTD")</f>
        <v/>
      </c>
    </row>
    <row r="1555">
      <c r="A1555" t="inlineStr">
        <is>
          <t>ISRG</t>
        </is>
      </c>
      <c r="B1555" t="inlineStr">
        <is>
          <t>ISRG US Equity</t>
        </is>
      </c>
      <c r="C1555" t="inlineStr">
        <is>
          <t>NET_DEBT_TO_EBITDA</t>
        </is>
      </c>
      <c r="E1555" t="inlineStr">
        <is>
          <t>Net debt / EBITDA</t>
        </is>
      </c>
      <c r="F1555" s="53">
        <f>_xll.BDP("ISRG US Equity","NET_DEBT_TO_EBITDA")</f>
        <v/>
      </c>
    </row>
    <row r="1556">
      <c r="A1556" t="inlineStr">
        <is>
          <t>ISRG</t>
        </is>
      </c>
      <c r="B1556" t="inlineStr">
        <is>
          <t>ISRG US Equity</t>
        </is>
      </c>
      <c r="C1556" t="inlineStr">
        <is>
          <t>RETURN_ON_INV_CAPITAL</t>
        </is>
      </c>
      <c r="E1556" t="inlineStr">
        <is>
          <t>ROIC (LTM)</t>
        </is>
      </c>
      <c r="F1556" s="53">
        <f>_xll.BDP("ISRG US Equity","RETURN_ON_INV_CAPITAL")</f>
        <v/>
      </c>
    </row>
    <row r="1557">
      <c r="A1557" t="inlineStr">
        <is>
          <t>ISRG</t>
        </is>
      </c>
      <c r="B1557" t="inlineStr">
        <is>
          <t>ISRG US Equity</t>
        </is>
      </c>
      <c r="C1557" t="inlineStr">
        <is>
          <t>TRAIL_12M_OPER_INC</t>
        </is>
      </c>
      <c r="E1557" t="inlineStr">
        <is>
          <t>LTM operating income</t>
        </is>
      </c>
      <c r="F1557" s="53">
        <f>_xll.BDP("ISRG US Equity","TRAIL_12M_OPER_INC")</f>
        <v/>
      </c>
    </row>
    <row r="1558">
      <c r="A1558" t="inlineStr">
        <is>
          <t>ISRG</t>
        </is>
      </c>
      <c r="B1558" t="inlineStr">
        <is>
          <t>ISRG US Equity</t>
        </is>
      </c>
      <c r="C1558" t="inlineStr">
        <is>
          <t>TRAIL_12M_EBITDA</t>
        </is>
      </c>
      <c r="E1558" t="inlineStr">
        <is>
          <t>LTM EBITDA</t>
        </is>
      </c>
      <c r="F1558" s="53">
        <f>_xll.BDP("ISRG US Equity","TRAIL_12M_EBITDA")</f>
        <v/>
      </c>
    </row>
    <row r="1559">
      <c r="A1559" t="inlineStr">
        <is>
          <t>ISRG</t>
        </is>
      </c>
      <c r="B1559" t="inlineStr">
        <is>
          <t>ISRG US Equity</t>
        </is>
      </c>
      <c r="C1559" t="inlineStr">
        <is>
          <t>SHORT_AND_LONG_TERM_DEBT</t>
        </is>
      </c>
      <c r="E1559" t="inlineStr">
        <is>
          <t>Total debt</t>
        </is>
      </c>
      <c r="F1559" s="53">
        <f>_xll.BDP("ISRG US Equity","SHORT_AND_LONG_TERM_DEBT")</f>
        <v/>
      </c>
    </row>
    <row r="1560">
      <c r="A1560" t="inlineStr">
        <is>
          <t>ISRG</t>
        </is>
      </c>
      <c r="B1560" t="inlineStr">
        <is>
          <t>ISRG US Equity</t>
        </is>
      </c>
      <c r="C1560" t="inlineStr">
        <is>
          <t>TOTAL_EQUITY</t>
        </is>
      </c>
      <c r="E1560" t="inlineStr">
        <is>
          <t>Total equity</t>
        </is>
      </c>
      <c r="F1560" s="53">
        <f>_xll.BDP("ISRG US Equity","TOTAL_EQUITY")</f>
        <v/>
      </c>
    </row>
    <row r="1561">
      <c r="A1561" t="inlineStr">
        <is>
          <t>ISRG</t>
        </is>
      </c>
      <c r="B1561" t="inlineStr">
        <is>
          <t>ISRG US Equity</t>
        </is>
      </c>
      <c r="C1561" t="inlineStr">
        <is>
          <t>BS_CASH_NEAR_CASH_ITEM</t>
        </is>
      </c>
      <c r="E1561" t="inlineStr">
        <is>
          <t>Cash &amp; equivalents</t>
        </is>
      </c>
      <c r="F1561" s="53">
        <f>_xll.BDP("ISRG US Equity","BS_CASH_NEAR_CASH_ITEM")</f>
        <v/>
      </c>
    </row>
    <row r="1562">
      <c r="A1562" t="inlineStr">
        <is>
          <t>ISRG</t>
        </is>
      </c>
      <c r="B1562" t="inlineStr">
        <is>
          <t>ISRG US Equity</t>
        </is>
      </c>
      <c r="C1562" t="inlineStr">
        <is>
          <t>BEST_EPS</t>
        </is>
      </c>
      <c r="D1562" t="inlineStr">
        <is>
          <t>24Y</t>
        </is>
      </c>
      <c r="E1562" t="inlineStr">
        <is>
          <t>EPS estimate FY2024</t>
        </is>
      </c>
      <c r="F1562" s="53">
        <f>_xll.BDP("ISRG US Equity","BEST_EPS","BEST_FPERIOD_OVERRIDE","24Y")</f>
        <v/>
      </c>
    </row>
    <row r="1563">
      <c r="A1563" t="inlineStr">
        <is>
          <t>ISRG</t>
        </is>
      </c>
      <c r="B1563" t="inlineStr">
        <is>
          <t>ISRG US Equity</t>
        </is>
      </c>
      <c r="C1563" t="inlineStr">
        <is>
          <t>BEST_SALES</t>
        </is>
      </c>
      <c r="D1563" t="inlineStr">
        <is>
          <t>24Y</t>
        </is>
      </c>
      <c r="E1563" t="inlineStr">
        <is>
          <t>Revenue estimate FY2024</t>
        </is>
      </c>
      <c r="F1563" s="53">
        <f>_xll.BDP("ISRG US Equity","BEST_SALES","BEST_FPERIOD_OVERRIDE","24Y")</f>
        <v/>
      </c>
    </row>
    <row r="1564">
      <c r="A1564" t="inlineStr">
        <is>
          <t>ISRG</t>
        </is>
      </c>
      <c r="B1564" t="inlineStr">
        <is>
          <t>ISRG US Equity</t>
        </is>
      </c>
      <c r="C1564" t="inlineStr">
        <is>
          <t>BEST_EBIT</t>
        </is>
      </c>
      <c r="D1564" t="inlineStr">
        <is>
          <t>24Y</t>
        </is>
      </c>
      <c r="E1564" t="inlineStr">
        <is>
          <t>EBIT estimate FY2024</t>
        </is>
      </c>
      <c r="F1564" s="53">
        <f>_xll.BDP("ISRG US Equity","BEST_EBIT","BEST_FPERIOD_OVERRIDE","24Y")</f>
        <v/>
      </c>
    </row>
    <row r="1565">
      <c r="A1565" t="inlineStr">
        <is>
          <t>ISRG</t>
        </is>
      </c>
      <c r="B1565" t="inlineStr">
        <is>
          <t>ISRG US Equity</t>
        </is>
      </c>
      <c r="C1565" t="inlineStr">
        <is>
          <t>BEST_EPS</t>
        </is>
      </c>
      <c r="D1565" t="inlineStr">
        <is>
          <t>25Y</t>
        </is>
      </c>
      <c r="E1565" t="inlineStr">
        <is>
          <t>EPS estimate FY2025</t>
        </is>
      </c>
      <c r="F1565" s="53">
        <f>_xll.BDP("ISRG US Equity","BEST_EPS","BEST_FPERIOD_OVERRIDE","25Y")</f>
        <v/>
      </c>
    </row>
    <row r="1566">
      <c r="A1566" t="inlineStr">
        <is>
          <t>ISRG</t>
        </is>
      </c>
      <c r="B1566" t="inlineStr">
        <is>
          <t>ISRG US Equity</t>
        </is>
      </c>
      <c r="C1566" t="inlineStr">
        <is>
          <t>BEST_SALES</t>
        </is>
      </c>
      <c r="D1566" t="inlineStr">
        <is>
          <t>25Y</t>
        </is>
      </c>
      <c r="E1566" t="inlineStr">
        <is>
          <t>Revenue estimate FY2025</t>
        </is>
      </c>
      <c r="F1566" s="53">
        <f>_xll.BDP("ISRG US Equity","BEST_SALES","BEST_FPERIOD_OVERRIDE","25Y")</f>
        <v/>
      </c>
    </row>
    <row r="1567">
      <c r="A1567" t="inlineStr">
        <is>
          <t>ISRG</t>
        </is>
      </c>
      <c r="B1567" t="inlineStr">
        <is>
          <t>ISRG US Equity</t>
        </is>
      </c>
      <c r="C1567" t="inlineStr">
        <is>
          <t>BEST_EBIT</t>
        </is>
      </c>
      <c r="D1567" t="inlineStr">
        <is>
          <t>25Y</t>
        </is>
      </c>
      <c r="E1567" t="inlineStr">
        <is>
          <t>EBIT estimate FY2025</t>
        </is>
      </c>
      <c r="F1567" s="53">
        <f>_xll.BDP("ISRG US Equity","BEST_EBIT","BEST_FPERIOD_OVERRIDE","25Y")</f>
        <v/>
      </c>
    </row>
    <row r="1568">
      <c r="A1568" t="inlineStr">
        <is>
          <t>ISRG</t>
        </is>
      </c>
      <c r="B1568" t="inlineStr">
        <is>
          <t>ISRG US Equity</t>
        </is>
      </c>
      <c r="C1568" t="inlineStr">
        <is>
          <t>BEST_EPS</t>
        </is>
      </c>
      <c r="D1568" t="inlineStr">
        <is>
          <t>26Y</t>
        </is>
      </c>
      <c r="E1568" t="inlineStr">
        <is>
          <t>EPS estimate FY2026</t>
        </is>
      </c>
      <c r="F1568" s="53">
        <f>_xll.BDP("ISRG US Equity","BEST_EPS","BEST_FPERIOD_OVERRIDE","26Y")</f>
        <v/>
      </c>
    </row>
    <row r="1569">
      <c r="A1569" t="inlineStr">
        <is>
          <t>ISRG</t>
        </is>
      </c>
      <c r="B1569" t="inlineStr">
        <is>
          <t>ISRG US Equity</t>
        </is>
      </c>
      <c r="C1569" t="inlineStr">
        <is>
          <t>BEST_SALES</t>
        </is>
      </c>
      <c r="D1569" t="inlineStr">
        <is>
          <t>26Y</t>
        </is>
      </c>
      <c r="E1569" t="inlineStr">
        <is>
          <t>Revenue estimate FY2026</t>
        </is>
      </c>
      <c r="F1569" s="53">
        <f>_xll.BDP("ISRG US Equity","BEST_SALES","BEST_FPERIOD_OVERRIDE","26Y")</f>
        <v/>
      </c>
    </row>
    <row r="1570">
      <c r="A1570" t="inlineStr">
        <is>
          <t>ISRG</t>
        </is>
      </c>
      <c r="B1570" t="inlineStr">
        <is>
          <t>ISRG US Equity</t>
        </is>
      </c>
      <c r="C1570" t="inlineStr">
        <is>
          <t>BEST_EBIT</t>
        </is>
      </c>
      <c r="D1570" t="inlineStr">
        <is>
          <t>26Y</t>
        </is>
      </c>
      <c r="E1570" t="inlineStr">
        <is>
          <t>EBIT estimate FY2026</t>
        </is>
      </c>
      <c r="F1570" s="53">
        <f>_xll.BDP("ISRG US Equity","BEST_EBIT","BEST_FPERIOD_OVERRIDE","26Y")</f>
        <v/>
      </c>
    </row>
    <row r="1571">
      <c r="A1571" t="inlineStr">
        <is>
          <t>ISRG</t>
        </is>
      </c>
      <c r="B1571" t="inlineStr">
        <is>
          <t>ISRG US Equity</t>
        </is>
      </c>
      <c r="C1571" t="inlineStr">
        <is>
          <t>BEST_EPS</t>
        </is>
      </c>
      <c r="D1571" t="inlineStr">
        <is>
          <t>27Y</t>
        </is>
      </c>
      <c r="E1571" t="inlineStr">
        <is>
          <t>EPS estimate FY2027</t>
        </is>
      </c>
      <c r="F1571" s="53">
        <f>_xll.BDP("ISRG US Equity","BEST_EPS","BEST_FPERIOD_OVERRIDE","27Y")</f>
        <v/>
      </c>
    </row>
    <row r="1572">
      <c r="A1572" t="inlineStr">
        <is>
          <t>ISRG</t>
        </is>
      </c>
      <c r="B1572" t="inlineStr">
        <is>
          <t>ISRG US Equity</t>
        </is>
      </c>
      <c r="C1572" t="inlineStr">
        <is>
          <t>BEST_SALES</t>
        </is>
      </c>
      <c r="D1572" t="inlineStr">
        <is>
          <t>27Y</t>
        </is>
      </c>
      <c r="E1572" t="inlineStr">
        <is>
          <t>Revenue estimate FY2027</t>
        </is>
      </c>
      <c r="F1572" s="53">
        <f>_xll.BDP("ISRG US Equity","BEST_SALES","BEST_FPERIOD_OVERRIDE","27Y")</f>
        <v/>
      </c>
    </row>
    <row r="1573">
      <c r="A1573" t="inlineStr">
        <is>
          <t>ISRG</t>
        </is>
      </c>
      <c r="B1573" t="inlineStr">
        <is>
          <t>ISRG US Equity</t>
        </is>
      </c>
      <c r="C1573" t="inlineStr">
        <is>
          <t>BEST_EBIT</t>
        </is>
      </c>
      <c r="D1573" t="inlineStr">
        <is>
          <t>27Y</t>
        </is>
      </c>
      <c r="E1573" t="inlineStr">
        <is>
          <t>EBIT estimate FY2027</t>
        </is>
      </c>
      <c r="F1573" s="53">
        <f>_xll.BDP("ISRG US Equity","BEST_EBIT","BEST_FPERIOD_OVERRIDE","27Y")</f>
        <v/>
      </c>
    </row>
    <row r="1574">
      <c r="A1574" t="inlineStr">
        <is>
          <t>ISRG</t>
        </is>
      </c>
      <c r="B1574" t="inlineStr">
        <is>
          <t>ISRG US Equity</t>
        </is>
      </c>
      <c r="C1574" t="inlineStr">
        <is>
          <t>BEST_EPS</t>
        </is>
      </c>
      <c r="D1574" t="inlineStr">
        <is>
          <t>28Y</t>
        </is>
      </c>
      <c r="E1574" t="inlineStr">
        <is>
          <t>EPS estimate FY2028</t>
        </is>
      </c>
      <c r="F1574" s="53">
        <f>_xll.BDP("ISRG US Equity","BEST_EPS","BEST_FPERIOD_OVERRIDE","28Y")</f>
        <v/>
      </c>
    </row>
    <row r="1575">
      <c r="A1575" t="inlineStr">
        <is>
          <t>ISRG</t>
        </is>
      </c>
      <c r="B1575" t="inlineStr">
        <is>
          <t>ISRG US Equity</t>
        </is>
      </c>
      <c r="C1575" t="inlineStr">
        <is>
          <t>BEST_SALES</t>
        </is>
      </c>
      <c r="D1575" t="inlineStr">
        <is>
          <t>28Y</t>
        </is>
      </c>
      <c r="E1575" t="inlineStr">
        <is>
          <t>Revenue estimate FY2028</t>
        </is>
      </c>
      <c r="F1575" s="53">
        <f>_xll.BDP("ISRG US Equity","BEST_SALES","BEST_FPERIOD_OVERRIDE","28Y")</f>
        <v/>
      </c>
    </row>
    <row r="1576">
      <c r="A1576" t="inlineStr">
        <is>
          <t>ISRG</t>
        </is>
      </c>
      <c r="B1576" t="inlineStr">
        <is>
          <t>ISRG US Equity</t>
        </is>
      </c>
      <c r="C1576" t="inlineStr">
        <is>
          <t>BEST_EBIT</t>
        </is>
      </c>
      <c r="D1576" t="inlineStr">
        <is>
          <t>28Y</t>
        </is>
      </c>
      <c r="E1576" t="inlineStr">
        <is>
          <t>EBIT estimate FY2028</t>
        </is>
      </c>
      <c r="F1576" s="53">
        <f>_xll.BDP("ISRG US Equity","BEST_EBIT","BEST_FPERIOD_OVERRIDE","28Y")</f>
        <v/>
      </c>
    </row>
    <row r="1577">
      <c r="A1577" t="inlineStr">
        <is>
          <t>CP</t>
        </is>
      </c>
      <c r="B1577" t="inlineStr">
        <is>
          <t>CP US Equity</t>
        </is>
      </c>
      <c r="C1577" t="inlineStr">
        <is>
          <t>PX_LAST</t>
        </is>
      </c>
      <c r="E1577" t="inlineStr">
        <is>
          <t>Last price</t>
        </is>
      </c>
      <c r="F1577" s="53">
        <f>_xll.BDP("CP US Equity","PX_LAST")</f>
        <v/>
      </c>
    </row>
    <row r="1578">
      <c r="A1578" t="inlineStr">
        <is>
          <t>CP</t>
        </is>
      </c>
      <c r="B1578" t="inlineStr">
        <is>
          <t>CP US Equity</t>
        </is>
      </c>
      <c r="C1578" t="inlineStr">
        <is>
          <t>CUR_MKT_CAP</t>
        </is>
      </c>
      <c r="E1578" t="inlineStr">
        <is>
          <t>Market cap (raw)</t>
        </is>
      </c>
      <c r="F1578" s="53">
        <f>_xll.BDP("CP US Equity","CUR_MKT_CAP")</f>
        <v/>
      </c>
    </row>
    <row r="1579">
      <c r="A1579" t="inlineStr">
        <is>
          <t>CP</t>
        </is>
      </c>
      <c r="B1579" t="inlineStr">
        <is>
          <t>CP US Equity</t>
        </is>
      </c>
      <c r="C1579" t="inlineStr">
        <is>
          <t>CHG_PCT_YTD</t>
        </is>
      </c>
      <c r="E1579" t="inlineStr">
        <is>
          <t>YTD price change %</t>
        </is>
      </c>
      <c r="F1579" s="53">
        <f>_xll.BDP("CP US Equity","CHG_PCT_YTD")</f>
        <v/>
      </c>
    </row>
    <row r="1580">
      <c r="A1580" t="inlineStr">
        <is>
          <t>CP</t>
        </is>
      </c>
      <c r="B1580" t="inlineStr">
        <is>
          <t>CP US Equity</t>
        </is>
      </c>
      <c r="C1580" t="inlineStr">
        <is>
          <t>NET_DEBT_TO_EBITDA</t>
        </is>
      </c>
      <c r="E1580" t="inlineStr">
        <is>
          <t>Net debt / EBITDA</t>
        </is>
      </c>
      <c r="F1580" s="53">
        <f>_xll.BDP("CP US Equity","NET_DEBT_TO_EBITDA")</f>
        <v/>
      </c>
    </row>
    <row r="1581">
      <c r="A1581" t="inlineStr">
        <is>
          <t>CP</t>
        </is>
      </c>
      <c r="B1581" t="inlineStr">
        <is>
          <t>CP US Equity</t>
        </is>
      </c>
      <c r="C1581" t="inlineStr">
        <is>
          <t>RETURN_ON_INV_CAPITAL</t>
        </is>
      </c>
      <c r="E1581" t="inlineStr">
        <is>
          <t>ROIC (LTM)</t>
        </is>
      </c>
      <c r="F1581" s="53">
        <f>_xll.BDP("CP US Equity","RETURN_ON_INV_CAPITAL")</f>
        <v/>
      </c>
    </row>
    <row r="1582">
      <c r="A1582" t="inlineStr">
        <is>
          <t>CP</t>
        </is>
      </c>
      <c r="B1582" t="inlineStr">
        <is>
          <t>CP US Equity</t>
        </is>
      </c>
      <c r="C1582" t="inlineStr">
        <is>
          <t>TRAIL_12M_OPER_INC</t>
        </is>
      </c>
      <c r="E1582" t="inlineStr">
        <is>
          <t>LTM operating income</t>
        </is>
      </c>
      <c r="F1582" s="53">
        <f>_xll.BDP("CP US Equity","TRAIL_12M_OPER_INC")</f>
        <v/>
      </c>
    </row>
    <row r="1583">
      <c r="A1583" t="inlineStr">
        <is>
          <t>CP</t>
        </is>
      </c>
      <c r="B1583" t="inlineStr">
        <is>
          <t>CP US Equity</t>
        </is>
      </c>
      <c r="C1583" t="inlineStr">
        <is>
          <t>TRAIL_12M_EBITDA</t>
        </is>
      </c>
      <c r="E1583" t="inlineStr">
        <is>
          <t>LTM EBITDA</t>
        </is>
      </c>
      <c r="F1583" s="53">
        <f>_xll.BDP("CP US Equity","TRAIL_12M_EBITDA")</f>
        <v/>
      </c>
    </row>
    <row r="1584">
      <c r="A1584" t="inlineStr">
        <is>
          <t>CP</t>
        </is>
      </c>
      <c r="B1584" t="inlineStr">
        <is>
          <t>CP US Equity</t>
        </is>
      </c>
      <c r="C1584" t="inlineStr">
        <is>
          <t>SHORT_AND_LONG_TERM_DEBT</t>
        </is>
      </c>
      <c r="E1584" t="inlineStr">
        <is>
          <t>Total debt</t>
        </is>
      </c>
      <c r="F1584" s="53">
        <f>_xll.BDP("CP US Equity","SHORT_AND_LONG_TERM_DEBT")</f>
        <v/>
      </c>
    </row>
    <row r="1585">
      <c r="A1585" t="inlineStr">
        <is>
          <t>CP</t>
        </is>
      </c>
      <c r="B1585" t="inlineStr">
        <is>
          <t>CP US Equity</t>
        </is>
      </c>
      <c r="C1585" t="inlineStr">
        <is>
          <t>TOTAL_EQUITY</t>
        </is>
      </c>
      <c r="E1585" t="inlineStr">
        <is>
          <t>Total equity</t>
        </is>
      </c>
      <c r="F1585" s="53">
        <f>_xll.BDP("CP US Equity","TOTAL_EQUITY")</f>
        <v/>
      </c>
    </row>
    <row r="1586">
      <c r="A1586" t="inlineStr">
        <is>
          <t>CP</t>
        </is>
      </c>
      <c r="B1586" t="inlineStr">
        <is>
          <t>CP US Equity</t>
        </is>
      </c>
      <c r="C1586" t="inlineStr">
        <is>
          <t>BS_CASH_NEAR_CASH_ITEM</t>
        </is>
      </c>
      <c r="E1586" t="inlineStr">
        <is>
          <t>Cash &amp; equivalents</t>
        </is>
      </c>
      <c r="F1586" s="53">
        <f>_xll.BDP("CP US Equity","BS_CASH_NEAR_CASH_ITEM")</f>
        <v/>
      </c>
    </row>
    <row r="1587">
      <c r="A1587" t="inlineStr">
        <is>
          <t>CP</t>
        </is>
      </c>
      <c r="B1587" t="inlineStr">
        <is>
          <t>CP US Equity</t>
        </is>
      </c>
      <c r="C1587" t="inlineStr">
        <is>
          <t>BEST_EPS</t>
        </is>
      </c>
      <c r="D1587" t="inlineStr">
        <is>
          <t>24Y</t>
        </is>
      </c>
      <c r="E1587" t="inlineStr">
        <is>
          <t>EPS estimate FY2024</t>
        </is>
      </c>
      <c r="F1587" s="53">
        <f>_xll.BDP("CP US Equity","BEST_EPS","BEST_FPERIOD_OVERRIDE","24Y")</f>
        <v/>
      </c>
    </row>
    <row r="1588">
      <c r="A1588" t="inlineStr">
        <is>
          <t>CP</t>
        </is>
      </c>
      <c r="B1588" t="inlineStr">
        <is>
          <t>CP US Equity</t>
        </is>
      </c>
      <c r="C1588" t="inlineStr">
        <is>
          <t>BEST_SALES</t>
        </is>
      </c>
      <c r="D1588" t="inlineStr">
        <is>
          <t>24Y</t>
        </is>
      </c>
      <c r="E1588" t="inlineStr">
        <is>
          <t>Revenue estimate FY2024</t>
        </is>
      </c>
      <c r="F1588" s="53">
        <f>_xll.BDP("CP US Equity","BEST_SALES","BEST_FPERIOD_OVERRIDE","24Y")</f>
        <v/>
      </c>
    </row>
    <row r="1589">
      <c r="A1589" t="inlineStr">
        <is>
          <t>CP</t>
        </is>
      </c>
      <c r="B1589" t="inlineStr">
        <is>
          <t>CP US Equity</t>
        </is>
      </c>
      <c r="C1589" t="inlineStr">
        <is>
          <t>BEST_EBIT</t>
        </is>
      </c>
      <c r="D1589" t="inlineStr">
        <is>
          <t>24Y</t>
        </is>
      </c>
      <c r="E1589" t="inlineStr">
        <is>
          <t>EBIT estimate FY2024</t>
        </is>
      </c>
      <c r="F1589" s="53">
        <f>_xll.BDP("CP US Equity","BEST_EBIT","BEST_FPERIOD_OVERRIDE","24Y")</f>
        <v/>
      </c>
    </row>
    <row r="1590">
      <c r="A1590" t="inlineStr">
        <is>
          <t>CP</t>
        </is>
      </c>
      <c r="B1590" t="inlineStr">
        <is>
          <t>CP US Equity</t>
        </is>
      </c>
      <c r="C1590" t="inlineStr">
        <is>
          <t>BEST_EPS</t>
        </is>
      </c>
      <c r="D1590" t="inlineStr">
        <is>
          <t>25Y</t>
        </is>
      </c>
      <c r="E1590" t="inlineStr">
        <is>
          <t>EPS estimate FY2025</t>
        </is>
      </c>
      <c r="F1590" s="53">
        <f>_xll.BDP("CP US Equity","BEST_EPS","BEST_FPERIOD_OVERRIDE","25Y")</f>
        <v/>
      </c>
    </row>
    <row r="1591">
      <c r="A1591" t="inlineStr">
        <is>
          <t>CP</t>
        </is>
      </c>
      <c r="B1591" t="inlineStr">
        <is>
          <t>CP US Equity</t>
        </is>
      </c>
      <c r="C1591" t="inlineStr">
        <is>
          <t>BEST_SALES</t>
        </is>
      </c>
      <c r="D1591" t="inlineStr">
        <is>
          <t>25Y</t>
        </is>
      </c>
      <c r="E1591" t="inlineStr">
        <is>
          <t>Revenue estimate FY2025</t>
        </is>
      </c>
      <c r="F1591" s="53">
        <f>_xll.BDP("CP US Equity","BEST_SALES","BEST_FPERIOD_OVERRIDE","25Y")</f>
        <v/>
      </c>
    </row>
    <row r="1592">
      <c r="A1592" t="inlineStr">
        <is>
          <t>CP</t>
        </is>
      </c>
      <c r="B1592" t="inlineStr">
        <is>
          <t>CP US Equity</t>
        </is>
      </c>
      <c r="C1592" t="inlineStr">
        <is>
          <t>BEST_EBIT</t>
        </is>
      </c>
      <c r="D1592" t="inlineStr">
        <is>
          <t>25Y</t>
        </is>
      </c>
      <c r="E1592" t="inlineStr">
        <is>
          <t>EBIT estimate FY2025</t>
        </is>
      </c>
      <c r="F1592" s="53">
        <f>_xll.BDP("CP US Equity","BEST_EBIT","BEST_FPERIOD_OVERRIDE","25Y")</f>
        <v/>
      </c>
    </row>
    <row r="1593">
      <c r="A1593" t="inlineStr">
        <is>
          <t>CP</t>
        </is>
      </c>
      <c r="B1593" t="inlineStr">
        <is>
          <t>CP US Equity</t>
        </is>
      </c>
      <c r="C1593" t="inlineStr">
        <is>
          <t>BEST_EPS</t>
        </is>
      </c>
      <c r="D1593" t="inlineStr">
        <is>
          <t>26Y</t>
        </is>
      </c>
      <c r="E1593" t="inlineStr">
        <is>
          <t>EPS estimate FY2026</t>
        </is>
      </c>
      <c r="F1593" s="53">
        <f>_xll.BDP("CP US Equity","BEST_EPS","BEST_FPERIOD_OVERRIDE","26Y")</f>
        <v/>
      </c>
    </row>
    <row r="1594">
      <c r="A1594" t="inlineStr">
        <is>
          <t>CP</t>
        </is>
      </c>
      <c r="B1594" t="inlineStr">
        <is>
          <t>CP US Equity</t>
        </is>
      </c>
      <c r="C1594" t="inlineStr">
        <is>
          <t>BEST_SALES</t>
        </is>
      </c>
      <c r="D1594" t="inlineStr">
        <is>
          <t>26Y</t>
        </is>
      </c>
      <c r="E1594" t="inlineStr">
        <is>
          <t>Revenue estimate FY2026</t>
        </is>
      </c>
      <c r="F1594" s="53">
        <f>_xll.BDP("CP US Equity","BEST_SALES","BEST_FPERIOD_OVERRIDE","26Y")</f>
        <v/>
      </c>
    </row>
    <row r="1595">
      <c r="A1595" t="inlineStr">
        <is>
          <t>CP</t>
        </is>
      </c>
      <c r="B1595" t="inlineStr">
        <is>
          <t>CP US Equity</t>
        </is>
      </c>
      <c r="C1595" t="inlineStr">
        <is>
          <t>BEST_EBIT</t>
        </is>
      </c>
      <c r="D1595" t="inlineStr">
        <is>
          <t>26Y</t>
        </is>
      </c>
      <c r="E1595" t="inlineStr">
        <is>
          <t>EBIT estimate FY2026</t>
        </is>
      </c>
      <c r="F1595" s="53">
        <f>_xll.BDP("CP US Equity","BEST_EBIT","BEST_FPERIOD_OVERRIDE","26Y")</f>
        <v/>
      </c>
    </row>
    <row r="1596">
      <c r="A1596" t="inlineStr">
        <is>
          <t>CP</t>
        </is>
      </c>
      <c r="B1596" t="inlineStr">
        <is>
          <t>CP US Equity</t>
        </is>
      </c>
      <c r="C1596" t="inlineStr">
        <is>
          <t>BEST_EPS</t>
        </is>
      </c>
      <c r="D1596" t="inlineStr">
        <is>
          <t>27Y</t>
        </is>
      </c>
      <c r="E1596" t="inlineStr">
        <is>
          <t>EPS estimate FY2027</t>
        </is>
      </c>
      <c r="F1596" s="53">
        <f>_xll.BDP("CP US Equity","BEST_EPS","BEST_FPERIOD_OVERRIDE","27Y")</f>
        <v/>
      </c>
    </row>
    <row r="1597">
      <c r="A1597" t="inlineStr">
        <is>
          <t>CP</t>
        </is>
      </c>
      <c r="B1597" t="inlineStr">
        <is>
          <t>CP US Equity</t>
        </is>
      </c>
      <c r="C1597" t="inlineStr">
        <is>
          <t>BEST_SALES</t>
        </is>
      </c>
      <c r="D1597" t="inlineStr">
        <is>
          <t>27Y</t>
        </is>
      </c>
      <c r="E1597" t="inlineStr">
        <is>
          <t>Revenue estimate FY2027</t>
        </is>
      </c>
      <c r="F1597" s="53">
        <f>_xll.BDP("CP US Equity","BEST_SALES","BEST_FPERIOD_OVERRIDE","27Y")</f>
        <v/>
      </c>
    </row>
    <row r="1598">
      <c r="A1598" t="inlineStr">
        <is>
          <t>CP</t>
        </is>
      </c>
      <c r="B1598" t="inlineStr">
        <is>
          <t>CP US Equity</t>
        </is>
      </c>
      <c r="C1598" t="inlineStr">
        <is>
          <t>BEST_EBIT</t>
        </is>
      </c>
      <c r="D1598" t="inlineStr">
        <is>
          <t>27Y</t>
        </is>
      </c>
      <c r="E1598" t="inlineStr">
        <is>
          <t>EBIT estimate FY2027</t>
        </is>
      </c>
      <c r="F1598" s="53">
        <f>_xll.BDP("CP US Equity","BEST_EBIT","BEST_FPERIOD_OVERRIDE","27Y")</f>
        <v/>
      </c>
    </row>
    <row r="1599">
      <c r="A1599" t="inlineStr">
        <is>
          <t>CP</t>
        </is>
      </c>
      <c r="B1599" t="inlineStr">
        <is>
          <t>CP US Equity</t>
        </is>
      </c>
      <c r="C1599" t="inlineStr">
        <is>
          <t>BEST_EPS</t>
        </is>
      </c>
      <c r="D1599" t="inlineStr">
        <is>
          <t>28Y</t>
        </is>
      </c>
      <c r="E1599" t="inlineStr">
        <is>
          <t>EPS estimate FY2028</t>
        </is>
      </c>
      <c r="F1599" s="53">
        <f>_xll.BDP("CP US Equity","BEST_EPS","BEST_FPERIOD_OVERRIDE","28Y")</f>
        <v/>
      </c>
    </row>
    <row r="1600">
      <c r="A1600" t="inlineStr">
        <is>
          <t>CP</t>
        </is>
      </c>
      <c r="B1600" t="inlineStr">
        <is>
          <t>CP US Equity</t>
        </is>
      </c>
      <c r="C1600" t="inlineStr">
        <is>
          <t>BEST_SALES</t>
        </is>
      </c>
      <c r="D1600" t="inlineStr">
        <is>
          <t>28Y</t>
        </is>
      </c>
      <c r="E1600" t="inlineStr">
        <is>
          <t>Revenue estimate FY2028</t>
        </is>
      </c>
      <c r="F1600" s="53">
        <f>_xll.BDP("CP US Equity","BEST_SALES","BEST_FPERIOD_OVERRIDE","28Y")</f>
        <v/>
      </c>
    </row>
    <row r="1601">
      <c r="A1601" t="inlineStr">
        <is>
          <t>CP</t>
        </is>
      </c>
      <c r="B1601" t="inlineStr">
        <is>
          <t>CP US Equity</t>
        </is>
      </c>
      <c r="C1601" t="inlineStr">
        <is>
          <t>BEST_EBIT</t>
        </is>
      </c>
      <c r="D1601" t="inlineStr">
        <is>
          <t>28Y</t>
        </is>
      </c>
      <c r="E1601" t="inlineStr">
        <is>
          <t>EBIT estimate FY2028</t>
        </is>
      </c>
      <c r="F1601" s="53">
        <f>_xll.BDP("CP US Equity","BEST_EBIT","BEST_FPERIOD_OVERRIDE","28Y")</f>
        <v/>
      </c>
    </row>
    <row r="1602">
      <c r="A1602" t="inlineStr">
        <is>
          <t>AAPL</t>
        </is>
      </c>
      <c r="B1602" t="inlineStr">
        <is>
          <t>AAPL US Equity</t>
        </is>
      </c>
      <c r="C1602" t="inlineStr">
        <is>
          <t>PX_LAST</t>
        </is>
      </c>
      <c r="E1602" t="inlineStr">
        <is>
          <t>Last price</t>
        </is>
      </c>
      <c r="F1602" s="53">
        <f>_xll.BDP("AAPL US Equity","PX_LAST")</f>
        <v/>
      </c>
    </row>
    <row r="1603">
      <c r="A1603" t="inlineStr">
        <is>
          <t>AAPL</t>
        </is>
      </c>
      <c r="B1603" t="inlineStr">
        <is>
          <t>AAPL US Equity</t>
        </is>
      </c>
      <c r="C1603" t="inlineStr">
        <is>
          <t>CUR_MKT_CAP</t>
        </is>
      </c>
      <c r="E1603" t="inlineStr">
        <is>
          <t>Market cap (raw)</t>
        </is>
      </c>
      <c r="F1603" s="53">
        <f>_xll.BDP("AAPL US Equity","CUR_MKT_CAP")</f>
        <v/>
      </c>
    </row>
    <row r="1604">
      <c r="A1604" t="inlineStr">
        <is>
          <t>AAPL</t>
        </is>
      </c>
      <c r="B1604" t="inlineStr">
        <is>
          <t>AAPL US Equity</t>
        </is>
      </c>
      <c r="C1604" t="inlineStr">
        <is>
          <t>CHG_PCT_YTD</t>
        </is>
      </c>
      <c r="E1604" t="inlineStr">
        <is>
          <t>YTD price change %</t>
        </is>
      </c>
      <c r="F1604" s="53">
        <f>_xll.BDP("AAPL US Equity","CHG_PCT_YTD")</f>
        <v/>
      </c>
    </row>
    <row r="1605">
      <c r="A1605" t="inlineStr">
        <is>
          <t>AAPL</t>
        </is>
      </c>
      <c r="B1605" t="inlineStr">
        <is>
          <t>AAPL US Equity</t>
        </is>
      </c>
      <c r="C1605" t="inlineStr">
        <is>
          <t>NET_DEBT_TO_EBITDA</t>
        </is>
      </c>
      <c r="E1605" t="inlineStr">
        <is>
          <t>Net debt / EBITDA</t>
        </is>
      </c>
      <c r="F1605" s="53">
        <f>_xll.BDP("AAPL US Equity","NET_DEBT_TO_EBITDA")</f>
        <v/>
      </c>
    </row>
    <row r="1606">
      <c r="A1606" t="inlineStr">
        <is>
          <t>AAPL</t>
        </is>
      </c>
      <c r="B1606" t="inlineStr">
        <is>
          <t>AAPL US Equity</t>
        </is>
      </c>
      <c r="C1606" t="inlineStr">
        <is>
          <t>RETURN_ON_INV_CAPITAL</t>
        </is>
      </c>
      <c r="E1606" t="inlineStr">
        <is>
          <t>ROIC (LTM)</t>
        </is>
      </c>
      <c r="F1606" s="53">
        <f>_xll.BDP("AAPL US Equity","RETURN_ON_INV_CAPITAL")</f>
        <v/>
      </c>
    </row>
    <row r="1607">
      <c r="A1607" t="inlineStr">
        <is>
          <t>AAPL</t>
        </is>
      </c>
      <c r="B1607" t="inlineStr">
        <is>
          <t>AAPL US Equity</t>
        </is>
      </c>
      <c r="C1607" t="inlineStr">
        <is>
          <t>TRAIL_12M_OPER_INC</t>
        </is>
      </c>
      <c r="E1607" t="inlineStr">
        <is>
          <t>LTM operating income</t>
        </is>
      </c>
      <c r="F1607" s="53">
        <f>_xll.BDP("AAPL US Equity","TRAIL_12M_OPER_INC")</f>
        <v/>
      </c>
    </row>
    <row r="1608">
      <c r="A1608" t="inlineStr">
        <is>
          <t>AAPL</t>
        </is>
      </c>
      <c r="B1608" t="inlineStr">
        <is>
          <t>AAPL US Equity</t>
        </is>
      </c>
      <c r="C1608" t="inlineStr">
        <is>
          <t>TRAIL_12M_EBITDA</t>
        </is>
      </c>
      <c r="E1608" t="inlineStr">
        <is>
          <t>LTM EBITDA</t>
        </is>
      </c>
      <c r="F1608" s="53">
        <f>_xll.BDP("AAPL US Equity","TRAIL_12M_EBITDA")</f>
        <v/>
      </c>
    </row>
    <row r="1609">
      <c r="A1609" t="inlineStr">
        <is>
          <t>AAPL</t>
        </is>
      </c>
      <c r="B1609" t="inlineStr">
        <is>
          <t>AAPL US Equity</t>
        </is>
      </c>
      <c r="C1609" t="inlineStr">
        <is>
          <t>SHORT_AND_LONG_TERM_DEBT</t>
        </is>
      </c>
      <c r="E1609" t="inlineStr">
        <is>
          <t>Total debt</t>
        </is>
      </c>
      <c r="F1609" s="53">
        <f>_xll.BDP("AAPL US Equity","SHORT_AND_LONG_TERM_DEBT")</f>
        <v/>
      </c>
    </row>
    <row r="1610">
      <c r="A1610" t="inlineStr">
        <is>
          <t>AAPL</t>
        </is>
      </c>
      <c r="B1610" t="inlineStr">
        <is>
          <t>AAPL US Equity</t>
        </is>
      </c>
      <c r="C1610" t="inlineStr">
        <is>
          <t>TOTAL_EQUITY</t>
        </is>
      </c>
      <c r="E1610" t="inlineStr">
        <is>
          <t>Total equity</t>
        </is>
      </c>
      <c r="F1610" s="53">
        <f>_xll.BDP("AAPL US Equity","TOTAL_EQUITY")</f>
        <v/>
      </c>
    </row>
    <row r="1611">
      <c r="A1611" t="inlineStr">
        <is>
          <t>AAPL</t>
        </is>
      </c>
      <c r="B1611" t="inlineStr">
        <is>
          <t>AAPL US Equity</t>
        </is>
      </c>
      <c r="C1611" t="inlineStr">
        <is>
          <t>BS_CASH_NEAR_CASH_ITEM</t>
        </is>
      </c>
      <c r="E1611" t="inlineStr">
        <is>
          <t>Cash &amp; equivalents</t>
        </is>
      </c>
      <c r="F1611" s="53">
        <f>_xll.BDP("AAPL US Equity","BS_CASH_NEAR_CASH_ITEM")</f>
        <v/>
      </c>
    </row>
    <row r="1612">
      <c r="A1612" t="inlineStr">
        <is>
          <t>AAPL</t>
        </is>
      </c>
      <c r="B1612" t="inlineStr">
        <is>
          <t>AAPL US Equity</t>
        </is>
      </c>
      <c r="C1612" t="inlineStr">
        <is>
          <t>BEST_EPS</t>
        </is>
      </c>
      <c r="D1612" t="inlineStr">
        <is>
          <t>24Y</t>
        </is>
      </c>
      <c r="E1612" t="inlineStr">
        <is>
          <t>EPS estimate FY2024</t>
        </is>
      </c>
      <c r="F1612" s="53">
        <f>_xll.BDP("AAPL US Equity","BEST_EPS","BEST_FPERIOD_OVERRIDE","24Y")</f>
        <v/>
      </c>
    </row>
    <row r="1613">
      <c r="A1613" t="inlineStr">
        <is>
          <t>AAPL</t>
        </is>
      </c>
      <c r="B1613" t="inlineStr">
        <is>
          <t>AAPL US Equity</t>
        </is>
      </c>
      <c r="C1613" t="inlineStr">
        <is>
          <t>BEST_SALES</t>
        </is>
      </c>
      <c r="D1613" t="inlineStr">
        <is>
          <t>24Y</t>
        </is>
      </c>
      <c r="E1613" t="inlineStr">
        <is>
          <t>Revenue estimate FY2024</t>
        </is>
      </c>
      <c r="F1613" s="53">
        <f>_xll.BDP("AAPL US Equity","BEST_SALES","BEST_FPERIOD_OVERRIDE","24Y")</f>
        <v/>
      </c>
    </row>
    <row r="1614">
      <c r="A1614" t="inlineStr">
        <is>
          <t>AAPL</t>
        </is>
      </c>
      <c r="B1614" t="inlineStr">
        <is>
          <t>AAPL US Equity</t>
        </is>
      </c>
      <c r="C1614" t="inlineStr">
        <is>
          <t>BEST_EBIT</t>
        </is>
      </c>
      <c r="D1614" t="inlineStr">
        <is>
          <t>24Y</t>
        </is>
      </c>
      <c r="E1614" t="inlineStr">
        <is>
          <t>EBIT estimate FY2024</t>
        </is>
      </c>
      <c r="F1614" s="53">
        <f>_xll.BDP("AAPL US Equity","BEST_EBIT","BEST_FPERIOD_OVERRIDE","24Y")</f>
        <v/>
      </c>
    </row>
    <row r="1615">
      <c r="A1615" t="inlineStr">
        <is>
          <t>AAPL</t>
        </is>
      </c>
      <c r="B1615" t="inlineStr">
        <is>
          <t>AAPL US Equity</t>
        </is>
      </c>
      <c r="C1615" t="inlineStr">
        <is>
          <t>BEST_EPS</t>
        </is>
      </c>
      <c r="D1615" t="inlineStr">
        <is>
          <t>25Y</t>
        </is>
      </c>
      <c r="E1615" t="inlineStr">
        <is>
          <t>EPS estimate FY2025</t>
        </is>
      </c>
      <c r="F1615" s="53">
        <f>_xll.BDP("AAPL US Equity","BEST_EPS","BEST_FPERIOD_OVERRIDE","25Y")</f>
        <v/>
      </c>
    </row>
    <row r="1616">
      <c r="A1616" t="inlineStr">
        <is>
          <t>AAPL</t>
        </is>
      </c>
      <c r="B1616" t="inlineStr">
        <is>
          <t>AAPL US Equity</t>
        </is>
      </c>
      <c r="C1616" t="inlineStr">
        <is>
          <t>BEST_SALES</t>
        </is>
      </c>
      <c r="D1616" t="inlineStr">
        <is>
          <t>25Y</t>
        </is>
      </c>
      <c r="E1616" t="inlineStr">
        <is>
          <t>Revenue estimate FY2025</t>
        </is>
      </c>
      <c r="F1616" s="53">
        <f>_xll.BDP("AAPL US Equity","BEST_SALES","BEST_FPERIOD_OVERRIDE","25Y")</f>
        <v/>
      </c>
    </row>
    <row r="1617">
      <c r="A1617" t="inlineStr">
        <is>
          <t>AAPL</t>
        </is>
      </c>
      <c r="B1617" t="inlineStr">
        <is>
          <t>AAPL US Equity</t>
        </is>
      </c>
      <c r="C1617" t="inlineStr">
        <is>
          <t>BEST_EBIT</t>
        </is>
      </c>
      <c r="D1617" t="inlineStr">
        <is>
          <t>25Y</t>
        </is>
      </c>
      <c r="E1617" t="inlineStr">
        <is>
          <t>EBIT estimate FY2025</t>
        </is>
      </c>
      <c r="F1617" s="53">
        <f>_xll.BDP("AAPL US Equity","BEST_EBIT","BEST_FPERIOD_OVERRIDE","25Y")</f>
        <v/>
      </c>
    </row>
    <row r="1618">
      <c r="A1618" t="inlineStr">
        <is>
          <t>AAPL</t>
        </is>
      </c>
      <c r="B1618" t="inlineStr">
        <is>
          <t>AAPL US Equity</t>
        </is>
      </c>
      <c r="C1618" t="inlineStr">
        <is>
          <t>BEST_EPS</t>
        </is>
      </c>
      <c r="D1618" t="inlineStr">
        <is>
          <t>26Y</t>
        </is>
      </c>
      <c r="E1618" t="inlineStr">
        <is>
          <t>EPS estimate FY2026</t>
        </is>
      </c>
      <c r="F1618" s="53">
        <f>_xll.BDP("AAPL US Equity","BEST_EPS","BEST_FPERIOD_OVERRIDE","26Y")</f>
        <v/>
      </c>
    </row>
    <row r="1619">
      <c r="A1619" t="inlineStr">
        <is>
          <t>AAPL</t>
        </is>
      </c>
      <c r="B1619" t="inlineStr">
        <is>
          <t>AAPL US Equity</t>
        </is>
      </c>
      <c r="C1619" t="inlineStr">
        <is>
          <t>BEST_SALES</t>
        </is>
      </c>
      <c r="D1619" t="inlineStr">
        <is>
          <t>26Y</t>
        </is>
      </c>
      <c r="E1619" t="inlineStr">
        <is>
          <t>Revenue estimate FY2026</t>
        </is>
      </c>
      <c r="F1619" s="53">
        <f>_xll.BDP("AAPL US Equity","BEST_SALES","BEST_FPERIOD_OVERRIDE","26Y")</f>
        <v/>
      </c>
    </row>
    <row r="1620">
      <c r="A1620" t="inlineStr">
        <is>
          <t>AAPL</t>
        </is>
      </c>
      <c r="B1620" t="inlineStr">
        <is>
          <t>AAPL US Equity</t>
        </is>
      </c>
      <c r="C1620" t="inlineStr">
        <is>
          <t>BEST_EBIT</t>
        </is>
      </c>
      <c r="D1620" t="inlineStr">
        <is>
          <t>26Y</t>
        </is>
      </c>
      <c r="E1620" t="inlineStr">
        <is>
          <t>EBIT estimate FY2026</t>
        </is>
      </c>
      <c r="F1620" s="53">
        <f>_xll.BDP("AAPL US Equity","BEST_EBIT","BEST_FPERIOD_OVERRIDE","26Y")</f>
        <v/>
      </c>
    </row>
    <row r="1621">
      <c r="A1621" t="inlineStr">
        <is>
          <t>AAPL</t>
        </is>
      </c>
      <c r="B1621" t="inlineStr">
        <is>
          <t>AAPL US Equity</t>
        </is>
      </c>
      <c r="C1621" t="inlineStr">
        <is>
          <t>BEST_EPS</t>
        </is>
      </c>
      <c r="D1621" t="inlineStr">
        <is>
          <t>27Y</t>
        </is>
      </c>
      <c r="E1621" t="inlineStr">
        <is>
          <t>EPS estimate FY2027</t>
        </is>
      </c>
      <c r="F1621" s="53">
        <f>_xll.BDP("AAPL US Equity","BEST_EPS","BEST_FPERIOD_OVERRIDE","27Y")</f>
        <v/>
      </c>
    </row>
    <row r="1622">
      <c r="A1622" t="inlineStr">
        <is>
          <t>AAPL</t>
        </is>
      </c>
      <c r="B1622" t="inlineStr">
        <is>
          <t>AAPL US Equity</t>
        </is>
      </c>
      <c r="C1622" t="inlineStr">
        <is>
          <t>BEST_SALES</t>
        </is>
      </c>
      <c r="D1622" t="inlineStr">
        <is>
          <t>27Y</t>
        </is>
      </c>
      <c r="E1622" t="inlineStr">
        <is>
          <t>Revenue estimate FY2027</t>
        </is>
      </c>
      <c r="F1622" s="53">
        <f>_xll.BDP("AAPL US Equity","BEST_SALES","BEST_FPERIOD_OVERRIDE","27Y")</f>
        <v/>
      </c>
    </row>
    <row r="1623">
      <c r="A1623" t="inlineStr">
        <is>
          <t>AAPL</t>
        </is>
      </c>
      <c r="B1623" t="inlineStr">
        <is>
          <t>AAPL US Equity</t>
        </is>
      </c>
      <c r="C1623" t="inlineStr">
        <is>
          <t>BEST_EBIT</t>
        </is>
      </c>
      <c r="D1623" t="inlineStr">
        <is>
          <t>27Y</t>
        </is>
      </c>
      <c r="E1623" t="inlineStr">
        <is>
          <t>EBIT estimate FY2027</t>
        </is>
      </c>
      <c r="F1623" s="53">
        <f>_xll.BDP("AAPL US Equity","BEST_EBIT","BEST_FPERIOD_OVERRIDE","27Y")</f>
        <v/>
      </c>
    </row>
    <row r="1624">
      <c r="A1624" t="inlineStr">
        <is>
          <t>AAPL</t>
        </is>
      </c>
      <c r="B1624" t="inlineStr">
        <is>
          <t>AAPL US Equity</t>
        </is>
      </c>
      <c r="C1624" t="inlineStr">
        <is>
          <t>BEST_EPS</t>
        </is>
      </c>
      <c r="D1624" t="inlineStr">
        <is>
          <t>28Y</t>
        </is>
      </c>
      <c r="E1624" t="inlineStr">
        <is>
          <t>EPS estimate FY2028</t>
        </is>
      </c>
      <c r="F1624" s="53">
        <f>_xll.BDP("AAPL US Equity","BEST_EPS","BEST_FPERIOD_OVERRIDE","28Y")</f>
        <v/>
      </c>
    </row>
    <row r="1625">
      <c r="A1625" t="inlineStr">
        <is>
          <t>AAPL</t>
        </is>
      </c>
      <c r="B1625" t="inlineStr">
        <is>
          <t>AAPL US Equity</t>
        </is>
      </c>
      <c r="C1625" t="inlineStr">
        <is>
          <t>BEST_SALES</t>
        </is>
      </c>
      <c r="D1625" t="inlineStr">
        <is>
          <t>28Y</t>
        </is>
      </c>
      <c r="E1625" t="inlineStr">
        <is>
          <t>Revenue estimate FY2028</t>
        </is>
      </c>
      <c r="F1625" s="53">
        <f>_xll.BDP("AAPL US Equity","BEST_SALES","BEST_FPERIOD_OVERRIDE","28Y")</f>
        <v/>
      </c>
    </row>
    <row r="1626">
      <c r="A1626" t="inlineStr">
        <is>
          <t>AAPL</t>
        </is>
      </c>
      <c r="B1626" t="inlineStr">
        <is>
          <t>AAPL US Equity</t>
        </is>
      </c>
      <c r="C1626" t="inlineStr">
        <is>
          <t>BEST_EBIT</t>
        </is>
      </c>
      <c r="D1626" t="inlineStr">
        <is>
          <t>28Y</t>
        </is>
      </c>
      <c r="E1626" t="inlineStr">
        <is>
          <t>EBIT estimate FY2028</t>
        </is>
      </c>
      <c r="F1626" s="53">
        <f>_xll.BDP("AAPL US Equity","BEST_EBIT","BEST_FPERIOD_OVERRIDE","28Y")</f>
        <v/>
      </c>
    </row>
    <row r="1627">
      <c r="A1627" t="inlineStr">
        <is>
          <t>NFLX</t>
        </is>
      </c>
      <c r="B1627" t="inlineStr">
        <is>
          <t>NFLX US Equity</t>
        </is>
      </c>
      <c r="C1627" t="inlineStr">
        <is>
          <t>PX_LAST</t>
        </is>
      </c>
      <c r="E1627" t="inlineStr">
        <is>
          <t>Last price</t>
        </is>
      </c>
      <c r="F1627" s="53">
        <f>_xll.BDP("NFLX US Equity","PX_LAST")</f>
        <v/>
      </c>
    </row>
    <row r="1628">
      <c r="A1628" t="inlineStr">
        <is>
          <t>NFLX</t>
        </is>
      </c>
      <c r="B1628" t="inlineStr">
        <is>
          <t>NFLX US Equity</t>
        </is>
      </c>
      <c r="C1628" t="inlineStr">
        <is>
          <t>CUR_MKT_CAP</t>
        </is>
      </c>
      <c r="E1628" t="inlineStr">
        <is>
          <t>Market cap (raw)</t>
        </is>
      </c>
      <c r="F1628" s="53">
        <f>_xll.BDP("NFLX US Equity","CUR_MKT_CAP")</f>
        <v/>
      </c>
    </row>
    <row r="1629">
      <c r="A1629" t="inlineStr">
        <is>
          <t>NFLX</t>
        </is>
      </c>
      <c r="B1629" t="inlineStr">
        <is>
          <t>NFLX US Equity</t>
        </is>
      </c>
      <c r="C1629" t="inlineStr">
        <is>
          <t>CHG_PCT_YTD</t>
        </is>
      </c>
      <c r="E1629" t="inlineStr">
        <is>
          <t>YTD price change %</t>
        </is>
      </c>
      <c r="F1629" s="53">
        <f>_xll.BDP("NFLX US Equity","CHG_PCT_YTD")</f>
        <v/>
      </c>
    </row>
    <row r="1630">
      <c r="A1630" t="inlineStr">
        <is>
          <t>NFLX</t>
        </is>
      </c>
      <c r="B1630" t="inlineStr">
        <is>
          <t>NFLX US Equity</t>
        </is>
      </c>
      <c r="C1630" t="inlineStr">
        <is>
          <t>NET_DEBT_TO_EBITDA</t>
        </is>
      </c>
      <c r="E1630" t="inlineStr">
        <is>
          <t>Net debt / EBITDA</t>
        </is>
      </c>
      <c r="F1630" s="53">
        <f>_xll.BDP("NFLX US Equity","NET_DEBT_TO_EBITDA")</f>
        <v/>
      </c>
    </row>
    <row r="1631">
      <c r="A1631" t="inlineStr">
        <is>
          <t>NFLX</t>
        </is>
      </c>
      <c r="B1631" t="inlineStr">
        <is>
          <t>NFLX US Equity</t>
        </is>
      </c>
      <c r="C1631" t="inlineStr">
        <is>
          <t>RETURN_ON_INV_CAPITAL</t>
        </is>
      </c>
      <c r="E1631" t="inlineStr">
        <is>
          <t>ROIC (LTM)</t>
        </is>
      </c>
      <c r="F1631" s="53">
        <f>_xll.BDP("NFLX US Equity","RETURN_ON_INV_CAPITAL")</f>
        <v/>
      </c>
    </row>
    <row r="1632">
      <c r="A1632" t="inlineStr">
        <is>
          <t>NFLX</t>
        </is>
      </c>
      <c r="B1632" t="inlineStr">
        <is>
          <t>NFLX US Equity</t>
        </is>
      </c>
      <c r="C1632" t="inlineStr">
        <is>
          <t>TRAIL_12M_OPER_INC</t>
        </is>
      </c>
      <c r="E1632" t="inlineStr">
        <is>
          <t>LTM operating income</t>
        </is>
      </c>
      <c r="F1632" s="53">
        <f>_xll.BDP("NFLX US Equity","TRAIL_12M_OPER_INC")</f>
        <v/>
      </c>
    </row>
    <row r="1633">
      <c r="A1633" t="inlineStr">
        <is>
          <t>NFLX</t>
        </is>
      </c>
      <c r="B1633" t="inlineStr">
        <is>
          <t>NFLX US Equity</t>
        </is>
      </c>
      <c r="C1633" t="inlineStr">
        <is>
          <t>TRAIL_12M_EBITDA</t>
        </is>
      </c>
      <c r="E1633" t="inlineStr">
        <is>
          <t>LTM EBITDA</t>
        </is>
      </c>
      <c r="F1633" s="53">
        <f>_xll.BDP("NFLX US Equity","TRAIL_12M_EBITDA")</f>
        <v/>
      </c>
    </row>
    <row r="1634">
      <c r="A1634" t="inlineStr">
        <is>
          <t>NFLX</t>
        </is>
      </c>
      <c r="B1634" t="inlineStr">
        <is>
          <t>NFLX US Equity</t>
        </is>
      </c>
      <c r="C1634" t="inlineStr">
        <is>
          <t>SHORT_AND_LONG_TERM_DEBT</t>
        </is>
      </c>
      <c r="E1634" t="inlineStr">
        <is>
          <t>Total debt</t>
        </is>
      </c>
      <c r="F1634" s="53">
        <f>_xll.BDP("NFLX US Equity","SHORT_AND_LONG_TERM_DEBT")</f>
        <v/>
      </c>
    </row>
    <row r="1635">
      <c r="A1635" t="inlineStr">
        <is>
          <t>NFLX</t>
        </is>
      </c>
      <c r="B1635" t="inlineStr">
        <is>
          <t>NFLX US Equity</t>
        </is>
      </c>
      <c r="C1635" t="inlineStr">
        <is>
          <t>TOTAL_EQUITY</t>
        </is>
      </c>
      <c r="E1635" t="inlineStr">
        <is>
          <t>Total equity</t>
        </is>
      </c>
      <c r="F1635" s="53">
        <f>_xll.BDP("NFLX US Equity","TOTAL_EQUITY")</f>
        <v/>
      </c>
    </row>
    <row r="1636">
      <c r="A1636" t="inlineStr">
        <is>
          <t>NFLX</t>
        </is>
      </c>
      <c r="B1636" t="inlineStr">
        <is>
          <t>NFLX US Equity</t>
        </is>
      </c>
      <c r="C1636" t="inlineStr">
        <is>
          <t>BS_CASH_NEAR_CASH_ITEM</t>
        </is>
      </c>
      <c r="E1636" t="inlineStr">
        <is>
          <t>Cash &amp; equivalents</t>
        </is>
      </c>
      <c r="F1636" s="53">
        <f>_xll.BDP("NFLX US Equity","BS_CASH_NEAR_CASH_ITEM")</f>
        <v/>
      </c>
    </row>
    <row r="1637">
      <c r="A1637" t="inlineStr">
        <is>
          <t>NFLX</t>
        </is>
      </c>
      <c r="B1637" t="inlineStr">
        <is>
          <t>NFLX US Equity</t>
        </is>
      </c>
      <c r="C1637" t="inlineStr">
        <is>
          <t>BEST_EPS</t>
        </is>
      </c>
      <c r="D1637" t="inlineStr">
        <is>
          <t>24Y</t>
        </is>
      </c>
      <c r="E1637" t="inlineStr">
        <is>
          <t>EPS estimate FY2024</t>
        </is>
      </c>
      <c r="F1637" s="53">
        <f>_xll.BDP("NFLX US Equity","BEST_EPS","BEST_FPERIOD_OVERRIDE","24Y")</f>
        <v/>
      </c>
    </row>
    <row r="1638">
      <c r="A1638" t="inlineStr">
        <is>
          <t>NFLX</t>
        </is>
      </c>
      <c r="B1638" t="inlineStr">
        <is>
          <t>NFLX US Equity</t>
        </is>
      </c>
      <c r="C1638" t="inlineStr">
        <is>
          <t>BEST_SALES</t>
        </is>
      </c>
      <c r="D1638" t="inlineStr">
        <is>
          <t>24Y</t>
        </is>
      </c>
      <c r="E1638" t="inlineStr">
        <is>
          <t>Revenue estimate FY2024</t>
        </is>
      </c>
      <c r="F1638" s="53">
        <f>_xll.BDP("NFLX US Equity","BEST_SALES","BEST_FPERIOD_OVERRIDE","24Y")</f>
        <v/>
      </c>
    </row>
    <row r="1639">
      <c r="A1639" t="inlineStr">
        <is>
          <t>NFLX</t>
        </is>
      </c>
      <c r="B1639" t="inlineStr">
        <is>
          <t>NFLX US Equity</t>
        </is>
      </c>
      <c r="C1639" t="inlineStr">
        <is>
          <t>BEST_EBIT</t>
        </is>
      </c>
      <c r="D1639" t="inlineStr">
        <is>
          <t>24Y</t>
        </is>
      </c>
      <c r="E1639" t="inlineStr">
        <is>
          <t>EBIT estimate FY2024</t>
        </is>
      </c>
      <c r="F1639" s="53">
        <f>_xll.BDP("NFLX US Equity","BEST_EBIT","BEST_FPERIOD_OVERRIDE","24Y")</f>
        <v/>
      </c>
    </row>
    <row r="1640">
      <c r="A1640" t="inlineStr">
        <is>
          <t>NFLX</t>
        </is>
      </c>
      <c r="B1640" t="inlineStr">
        <is>
          <t>NFLX US Equity</t>
        </is>
      </c>
      <c r="C1640" t="inlineStr">
        <is>
          <t>BEST_EPS</t>
        </is>
      </c>
      <c r="D1640" t="inlineStr">
        <is>
          <t>25Y</t>
        </is>
      </c>
      <c r="E1640" t="inlineStr">
        <is>
          <t>EPS estimate FY2025</t>
        </is>
      </c>
      <c r="F1640" s="53">
        <f>_xll.BDP("NFLX US Equity","BEST_EPS","BEST_FPERIOD_OVERRIDE","25Y")</f>
        <v/>
      </c>
    </row>
    <row r="1641">
      <c r="A1641" t="inlineStr">
        <is>
          <t>NFLX</t>
        </is>
      </c>
      <c r="B1641" t="inlineStr">
        <is>
          <t>NFLX US Equity</t>
        </is>
      </c>
      <c r="C1641" t="inlineStr">
        <is>
          <t>BEST_SALES</t>
        </is>
      </c>
      <c r="D1641" t="inlineStr">
        <is>
          <t>25Y</t>
        </is>
      </c>
      <c r="E1641" t="inlineStr">
        <is>
          <t>Revenue estimate FY2025</t>
        </is>
      </c>
      <c r="F1641" s="53">
        <f>_xll.BDP("NFLX US Equity","BEST_SALES","BEST_FPERIOD_OVERRIDE","25Y")</f>
        <v/>
      </c>
    </row>
    <row r="1642">
      <c r="A1642" t="inlineStr">
        <is>
          <t>NFLX</t>
        </is>
      </c>
      <c r="B1642" t="inlineStr">
        <is>
          <t>NFLX US Equity</t>
        </is>
      </c>
      <c r="C1642" t="inlineStr">
        <is>
          <t>BEST_EBIT</t>
        </is>
      </c>
      <c r="D1642" t="inlineStr">
        <is>
          <t>25Y</t>
        </is>
      </c>
      <c r="E1642" t="inlineStr">
        <is>
          <t>EBIT estimate FY2025</t>
        </is>
      </c>
      <c r="F1642" s="53">
        <f>_xll.BDP("NFLX US Equity","BEST_EBIT","BEST_FPERIOD_OVERRIDE","25Y")</f>
        <v/>
      </c>
    </row>
    <row r="1643">
      <c r="A1643" t="inlineStr">
        <is>
          <t>NFLX</t>
        </is>
      </c>
      <c r="B1643" t="inlineStr">
        <is>
          <t>NFLX US Equity</t>
        </is>
      </c>
      <c r="C1643" t="inlineStr">
        <is>
          <t>BEST_EPS</t>
        </is>
      </c>
      <c r="D1643" t="inlineStr">
        <is>
          <t>26Y</t>
        </is>
      </c>
      <c r="E1643" t="inlineStr">
        <is>
          <t>EPS estimate FY2026</t>
        </is>
      </c>
      <c r="F1643" s="53">
        <f>_xll.BDP("NFLX US Equity","BEST_EPS","BEST_FPERIOD_OVERRIDE","26Y")</f>
        <v/>
      </c>
    </row>
    <row r="1644">
      <c r="A1644" t="inlineStr">
        <is>
          <t>NFLX</t>
        </is>
      </c>
      <c r="B1644" t="inlineStr">
        <is>
          <t>NFLX US Equity</t>
        </is>
      </c>
      <c r="C1644" t="inlineStr">
        <is>
          <t>BEST_SALES</t>
        </is>
      </c>
      <c r="D1644" t="inlineStr">
        <is>
          <t>26Y</t>
        </is>
      </c>
      <c r="E1644" t="inlineStr">
        <is>
          <t>Revenue estimate FY2026</t>
        </is>
      </c>
      <c r="F1644" s="53">
        <f>_xll.BDP("NFLX US Equity","BEST_SALES","BEST_FPERIOD_OVERRIDE","26Y")</f>
        <v/>
      </c>
    </row>
    <row r="1645">
      <c r="A1645" t="inlineStr">
        <is>
          <t>NFLX</t>
        </is>
      </c>
      <c r="B1645" t="inlineStr">
        <is>
          <t>NFLX US Equity</t>
        </is>
      </c>
      <c r="C1645" t="inlineStr">
        <is>
          <t>BEST_EBIT</t>
        </is>
      </c>
      <c r="D1645" t="inlineStr">
        <is>
          <t>26Y</t>
        </is>
      </c>
      <c r="E1645" t="inlineStr">
        <is>
          <t>EBIT estimate FY2026</t>
        </is>
      </c>
      <c r="F1645" s="53">
        <f>_xll.BDP("NFLX US Equity","BEST_EBIT","BEST_FPERIOD_OVERRIDE","26Y")</f>
        <v/>
      </c>
    </row>
    <row r="1646">
      <c r="A1646" t="inlineStr">
        <is>
          <t>NFLX</t>
        </is>
      </c>
      <c r="B1646" t="inlineStr">
        <is>
          <t>NFLX US Equity</t>
        </is>
      </c>
      <c r="C1646" t="inlineStr">
        <is>
          <t>BEST_EPS</t>
        </is>
      </c>
      <c r="D1646" t="inlineStr">
        <is>
          <t>27Y</t>
        </is>
      </c>
      <c r="E1646" t="inlineStr">
        <is>
          <t>EPS estimate FY2027</t>
        </is>
      </c>
      <c r="F1646" s="53">
        <f>_xll.BDP("NFLX US Equity","BEST_EPS","BEST_FPERIOD_OVERRIDE","27Y")</f>
        <v/>
      </c>
    </row>
    <row r="1647">
      <c r="A1647" t="inlineStr">
        <is>
          <t>NFLX</t>
        </is>
      </c>
      <c r="B1647" t="inlineStr">
        <is>
          <t>NFLX US Equity</t>
        </is>
      </c>
      <c r="C1647" t="inlineStr">
        <is>
          <t>BEST_SALES</t>
        </is>
      </c>
      <c r="D1647" t="inlineStr">
        <is>
          <t>27Y</t>
        </is>
      </c>
      <c r="E1647" t="inlineStr">
        <is>
          <t>Revenue estimate FY2027</t>
        </is>
      </c>
      <c r="F1647" s="53">
        <f>_xll.BDP("NFLX US Equity","BEST_SALES","BEST_FPERIOD_OVERRIDE","27Y")</f>
        <v/>
      </c>
    </row>
    <row r="1648">
      <c r="A1648" t="inlineStr">
        <is>
          <t>NFLX</t>
        </is>
      </c>
      <c r="B1648" t="inlineStr">
        <is>
          <t>NFLX US Equity</t>
        </is>
      </c>
      <c r="C1648" t="inlineStr">
        <is>
          <t>BEST_EBIT</t>
        </is>
      </c>
      <c r="D1648" t="inlineStr">
        <is>
          <t>27Y</t>
        </is>
      </c>
      <c r="E1648" t="inlineStr">
        <is>
          <t>EBIT estimate FY2027</t>
        </is>
      </c>
      <c r="F1648" s="53">
        <f>_xll.BDP("NFLX US Equity","BEST_EBIT","BEST_FPERIOD_OVERRIDE","27Y")</f>
        <v/>
      </c>
    </row>
    <row r="1649">
      <c r="A1649" t="inlineStr">
        <is>
          <t>NFLX</t>
        </is>
      </c>
      <c r="B1649" t="inlineStr">
        <is>
          <t>NFLX US Equity</t>
        </is>
      </c>
      <c r="C1649" t="inlineStr">
        <is>
          <t>BEST_EPS</t>
        </is>
      </c>
      <c r="D1649" t="inlineStr">
        <is>
          <t>28Y</t>
        </is>
      </c>
      <c r="E1649" t="inlineStr">
        <is>
          <t>EPS estimate FY2028</t>
        </is>
      </c>
      <c r="F1649" s="53">
        <f>_xll.BDP("NFLX US Equity","BEST_EPS","BEST_FPERIOD_OVERRIDE","28Y")</f>
        <v/>
      </c>
    </row>
    <row r="1650">
      <c r="A1650" t="inlineStr">
        <is>
          <t>NFLX</t>
        </is>
      </c>
      <c r="B1650" t="inlineStr">
        <is>
          <t>NFLX US Equity</t>
        </is>
      </c>
      <c r="C1650" t="inlineStr">
        <is>
          <t>BEST_SALES</t>
        </is>
      </c>
      <c r="D1650" t="inlineStr">
        <is>
          <t>28Y</t>
        </is>
      </c>
      <c r="E1650" t="inlineStr">
        <is>
          <t>Revenue estimate FY2028</t>
        </is>
      </c>
      <c r="F1650" s="53">
        <f>_xll.BDP("NFLX US Equity","BEST_SALES","BEST_FPERIOD_OVERRIDE","28Y")</f>
        <v/>
      </c>
    </row>
    <row r="1651">
      <c r="A1651" t="inlineStr">
        <is>
          <t>NFLX</t>
        </is>
      </c>
      <c r="B1651" t="inlineStr">
        <is>
          <t>NFLX US Equity</t>
        </is>
      </c>
      <c r="C1651" t="inlineStr">
        <is>
          <t>BEST_EBIT</t>
        </is>
      </c>
      <c r="D1651" t="inlineStr">
        <is>
          <t>28Y</t>
        </is>
      </c>
      <c r="E1651" t="inlineStr">
        <is>
          <t>EBIT estimate FY2028</t>
        </is>
      </c>
      <c r="F1651" s="53">
        <f>_xll.BDP("NFLX US Equity","BEST_EBIT","BEST_FPERIOD_OVERRIDE","28Y")</f>
        <v/>
      </c>
    </row>
    <row r="1652">
      <c r="A1652" t="inlineStr">
        <is>
          <t>INTU</t>
        </is>
      </c>
      <c r="B1652" t="inlineStr">
        <is>
          <t>INTU US Equity</t>
        </is>
      </c>
      <c r="C1652" t="inlineStr">
        <is>
          <t>PX_LAST</t>
        </is>
      </c>
      <c r="E1652" t="inlineStr">
        <is>
          <t>Last price</t>
        </is>
      </c>
      <c r="F1652" s="53">
        <f>_xll.BDP("INTU US Equity","PX_LAST")</f>
        <v/>
      </c>
    </row>
    <row r="1653">
      <c r="A1653" t="inlineStr">
        <is>
          <t>INTU</t>
        </is>
      </c>
      <c r="B1653" t="inlineStr">
        <is>
          <t>INTU US Equity</t>
        </is>
      </c>
      <c r="C1653" t="inlineStr">
        <is>
          <t>CUR_MKT_CAP</t>
        </is>
      </c>
      <c r="E1653" t="inlineStr">
        <is>
          <t>Market cap (raw)</t>
        </is>
      </c>
      <c r="F1653" s="53">
        <f>_xll.BDP("INTU US Equity","CUR_MKT_CAP")</f>
        <v/>
      </c>
    </row>
    <row r="1654">
      <c r="A1654" t="inlineStr">
        <is>
          <t>INTU</t>
        </is>
      </c>
      <c r="B1654" t="inlineStr">
        <is>
          <t>INTU US Equity</t>
        </is>
      </c>
      <c r="C1654" t="inlineStr">
        <is>
          <t>CHG_PCT_YTD</t>
        </is>
      </c>
      <c r="E1654" t="inlineStr">
        <is>
          <t>YTD price change %</t>
        </is>
      </c>
      <c r="F1654" s="53">
        <f>_xll.BDP("INTU US Equity","CHG_PCT_YTD")</f>
        <v/>
      </c>
    </row>
    <row r="1655">
      <c r="A1655" t="inlineStr">
        <is>
          <t>INTU</t>
        </is>
      </c>
      <c r="B1655" t="inlineStr">
        <is>
          <t>INTU US Equity</t>
        </is>
      </c>
      <c r="C1655" t="inlineStr">
        <is>
          <t>NET_DEBT_TO_EBITDA</t>
        </is>
      </c>
      <c r="E1655" t="inlineStr">
        <is>
          <t>Net debt / EBITDA</t>
        </is>
      </c>
      <c r="F1655" s="53">
        <f>_xll.BDP("INTU US Equity","NET_DEBT_TO_EBITDA")</f>
        <v/>
      </c>
    </row>
    <row r="1656">
      <c r="A1656" t="inlineStr">
        <is>
          <t>INTU</t>
        </is>
      </c>
      <c r="B1656" t="inlineStr">
        <is>
          <t>INTU US Equity</t>
        </is>
      </c>
      <c r="C1656" t="inlineStr">
        <is>
          <t>RETURN_ON_INV_CAPITAL</t>
        </is>
      </c>
      <c r="E1656" t="inlineStr">
        <is>
          <t>ROIC (LTM)</t>
        </is>
      </c>
      <c r="F1656" s="53">
        <f>_xll.BDP("INTU US Equity","RETURN_ON_INV_CAPITAL")</f>
        <v/>
      </c>
    </row>
    <row r="1657">
      <c r="A1657" t="inlineStr">
        <is>
          <t>INTU</t>
        </is>
      </c>
      <c r="B1657" t="inlineStr">
        <is>
          <t>INTU US Equity</t>
        </is>
      </c>
      <c r="C1657" t="inlineStr">
        <is>
          <t>TRAIL_12M_OPER_INC</t>
        </is>
      </c>
      <c r="E1657" t="inlineStr">
        <is>
          <t>LTM operating income</t>
        </is>
      </c>
      <c r="F1657" s="53">
        <f>_xll.BDP("INTU US Equity","TRAIL_12M_OPER_INC")</f>
        <v/>
      </c>
    </row>
    <row r="1658">
      <c r="A1658" t="inlineStr">
        <is>
          <t>INTU</t>
        </is>
      </c>
      <c r="B1658" t="inlineStr">
        <is>
          <t>INTU US Equity</t>
        </is>
      </c>
      <c r="C1658" t="inlineStr">
        <is>
          <t>TRAIL_12M_EBITDA</t>
        </is>
      </c>
      <c r="E1658" t="inlineStr">
        <is>
          <t>LTM EBITDA</t>
        </is>
      </c>
      <c r="F1658" s="53">
        <f>_xll.BDP("INTU US Equity","TRAIL_12M_EBITDA")</f>
        <v/>
      </c>
    </row>
    <row r="1659">
      <c r="A1659" t="inlineStr">
        <is>
          <t>INTU</t>
        </is>
      </c>
      <c r="B1659" t="inlineStr">
        <is>
          <t>INTU US Equity</t>
        </is>
      </c>
      <c r="C1659" t="inlineStr">
        <is>
          <t>SHORT_AND_LONG_TERM_DEBT</t>
        </is>
      </c>
      <c r="E1659" t="inlineStr">
        <is>
          <t>Total debt</t>
        </is>
      </c>
      <c r="F1659" s="53">
        <f>_xll.BDP("INTU US Equity","SHORT_AND_LONG_TERM_DEBT")</f>
        <v/>
      </c>
    </row>
    <row r="1660">
      <c r="A1660" t="inlineStr">
        <is>
          <t>INTU</t>
        </is>
      </c>
      <c r="B1660" t="inlineStr">
        <is>
          <t>INTU US Equity</t>
        </is>
      </c>
      <c r="C1660" t="inlineStr">
        <is>
          <t>TOTAL_EQUITY</t>
        </is>
      </c>
      <c r="E1660" t="inlineStr">
        <is>
          <t>Total equity</t>
        </is>
      </c>
      <c r="F1660" s="53">
        <f>_xll.BDP("INTU US Equity","TOTAL_EQUITY")</f>
        <v/>
      </c>
    </row>
    <row r="1661">
      <c r="A1661" t="inlineStr">
        <is>
          <t>INTU</t>
        </is>
      </c>
      <c r="B1661" t="inlineStr">
        <is>
          <t>INTU US Equity</t>
        </is>
      </c>
      <c r="C1661" t="inlineStr">
        <is>
          <t>BS_CASH_NEAR_CASH_ITEM</t>
        </is>
      </c>
      <c r="E1661" t="inlineStr">
        <is>
          <t>Cash &amp; equivalents</t>
        </is>
      </c>
      <c r="F1661" s="53">
        <f>_xll.BDP("INTU US Equity","BS_CASH_NEAR_CASH_ITEM")</f>
        <v/>
      </c>
    </row>
    <row r="1662">
      <c r="A1662" t="inlineStr">
        <is>
          <t>INTU</t>
        </is>
      </c>
      <c r="B1662" t="inlineStr">
        <is>
          <t>INTU US Equity</t>
        </is>
      </c>
      <c r="C1662" t="inlineStr">
        <is>
          <t>BEST_EPS</t>
        </is>
      </c>
      <c r="D1662" t="inlineStr">
        <is>
          <t>24Y</t>
        </is>
      </c>
      <c r="E1662" t="inlineStr">
        <is>
          <t>EPS estimate FY2024</t>
        </is>
      </c>
      <c r="F1662" s="53">
        <f>_xll.BDP("INTU US Equity","BEST_EPS","BEST_FPERIOD_OVERRIDE","24Y")</f>
        <v/>
      </c>
    </row>
    <row r="1663">
      <c r="A1663" t="inlineStr">
        <is>
          <t>INTU</t>
        </is>
      </c>
      <c r="B1663" t="inlineStr">
        <is>
          <t>INTU US Equity</t>
        </is>
      </c>
      <c r="C1663" t="inlineStr">
        <is>
          <t>BEST_SALES</t>
        </is>
      </c>
      <c r="D1663" t="inlineStr">
        <is>
          <t>24Y</t>
        </is>
      </c>
      <c r="E1663" t="inlineStr">
        <is>
          <t>Revenue estimate FY2024</t>
        </is>
      </c>
      <c r="F1663" s="53">
        <f>_xll.BDP("INTU US Equity","BEST_SALES","BEST_FPERIOD_OVERRIDE","24Y")</f>
        <v/>
      </c>
    </row>
    <row r="1664">
      <c r="A1664" t="inlineStr">
        <is>
          <t>INTU</t>
        </is>
      </c>
      <c r="B1664" t="inlineStr">
        <is>
          <t>INTU US Equity</t>
        </is>
      </c>
      <c r="C1664" t="inlineStr">
        <is>
          <t>BEST_EBIT</t>
        </is>
      </c>
      <c r="D1664" t="inlineStr">
        <is>
          <t>24Y</t>
        </is>
      </c>
      <c r="E1664" t="inlineStr">
        <is>
          <t>EBIT estimate FY2024</t>
        </is>
      </c>
      <c r="F1664" s="53">
        <f>_xll.BDP("INTU US Equity","BEST_EBIT","BEST_FPERIOD_OVERRIDE","24Y")</f>
        <v/>
      </c>
    </row>
    <row r="1665">
      <c r="A1665" t="inlineStr">
        <is>
          <t>INTU</t>
        </is>
      </c>
      <c r="B1665" t="inlineStr">
        <is>
          <t>INTU US Equity</t>
        </is>
      </c>
      <c r="C1665" t="inlineStr">
        <is>
          <t>BEST_EPS</t>
        </is>
      </c>
      <c r="D1665" t="inlineStr">
        <is>
          <t>25Y</t>
        </is>
      </c>
      <c r="E1665" t="inlineStr">
        <is>
          <t>EPS estimate FY2025</t>
        </is>
      </c>
      <c r="F1665" s="53">
        <f>_xll.BDP("INTU US Equity","BEST_EPS","BEST_FPERIOD_OVERRIDE","25Y")</f>
        <v/>
      </c>
    </row>
    <row r="1666">
      <c r="A1666" t="inlineStr">
        <is>
          <t>INTU</t>
        </is>
      </c>
      <c r="B1666" t="inlineStr">
        <is>
          <t>INTU US Equity</t>
        </is>
      </c>
      <c r="C1666" t="inlineStr">
        <is>
          <t>BEST_SALES</t>
        </is>
      </c>
      <c r="D1666" t="inlineStr">
        <is>
          <t>25Y</t>
        </is>
      </c>
      <c r="E1666" t="inlineStr">
        <is>
          <t>Revenue estimate FY2025</t>
        </is>
      </c>
      <c r="F1666" s="53">
        <f>_xll.BDP("INTU US Equity","BEST_SALES","BEST_FPERIOD_OVERRIDE","25Y")</f>
        <v/>
      </c>
    </row>
    <row r="1667">
      <c r="A1667" t="inlineStr">
        <is>
          <t>INTU</t>
        </is>
      </c>
      <c r="B1667" t="inlineStr">
        <is>
          <t>INTU US Equity</t>
        </is>
      </c>
      <c r="C1667" t="inlineStr">
        <is>
          <t>BEST_EBIT</t>
        </is>
      </c>
      <c r="D1667" t="inlineStr">
        <is>
          <t>25Y</t>
        </is>
      </c>
      <c r="E1667" t="inlineStr">
        <is>
          <t>EBIT estimate FY2025</t>
        </is>
      </c>
      <c r="F1667" s="53">
        <f>_xll.BDP("INTU US Equity","BEST_EBIT","BEST_FPERIOD_OVERRIDE","25Y")</f>
        <v/>
      </c>
    </row>
    <row r="1668">
      <c r="A1668" t="inlineStr">
        <is>
          <t>INTU</t>
        </is>
      </c>
      <c r="B1668" t="inlineStr">
        <is>
          <t>INTU US Equity</t>
        </is>
      </c>
      <c r="C1668" t="inlineStr">
        <is>
          <t>BEST_EPS</t>
        </is>
      </c>
      <c r="D1668" t="inlineStr">
        <is>
          <t>26Y</t>
        </is>
      </c>
      <c r="E1668" t="inlineStr">
        <is>
          <t>EPS estimate FY2026</t>
        </is>
      </c>
      <c r="F1668" s="53">
        <f>_xll.BDP("INTU US Equity","BEST_EPS","BEST_FPERIOD_OVERRIDE","26Y")</f>
        <v/>
      </c>
    </row>
    <row r="1669">
      <c r="A1669" t="inlineStr">
        <is>
          <t>INTU</t>
        </is>
      </c>
      <c r="B1669" t="inlineStr">
        <is>
          <t>INTU US Equity</t>
        </is>
      </c>
      <c r="C1669" t="inlineStr">
        <is>
          <t>BEST_SALES</t>
        </is>
      </c>
      <c r="D1669" t="inlineStr">
        <is>
          <t>26Y</t>
        </is>
      </c>
      <c r="E1669" t="inlineStr">
        <is>
          <t>Revenue estimate FY2026</t>
        </is>
      </c>
      <c r="F1669" s="53">
        <f>_xll.BDP("INTU US Equity","BEST_SALES","BEST_FPERIOD_OVERRIDE","26Y")</f>
        <v/>
      </c>
    </row>
    <row r="1670">
      <c r="A1670" t="inlineStr">
        <is>
          <t>INTU</t>
        </is>
      </c>
      <c r="B1670" t="inlineStr">
        <is>
          <t>INTU US Equity</t>
        </is>
      </c>
      <c r="C1670" t="inlineStr">
        <is>
          <t>BEST_EBIT</t>
        </is>
      </c>
      <c r="D1670" t="inlineStr">
        <is>
          <t>26Y</t>
        </is>
      </c>
      <c r="E1670" t="inlineStr">
        <is>
          <t>EBIT estimate FY2026</t>
        </is>
      </c>
      <c r="F1670" s="53">
        <f>_xll.BDP("INTU US Equity","BEST_EBIT","BEST_FPERIOD_OVERRIDE","26Y")</f>
        <v/>
      </c>
    </row>
    <row r="1671">
      <c r="A1671" t="inlineStr">
        <is>
          <t>INTU</t>
        </is>
      </c>
      <c r="B1671" t="inlineStr">
        <is>
          <t>INTU US Equity</t>
        </is>
      </c>
      <c r="C1671" t="inlineStr">
        <is>
          <t>BEST_EPS</t>
        </is>
      </c>
      <c r="D1671" t="inlineStr">
        <is>
          <t>27Y</t>
        </is>
      </c>
      <c r="E1671" t="inlineStr">
        <is>
          <t>EPS estimate FY2027</t>
        </is>
      </c>
      <c r="F1671" s="53">
        <f>_xll.BDP("INTU US Equity","BEST_EPS","BEST_FPERIOD_OVERRIDE","27Y")</f>
        <v/>
      </c>
    </row>
    <row r="1672">
      <c r="A1672" t="inlineStr">
        <is>
          <t>INTU</t>
        </is>
      </c>
      <c r="B1672" t="inlineStr">
        <is>
          <t>INTU US Equity</t>
        </is>
      </c>
      <c r="C1672" t="inlineStr">
        <is>
          <t>BEST_SALES</t>
        </is>
      </c>
      <c r="D1672" t="inlineStr">
        <is>
          <t>27Y</t>
        </is>
      </c>
      <c r="E1672" t="inlineStr">
        <is>
          <t>Revenue estimate FY2027</t>
        </is>
      </c>
      <c r="F1672" s="53">
        <f>_xll.BDP("INTU US Equity","BEST_SALES","BEST_FPERIOD_OVERRIDE","27Y")</f>
        <v/>
      </c>
    </row>
    <row r="1673">
      <c r="A1673" t="inlineStr">
        <is>
          <t>INTU</t>
        </is>
      </c>
      <c r="B1673" t="inlineStr">
        <is>
          <t>INTU US Equity</t>
        </is>
      </c>
      <c r="C1673" t="inlineStr">
        <is>
          <t>BEST_EBIT</t>
        </is>
      </c>
      <c r="D1673" t="inlineStr">
        <is>
          <t>27Y</t>
        </is>
      </c>
      <c r="E1673" t="inlineStr">
        <is>
          <t>EBIT estimate FY2027</t>
        </is>
      </c>
      <c r="F1673" s="53">
        <f>_xll.BDP("INTU US Equity","BEST_EBIT","BEST_FPERIOD_OVERRIDE","27Y")</f>
        <v/>
      </c>
    </row>
    <row r="1674">
      <c r="A1674" t="inlineStr">
        <is>
          <t>INTU</t>
        </is>
      </c>
      <c r="B1674" t="inlineStr">
        <is>
          <t>INTU US Equity</t>
        </is>
      </c>
      <c r="C1674" t="inlineStr">
        <is>
          <t>BEST_EPS</t>
        </is>
      </c>
      <c r="D1674" t="inlineStr">
        <is>
          <t>28Y</t>
        </is>
      </c>
      <c r="E1674" t="inlineStr">
        <is>
          <t>EPS estimate FY2028</t>
        </is>
      </c>
      <c r="F1674" s="53">
        <f>_xll.BDP("INTU US Equity","BEST_EPS","BEST_FPERIOD_OVERRIDE","28Y")</f>
        <v/>
      </c>
    </row>
    <row r="1675">
      <c r="A1675" t="inlineStr">
        <is>
          <t>INTU</t>
        </is>
      </c>
      <c r="B1675" t="inlineStr">
        <is>
          <t>INTU US Equity</t>
        </is>
      </c>
      <c r="C1675" t="inlineStr">
        <is>
          <t>BEST_SALES</t>
        </is>
      </c>
      <c r="D1675" t="inlineStr">
        <is>
          <t>28Y</t>
        </is>
      </c>
      <c r="E1675" t="inlineStr">
        <is>
          <t>Revenue estimate FY2028</t>
        </is>
      </c>
      <c r="F1675" s="53">
        <f>_xll.BDP("INTU US Equity","BEST_SALES","BEST_FPERIOD_OVERRIDE","28Y")</f>
        <v/>
      </c>
    </row>
    <row r="1676">
      <c r="A1676" t="inlineStr">
        <is>
          <t>INTU</t>
        </is>
      </c>
      <c r="B1676" t="inlineStr">
        <is>
          <t>INTU US Equity</t>
        </is>
      </c>
      <c r="C1676" t="inlineStr">
        <is>
          <t>BEST_EBIT</t>
        </is>
      </c>
      <c r="D1676" t="inlineStr">
        <is>
          <t>28Y</t>
        </is>
      </c>
      <c r="E1676" t="inlineStr">
        <is>
          <t>EBIT estimate FY2028</t>
        </is>
      </c>
      <c r="F1676" s="53">
        <f>_xll.BDP("INTU US Equity","BEST_EBIT","BEST_FPERIOD_OVERRIDE","28Y")</f>
        <v/>
      </c>
    </row>
    <row r="1677">
      <c r="A1677" t="inlineStr">
        <is>
          <t>ASML</t>
        </is>
      </c>
      <c r="B1677" t="inlineStr">
        <is>
          <t>ASML US Equity</t>
        </is>
      </c>
      <c r="C1677" t="inlineStr">
        <is>
          <t>PX_LAST</t>
        </is>
      </c>
      <c r="E1677" t="inlineStr">
        <is>
          <t>Last price</t>
        </is>
      </c>
      <c r="F1677" s="53">
        <f>_xll.BDP("ASML US Equity","PX_LAST")</f>
        <v/>
      </c>
    </row>
    <row r="1678">
      <c r="A1678" t="inlineStr">
        <is>
          <t>ASML</t>
        </is>
      </c>
      <c r="B1678" t="inlineStr">
        <is>
          <t>ASML US Equity</t>
        </is>
      </c>
      <c r="C1678" t="inlineStr">
        <is>
          <t>CUR_MKT_CAP</t>
        </is>
      </c>
      <c r="E1678" t="inlineStr">
        <is>
          <t>Market cap (raw)</t>
        </is>
      </c>
      <c r="F1678" s="53">
        <f>_xll.BDP("ASML US Equity","CUR_MKT_CAP")</f>
        <v/>
      </c>
    </row>
    <row r="1679">
      <c r="A1679" t="inlineStr">
        <is>
          <t>ASML</t>
        </is>
      </c>
      <c r="B1679" t="inlineStr">
        <is>
          <t>ASML US Equity</t>
        </is>
      </c>
      <c r="C1679" t="inlineStr">
        <is>
          <t>CHG_PCT_YTD</t>
        </is>
      </c>
      <c r="E1679" t="inlineStr">
        <is>
          <t>YTD price change %</t>
        </is>
      </c>
      <c r="F1679" s="53">
        <f>_xll.BDP("ASML US Equity","CHG_PCT_YTD")</f>
        <v/>
      </c>
    </row>
    <row r="1680">
      <c r="A1680" t="inlineStr">
        <is>
          <t>ASML</t>
        </is>
      </c>
      <c r="B1680" t="inlineStr">
        <is>
          <t>ASML US Equity</t>
        </is>
      </c>
      <c r="C1680" t="inlineStr">
        <is>
          <t>NET_DEBT_TO_EBITDA</t>
        </is>
      </c>
      <c r="E1680" t="inlineStr">
        <is>
          <t>Net debt / EBITDA</t>
        </is>
      </c>
      <c r="F1680" s="53">
        <f>_xll.BDP("ASML US Equity","NET_DEBT_TO_EBITDA")</f>
        <v/>
      </c>
    </row>
    <row r="1681">
      <c r="A1681" t="inlineStr">
        <is>
          <t>ASML</t>
        </is>
      </c>
      <c r="B1681" t="inlineStr">
        <is>
          <t>ASML US Equity</t>
        </is>
      </c>
      <c r="C1681" t="inlineStr">
        <is>
          <t>RETURN_ON_INV_CAPITAL</t>
        </is>
      </c>
      <c r="E1681" t="inlineStr">
        <is>
          <t>ROIC (LTM)</t>
        </is>
      </c>
      <c r="F1681" s="53">
        <f>_xll.BDP("ASML US Equity","RETURN_ON_INV_CAPITAL")</f>
        <v/>
      </c>
    </row>
    <row r="1682">
      <c r="A1682" t="inlineStr">
        <is>
          <t>ASML</t>
        </is>
      </c>
      <c r="B1682" t="inlineStr">
        <is>
          <t>ASML US Equity</t>
        </is>
      </c>
      <c r="C1682" t="inlineStr">
        <is>
          <t>TRAIL_12M_OPER_INC</t>
        </is>
      </c>
      <c r="E1682" t="inlineStr">
        <is>
          <t>LTM operating income</t>
        </is>
      </c>
      <c r="F1682" s="53">
        <f>_xll.BDP("ASML US Equity","TRAIL_12M_OPER_INC")</f>
        <v/>
      </c>
    </row>
    <row r="1683">
      <c r="A1683" t="inlineStr">
        <is>
          <t>ASML</t>
        </is>
      </c>
      <c r="B1683" t="inlineStr">
        <is>
          <t>ASML US Equity</t>
        </is>
      </c>
      <c r="C1683" t="inlineStr">
        <is>
          <t>TRAIL_12M_EBITDA</t>
        </is>
      </c>
      <c r="E1683" t="inlineStr">
        <is>
          <t>LTM EBITDA</t>
        </is>
      </c>
      <c r="F1683" s="53">
        <f>_xll.BDP("ASML US Equity","TRAIL_12M_EBITDA")</f>
        <v/>
      </c>
    </row>
    <row r="1684">
      <c r="A1684" t="inlineStr">
        <is>
          <t>ASML</t>
        </is>
      </c>
      <c r="B1684" t="inlineStr">
        <is>
          <t>ASML US Equity</t>
        </is>
      </c>
      <c r="C1684" t="inlineStr">
        <is>
          <t>SHORT_AND_LONG_TERM_DEBT</t>
        </is>
      </c>
      <c r="E1684" t="inlineStr">
        <is>
          <t>Total debt</t>
        </is>
      </c>
      <c r="F1684" s="53">
        <f>_xll.BDP("ASML US Equity","SHORT_AND_LONG_TERM_DEBT")</f>
        <v/>
      </c>
    </row>
    <row r="1685">
      <c r="A1685" t="inlineStr">
        <is>
          <t>ASML</t>
        </is>
      </c>
      <c r="B1685" t="inlineStr">
        <is>
          <t>ASML US Equity</t>
        </is>
      </c>
      <c r="C1685" t="inlineStr">
        <is>
          <t>TOTAL_EQUITY</t>
        </is>
      </c>
      <c r="E1685" t="inlineStr">
        <is>
          <t>Total equity</t>
        </is>
      </c>
      <c r="F1685" s="53">
        <f>_xll.BDP("ASML US Equity","TOTAL_EQUITY")</f>
        <v/>
      </c>
    </row>
    <row r="1686">
      <c r="A1686" t="inlineStr">
        <is>
          <t>ASML</t>
        </is>
      </c>
      <c r="B1686" t="inlineStr">
        <is>
          <t>ASML US Equity</t>
        </is>
      </c>
      <c r="C1686" t="inlineStr">
        <is>
          <t>BS_CASH_NEAR_CASH_ITEM</t>
        </is>
      </c>
      <c r="E1686" t="inlineStr">
        <is>
          <t>Cash &amp; equivalents</t>
        </is>
      </c>
      <c r="F1686" s="53">
        <f>_xll.BDP("ASML US Equity","BS_CASH_NEAR_CASH_ITEM")</f>
        <v/>
      </c>
    </row>
    <row r="1687">
      <c r="A1687" t="inlineStr">
        <is>
          <t>ASML</t>
        </is>
      </c>
      <c r="B1687" t="inlineStr">
        <is>
          <t>ASML US Equity</t>
        </is>
      </c>
      <c r="C1687" t="inlineStr">
        <is>
          <t>BEST_EPS</t>
        </is>
      </c>
      <c r="D1687" t="inlineStr">
        <is>
          <t>24Y</t>
        </is>
      </c>
      <c r="E1687" t="inlineStr">
        <is>
          <t>EPS estimate FY2024</t>
        </is>
      </c>
      <c r="F1687" s="53">
        <f>_xll.BDP("ASML US Equity","BEST_EPS","BEST_FPERIOD_OVERRIDE","24Y")</f>
        <v/>
      </c>
    </row>
    <row r="1688">
      <c r="A1688" t="inlineStr">
        <is>
          <t>ASML</t>
        </is>
      </c>
      <c r="B1688" t="inlineStr">
        <is>
          <t>ASML US Equity</t>
        </is>
      </c>
      <c r="C1688" t="inlineStr">
        <is>
          <t>BEST_SALES</t>
        </is>
      </c>
      <c r="D1688" t="inlineStr">
        <is>
          <t>24Y</t>
        </is>
      </c>
      <c r="E1688" t="inlineStr">
        <is>
          <t>Revenue estimate FY2024</t>
        </is>
      </c>
      <c r="F1688" s="53">
        <f>_xll.BDP("ASML US Equity","BEST_SALES","BEST_FPERIOD_OVERRIDE","24Y")</f>
        <v/>
      </c>
    </row>
    <row r="1689">
      <c r="A1689" t="inlineStr">
        <is>
          <t>ASML</t>
        </is>
      </c>
      <c r="B1689" t="inlineStr">
        <is>
          <t>ASML US Equity</t>
        </is>
      </c>
      <c r="C1689" t="inlineStr">
        <is>
          <t>BEST_EBIT</t>
        </is>
      </c>
      <c r="D1689" t="inlineStr">
        <is>
          <t>24Y</t>
        </is>
      </c>
      <c r="E1689" t="inlineStr">
        <is>
          <t>EBIT estimate FY2024</t>
        </is>
      </c>
      <c r="F1689" s="53">
        <f>_xll.BDP("ASML US Equity","BEST_EBIT","BEST_FPERIOD_OVERRIDE","24Y")</f>
        <v/>
      </c>
    </row>
    <row r="1690">
      <c r="A1690" t="inlineStr">
        <is>
          <t>ASML</t>
        </is>
      </c>
      <c r="B1690" t="inlineStr">
        <is>
          <t>ASML US Equity</t>
        </is>
      </c>
      <c r="C1690" t="inlineStr">
        <is>
          <t>BEST_EPS</t>
        </is>
      </c>
      <c r="D1690" t="inlineStr">
        <is>
          <t>25Y</t>
        </is>
      </c>
      <c r="E1690" t="inlineStr">
        <is>
          <t>EPS estimate FY2025</t>
        </is>
      </c>
      <c r="F1690" s="53">
        <f>_xll.BDP("ASML US Equity","BEST_EPS","BEST_FPERIOD_OVERRIDE","25Y")</f>
        <v/>
      </c>
    </row>
    <row r="1691">
      <c r="A1691" t="inlineStr">
        <is>
          <t>ASML</t>
        </is>
      </c>
      <c r="B1691" t="inlineStr">
        <is>
          <t>ASML US Equity</t>
        </is>
      </c>
      <c r="C1691" t="inlineStr">
        <is>
          <t>BEST_SALES</t>
        </is>
      </c>
      <c r="D1691" t="inlineStr">
        <is>
          <t>25Y</t>
        </is>
      </c>
      <c r="E1691" t="inlineStr">
        <is>
          <t>Revenue estimate FY2025</t>
        </is>
      </c>
      <c r="F1691" s="53">
        <f>_xll.BDP("ASML US Equity","BEST_SALES","BEST_FPERIOD_OVERRIDE","25Y")</f>
        <v/>
      </c>
    </row>
    <row r="1692">
      <c r="A1692" t="inlineStr">
        <is>
          <t>ASML</t>
        </is>
      </c>
      <c r="B1692" t="inlineStr">
        <is>
          <t>ASML US Equity</t>
        </is>
      </c>
      <c r="C1692" t="inlineStr">
        <is>
          <t>BEST_EBIT</t>
        </is>
      </c>
      <c r="D1692" t="inlineStr">
        <is>
          <t>25Y</t>
        </is>
      </c>
      <c r="E1692" t="inlineStr">
        <is>
          <t>EBIT estimate FY2025</t>
        </is>
      </c>
      <c r="F1692" s="53">
        <f>_xll.BDP("ASML US Equity","BEST_EBIT","BEST_FPERIOD_OVERRIDE","25Y")</f>
        <v/>
      </c>
    </row>
    <row r="1693">
      <c r="A1693" t="inlineStr">
        <is>
          <t>ASML</t>
        </is>
      </c>
      <c r="B1693" t="inlineStr">
        <is>
          <t>ASML US Equity</t>
        </is>
      </c>
      <c r="C1693" t="inlineStr">
        <is>
          <t>BEST_EPS</t>
        </is>
      </c>
      <c r="D1693" t="inlineStr">
        <is>
          <t>26Y</t>
        </is>
      </c>
      <c r="E1693" t="inlineStr">
        <is>
          <t>EPS estimate FY2026</t>
        </is>
      </c>
      <c r="F1693" s="53">
        <f>_xll.BDP("ASML US Equity","BEST_EPS","BEST_FPERIOD_OVERRIDE","26Y")</f>
        <v/>
      </c>
    </row>
    <row r="1694">
      <c r="A1694" t="inlineStr">
        <is>
          <t>ASML</t>
        </is>
      </c>
      <c r="B1694" t="inlineStr">
        <is>
          <t>ASML US Equity</t>
        </is>
      </c>
      <c r="C1694" t="inlineStr">
        <is>
          <t>BEST_SALES</t>
        </is>
      </c>
      <c r="D1694" t="inlineStr">
        <is>
          <t>26Y</t>
        </is>
      </c>
      <c r="E1694" t="inlineStr">
        <is>
          <t>Revenue estimate FY2026</t>
        </is>
      </c>
      <c r="F1694" s="53">
        <f>_xll.BDP("ASML US Equity","BEST_SALES","BEST_FPERIOD_OVERRIDE","26Y")</f>
        <v/>
      </c>
    </row>
    <row r="1695">
      <c r="A1695" t="inlineStr">
        <is>
          <t>ASML</t>
        </is>
      </c>
      <c r="B1695" t="inlineStr">
        <is>
          <t>ASML US Equity</t>
        </is>
      </c>
      <c r="C1695" t="inlineStr">
        <is>
          <t>BEST_EBIT</t>
        </is>
      </c>
      <c r="D1695" t="inlineStr">
        <is>
          <t>26Y</t>
        </is>
      </c>
      <c r="E1695" t="inlineStr">
        <is>
          <t>EBIT estimate FY2026</t>
        </is>
      </c>
      <c r="F1695" s="53">
        <f>_xll.BDP("ASML US Equity","BEST_EBIT","BEST_FPERIOD_OVERRIDE","26Y")</f>
        <v/>
      </c>
    </row>
    <row r="1696">
      <c r="A1696" t="inlineStr">
        <is>
          <t>ASML</t>
        </is>
      </c>
      <c r="B1696" t="inlineStr">
        <is>
          <t>ASML US Equity</t>
        </is>
      </c>
      <c r="C1696" t="inlineStr">
        <is>
          <t>BEST_EPS</t>
        </is>
      </c>
      <c r="D1696" t="inlineStr">
        <is>
          <t>27Y</t>
        </is>
      </c>
      <c r="E1696" t="inlineStr">
        <is>
          <t>EPS estimate FY2027</t>
        </is>
      </c>
      <c r="F1696" s="53">
        <f>_xll.BDP("ASML US Equity","BEST_EPS","BEST_FPERIOD_OVERRIDE","27Y")</f>
        <v/>
      </c>
    </row>
    <row r="1697">
      <c r="A1697" t="inlineStr">
        <is>
          <t>ASML</t>
        </is>
      </c>
      <c r="B1697" t="inlineStr">
        <is>
          <t>ASML US Equity</t>
        </is>
      </c>
      <c r="C1697" t="inlineStr">
        <is>
          <t>BEST_SALES</t>
        </is>
      </c>
      <c r="D1697" t="inlineStr">
        <is>
          <t>27Y</t>
        </is>
      </c>
      <c r="E1697" t="inlineStr">
        <is>
          <t>Revenue estimate FY2027</t>
        </is>
      </c>
      <c r="F1697" s="53">
        <f>_xll.BDP("ASML US Equity","BEST_SALES","BEST_FPERIOD_OVERRIDE","27Y")</f>
        <v/>
      </c>
    </row>
    <row r="1698">
      <c r="A1698" t="inlineStr">
        <is>
          <t>ASML</t>
        </is>
      </c>
      <c r="B1698" t="inlineStr">
        <is>
          <t>ASML US Equity</t>
        </is>
      </c>
      <c r="C1698" t="inlineStr">
        <is>
          <t>BEST_EBIT</t>
        </is>
      </c>
      <c r="D1698" t="inlineStr">
        <is>
          <t>27Y</t>
        </is>
      </c>
      <c r="E1698" t="inlineStr">
        <is>
          <t>EBIT estimate FY2027</t>
        </is>
      </c>
      <c r="F1698" s="53">
        <f>_xll.BDP("ASML US Equity","BEST_EBIT","BEST_FPERIOD_OVERRIDE","27Y")</f>
        <v/>
      </c>
    </row>
    <row r="1699">
      <c r="A1699" t="inlineStr">
        <is>
          <t>ASML</t>
        </is>
      </c>
      <c r="B1699" t="inlineStr">
        <is>
          <t>ASML US Equity</t>
        </is>
      </c>
      <c r="C1699" t="inlineStr">
        <is>
          <t>BEST_EPS</t>
        </is>
      </c>
      <c r="D1699" t="inlineStr">
        <is>
          <t>28Y</t>
        </is>
      </c>
      <c r="E1699" t="inlineStr">
        <is>
          <t>EPS estimate FY2028</t>
        </is>
      </c>
      <c r="F1699" s="53">
        <f>_xll.BDP("ASML US Equity","BEST_EPS","BEST_FPERIOD_OVERRIDE","28Y")</f>
        <v/>
      </c>
    </row>
    <row r="1700">
      <c r="A1700" t="inlineStr">
        <is>
          <t>ASML</t>
        </is>
      </c>
      <c r="B1700" t="inlineStr">
        <is>
          <t>ASML US Equity</t>
        </is>
      </c>
      <c r="C1700" t="inlineStr">
        <is>
          <t>BEST_SALES</t>
        </is>
      </c>
      <c r="D1700" t="inlineStr">
        <is>
          <t>28Y</t>
        </is>
      </c>
      <c r="E1700" t="inlineStr">
        <is>
          <t>Revenue estimate FY2028</t>
        </is>
      </c>
      <c r="F1700" s="53">
        <f>_xll.BDP("ASML US Equity","BEST_SALES","BEST_FPERIOD_OVERRIDE","28Y")</f>
        <v/>
      </c>
    </row>
    <row r="1701">
      <c r="A1701" t="inlineStr">
        <is>
          <t>ASML</t>
        </is>
      </c>
      <c r="B1701" t="inlineStr">
        <is>
          <t>ASML US Equity</t>
        </is>
      </c>
      <c r="C1701" t="inlineStr">
        <is>
          <t>BEST_EBIT</t>
        </is>
      </c>
      <c r="D1701" t="inlineStr">
        <is>
          <t>28Y</t>
        </is>
      </c>
      <c r="E1701" t="inlineStr">
        <is>
          <t>EBIT estimate FY2028</t>
        </is>
      </c>
      <c r="F1701" s="53">
        <f>_xll.BDP("ASML US Equity","BEST_EBIT","BEST_FPERIOD_OVERRIDE","28Y")</f>
        <v/>
      </c>
    </row>
    <row r="1702">
      <c r="A1702" t="inlineStr">
        <is>
          <t>AMAT</t>
        </is>
      </c>
      <c r="B1702" t="inlineStr">
        <is>
          <t>AMAT US Equity</t>
        </is>
      </c>
      <c r="C1702" t="inlineStr">
        <is>
          <t>PX_LAST</t>
        </is>
      </c>
      <c r="E1702" t="inlineStr">
        <is>
          <t>Last price</t>
        </is>
      </c>
      <c r="F1702" s="53">
        <f>_xll.BDP("AMAT US Equity","PX_LAST")</f>
        <v/>
      </c>
    </row>
    <row r="1703">
      <c r="A1703" t="inlineStr">
        <is>
          <t>AMAT</t>
        </is>
      </c>
      <c r="B1703" t="inlineStr">
        <is>
          <t>AMAT US Equity</t>
        </is>
      </c>
      <c r="C1703" t="inlineStr">
        <is>
          <t>CUR_MKT_CAP</t>
        </is>
      </c>
      <c r="E1703" t="inlineStr">
        <is>
          <t>Market cap (raw)</t>
        </is>
      </c>
      <c r="F1703" s="53">
        <f>_xll.BDP("AMAT US Equity","CUR_MKT_CAP")</f>
        <v/>
      </c>
    </row>
    <row r="1704">
      <c r="A1704" t="inlineStr">
        <is>
          <t>AMAT</t>
        </is>
      </c>
      <c r="B1704" t="inlineStr">
        <is>
          <t>AMAT US Equity</t>
        </is>
      </c>
      <c r="C1704" t="inlineStr">
        <is>
          <t>CHG_PCT_YTD</t>
        </is>
      </c>
      <c r="E1704" t="inlineStr">
        <is>
          <t>YTD price change %</t>
        </is>
      </c>
      <c r="F1704" s="53">
        <f>_xll.BDP("AMAT US Equity","CHG_PCT_YTD")</f>
        <v/>
      </c>
    </row>
    <row r="1705">
      <c r="A1705" t="inlineStr">
        <is>
          <t>AMAT</t>
        </is>
      </c>
      <c r="B1705" t="inlineStr">
        <is>
          <t>AMAT US Equity</t>
        </is>
      </c>
      <c r="C1705" t="inlineStr">
        <is>
          <t>NET_DEBT_TO_EBITDA</t>
        </is>
      </c>
      <c r="E1705" t="inlineStr">
        <is>
          <t>Net debt / EBITDA</t>
        </is>
      </c>
      <c r="F1705" s="53">
        <f>_xll.BDP("AMAT US Equity","NET_DEBT_TO_EBITDA")</f>
        <v/>
      </c>
    </row>
    <row r="1706">
      <c r="A1706" t="inlineStr">
        <is>
          <t>AMAT</t>
        </is>
      </c>
      <c r="B1706" t="inlineStr">
        <is>
          <t>AMAT US Equity</t>
        </is>
      </c>
      <c r="C1706" t="inlineStr">
        <is>
          <t>RETURN_ON_INV_CAPITAL</t>
        </is>
      </c>
      <c r="E1706" t="inlineStr">
        <is>
          <t>ROIC (LTM)</t>
        </is>
      </c>
      <c r="F1706" s="53">
        <f>_xll.BDP("AMAT US Equity","RETURN_ON_INV_CAPITAL")</f>
        <v/>
      </c>
    </row>
    <row r="1707">
      <c r="A1707" t="inlineStr">
        <is>
          <t>AMAT</t>
        </is>
      </c>
      <c r="B1707" t="inlineStr">
        <is>
          <t>AMAT US Equity</t>
        </is>
      </c>
      <c r="C1707" t="inlineStr">
        <is>
          <t>TRAIL_12M_OPER_INC</t>
        </is>
      </c>
      <c r="E1707" t="inlineStr">
        <is>
          <t>LTM operating income</t>
        </is>
      </c>
      <c r="F1707" s="53">
        <f>_xll.BDP("AMAT US Equity","TRAIL_12M_OPER_INC")</f>
        <v/>
      </c>
    </row>
    <row r="1708">
      <c r="A1708" t="inlineStr">
        <is>
          <t>AMAT</t>
        </is>
      </c>
      <c r="B1708" t="inlineStr">
        <is>
          <t>AMAT US Equity</t>
        </is>
      </c>
      <c r="C1708" t="inlineStr">
        <is>
          <t>TRAIL_12M_EBITDA</t>
        </is>
      </c>
      <c r="E1708" t="inlineStr">
        <is>
          <t>LTM EBITDA</t>
        </is>
      </c>
      <c r="F1708" s="53">
        <f>_xll.BDP("AMAT US Equity","TRAIL_12M_EBITDA")</f>
        <v/>
      </c>
    </row>
    <row r="1709">
      <c r="A1709" t="inlineStr">
        <is>
          <t>AMAT</t>
        </is>
      </c>
      <c r="B1709" t="inlineStr">
        <is>
          <t>AMAT US Equity</t>
        </is>
      </c>
      <c r="C1709" t="inlineStr">
        <is>
          <t>SHORT_AND_LONG_TERM_DEBT</t>
        </is>
      </c>
      <c r="E1709" t="inlineStr">
        <is>
          <t>Total debt</t>
        </is>
      </c>
      <c r="F1709" s="53">
        <f>_xll.BDP("AMAT US Equity","SHORT_AND_LONG_TERM_DEBT")</f>
        <v/>
      </c>
    </row>
    <row r="1710">
      <c r="A1710" t="inlineStr">
        <is>
          <t>AMAT</t>
        </is>
      </c>
      <c r="B1710" t="inlineStr">
        <is>
          <t>AMAT US Equity</t>
        </is>
      </c>
      <c r="C1710" t="inlineStr">
        <is>
          <t>TOTAL_EQUITY</t>
        </is>
      </c>
      <c r="E1710" t="inlineStr">
        <is>
          <t>Total equity</t>
        </is>
      </c>
      <c r="F1710" s="53">
        <f>_xll.BDP("AMAT US Equity","TOTAL_EQUITY")</f>
        <v/>
      </c>
    </row>
    <row r="1711">
      <c r="A1711" t="inlineStr">
        <is>
          <t>AMAT</t>
        </is>
      </c>
      <c r="B1711" t="inlineStr">
        <is>
          <t>AMAT US Equity</t>
        </is>
      </c>
      <c r="C1711" t="inlineStr">
        <is>
          <t>BS_CASH_NEAR_CASH_ITEM</t>
        </is>
      </c>
      <c r="E1711" t="inlineStr">
        <is>
          <t>Cash &amp; equivalents</t>
        </is>
      </c>
      <c r="F1711" s="53">
        <f>_xll.BDP("AMAT US Equity","BS_CASH_NEAR_CASH_ITEM")</f>
        <v/>
      </c>
    </row>
    <row r="1712">
      <c r="A1712" t="inlineStr">
        <is>
          <t>AMAT</t>
        </is>
      </c>
      <c r="B1712" t="inlineStr">
        <is>
          <t>AMAT US Equity</t>
        </is>
      </c>
      <c r="C1712" t="inlineStr">
        <is>
          <t>BEST_EPS</t>
        </is>
      </c>
      <c r="D1712" t="inlineStr">
        <is>
          <t>24Y</t>
        </is>
      </c>
      <c r="E1712" t="inlineStr">
        <is>
          <t>EPS estimate FY2024</t>
        </is>
      </c>
      <c r="F1712" s="53">
        <f>_xll.BDP("AMAT US Equity","BEST_EPS","BEST_FPERIOD_OVERRIDE","24Y")</f>
        <v/>
      </c>
    </row>
    <row r="1713">
      <c r="A1713" t="inlineStr">
        <is>
          <t>AMAT</t>
        </is>
      </c>
      <c r="B1713" t="inlineStr">
        <is>
          <t>AMAT US Equity</t>
        </is>
      </c>
      <c r="C1713" t="inlineStr">
        <is>
          <t>BEST_SALES</t>
        </is>
      </c>
      <c r="D1713" t="inlineStr">
        <is>
          <t>24Y</t>
        </is>
      </c>
      <c r="E1713" t="inlineStr">
        <is>
          <t>Revenue estimate FY2024</t>
        </is>
      </c>
      <c r="F1713" s="53">
        <f>_xll.BDP("AMAT US Equity","BEST_SALES","BEST_FPERIOD_OVERRIDE","24Y")</f>
        <v/>
      </c>
    </row>
    <row r="1714">
      <c r="A1714" t="inlineStr">
        <is>
          <t>AMAT</t>
        </is>
      </c>
      <c r="B1714" t="inlineStr">
        <is>
          <t>AMAT US Equity</t>
        </is>
      </c>
      <c r="C1714" t="inlineStr">
        <is>
          <t>BEST_EBIT</t>
        </is>
      </c>
      <c r="D1714" t="inlineStr">
        <is>
          <t>24Y</t>
        </is>
      </c>
      <c r="E1714" t="inlineStr">
        <is>
          <t>EBIT estimate FY2024</t>
        </is>
      </c>
      <c r="F1714" s="53">
        <f>_xll.BDP("AMAT US Equity","BEST_EBIT","BEST_FPERIOD_OVERRIDE","24Y")</f>
        <v/>
      </c>
    </row>
    <row r="1715">
      <c r="A1715" t="inlineStr">
        <is>
          <t>AMAT</t>
        </is>
      </c>
      <c r="B1715" t="inlineStr">
        <is>
          <t>AMAT US Equity</t>
        </is>
      </c>
      <c r="C1715" t="inlineStr">
        <is>
          <t>BEST_EPS</t>
        </is>
      </c>
      <c r="D1715" t="inlineStr">
        <is>
          <t>25Y</t>
        </is>
      </c>
      <c r="E1715" t="inlineStr">
        <is>
          <t>EPS estimate FY2025</t>
        </is>
      </c>
      <c r="F1715" s="53">
        <f>_xll.BDP("AMAT US Equity","BEST_EPS","BEST_FPERIOD_OVERRIDE","25Y")</f>
        <v/>
      </c>
    </row>
    <row r="1716">
      <c r="A1716" t="inlineStr">
        <is>
          <t>AMAT</t>
        </is>
      </c>
      <c r="B1716" t="inlineStr">
        <is>
          <t>AMAT US Equity</t>
        </is>
      </c>
      <c r="C1716" t="inlineStr">
        <is>
          <t>BEST_SALES</t>
        </is>
      </c>
      <c r="D1716" t="inlineStr">
        <is>
          <t>25Y</t>
        </is>
      </c>
      <c r="E1716" t="inlineStr">
        <is>
          <t>Revenue estimate FY2025</t>
        </is>
      </c>
      <c r="F1716" s="53">
        <f>_xll.BDP("AMAT US Equity","BEST_SALES","BEST_FPERIOD_OVERRIDE","25Y")</f>
        <v/>
      </c>
    </row>
    <row r="1717">
      <c r="A1717" t="inlineStr">
        <is>
          <t>AMAT</t>
        </is>
      </c>
      <c r="B1717" t="inlineStr">
        <is>
          <t>AMAT US Equity</t>
        </is>
      </c>
      <c r="C1717" t="inlineStr">
        <is>
          <t>BEST_EBIT</t>
        </is>
      </c>
      <c r="D1717" t="inlineStr">
        <is>
          <t>25Y</t>
        </is>
      </c>
      <c r="E1717" t="inlineStr">
        <is>
          <t>EBIT estimate FY2025</t>
        </is>
      </c>
      <c r="F1717" s="53">
        <f>_xll.BDP("AMAT US Equity","BEST_EBIT","BEST_FPERIOD_OVERRIDE","25Y")</f>
        <v/>
      </c>
    </row>
    <row r="1718">
      <c r="A1718" t="inlineStr">
        <is>
          <t>AMAT</t>
        </is>
      </c>
      <c r="B1718" t="inlineStr">
        <is>
          <t>AMAT US Equity</t>
        </is>
      </c>
      <c r="C1718" t="inlineStr">
        <is>
          <t>BEST_EPS</t>
        </is>
      </c>
      <c r="D1718" t="inlineStr">
        <is>
          <t>26Y</t>
        </is>
      </c>
      <c r="E1718" t="inlineStr">
        <is>
          <t>EPS estimate FY2026</t>
        </is>
      </c>
      <c r="F1718" s="53">
        <f>_xll.BDP("AMAT US Equity","BEST_EPS","BEST_FPERIOD_OVERRIDE","26Y")</f>
        <v/>
      </c>
    </row>
    <row r="1719">
      <c r="A1719" t="inlineStr">
        <is>
          <t>AMAT</t>
        </is>
      </c>
      <c r="B1719" t="inlineStr">
        <is>
          <t>AMAT US Equity</t>
        </is>
      </c>
      <c r="C1719" t="inlineStr">
        <is>
          <t>BEST_SALES</t>
        </is>
      </c>
      <c r="D1719" t="inlineStr">
        <is>
          <t>26Y</t>
        </is>
      </c>
      <c r="E1719" t="inlineStr">
        <is>
          <t>Revenue estimate FY2026</t>
        </is>
      </c>
      <c r="F1719" s="53">
        <f>_xll.BDP("AMAT US Equity","BEST_SALES","BEST_FPERIOD_OVERRIDE","26Y")</f>
        <v/>
      </c>
    </row>
    <row r="1720">
      <c r="A1720" t="inlineStr">
        <is>
          <t>AMAT</t>
        </is>
      </c>
      <c r="B1720" t="inlineStr">
        <is>
          <t>AMAT US Equity</t>
        </is>
      </c>
      <c r="C1720" t="inlineStr">
        <is>
          <t>BEST_EBIT</t>
        </is>
      </c>
      <c r="D1720" t="inlineStr">
        <is>
          <t>26Y</t>
        </is>
      </c>
      <c r="E1720" t="inlineStr">
        <is>
          <t>EBIT estimate FY2026</t>
        </is>
      </c>
      <c r="F1720" s="53">
        <f>_xll.BDP("AMAT US Equity","BEST_EBIT","BEST_FPERIOD_OVERRIDE","26Y")</f>
        <v/>
      </c>
    </row>
    <row r="1721">
      <c r="A1721" t="inlineStr">
        <is>
          <t>AMAT</t>
        </is>
      </c>
      <c r="B1721" t="inlineStr">
        <is>
          <t>AMAT US Equity</t>
        </is>
      </c>
      <c r="C1721" t="inlineStr">
        <is>
          <t>BEST_EPS</t>
        </is>
      </c>
      <c r="D1721" t="inlineStr">
        <is>
          <t>27Y</t>
        </is>
      </c>
      <c r="E1721" t="inlineStr">
        <is>
          <t>EPS estimate FY2027</t>
        </is>
      </c>
      <c r="F1721" s="53">
        <f>_xll.BDP("AMAT US Equity","BEST_EPS","BEST_FPERIOD_OVERRIDE","27Y")</f>
        <v/>
      </c>
    </row>
    <row r="1722">
      <c r="A1722" t="inlineStr">
        <is>
          <t>AMAT</t>
        </is>
      </c>
      <c r="B1722" t="inlineStr">
        <is>
          <t>AMAT US Equity</t>
        </is>
      </c>
      <c r="C1722" t="inlineStr">
        <is>
          <t>BEST_SALES</t>
        </is>
      </c>
      <c r="D1722" t="inlineStr">
        <is>
          <t>27Y</t>
        </is>
      </c>
      <c r="E1722" t="inlineStr">
        <is>
          <t>Revenue estimate FY2027</t>
        </is>
      </c>
      <c r="F1722" s="53">
        <f>_xll.BDP("AMAT US Equity","BEST_SALES","BEST_FPERIOD_OVERRIDE","27Y")</f>
        <v/>
      </c>
    </row>
    <row r="1723">
      <c r="A1723" t="inlineStr">
        <is>
          <t>AMAT</t>
        </is>
      </c>
      <c r="B1723" t="inlineStr">
        <is>
          <t>AMAT US Equity</t>
        </is>
      </c>
      <c r="C1723" t="inlineStr">
        <is>
          <t>BEST_EBIT</t>
        </is>
      </c>
      <c r="D1723" t="inlineStr">
        <is>
          <t>27Y</t>
        </is>
      </c>
      <c r="E1723" t="inlineStr">
        <is>
          <t>EBIT estimate FY2027</t>
        </is>
      </c>
      <c r="F1723" s="53">
        <f>_xll.BDP("AMAT US Equity","BEST_EBIT","BEST_FPERIOD_OVERRIDE","27Y")</f>
        <v/>
      </c>
    </row>
    <row r="1724">
      <c r="A1724" t="inlineStr">
        <is>
          <t>AMAT</t>
        </is>
      </c>
      <c r="B1724" t="inlineStr">
        <is>
          <t>AMAT US Equity</t>
        </is>
      </c>
      <c r="C1724" t="inlineStr">
        <is>
          <t>BEST_EPS</t>
        </is>
      </c>
      <c r="D1724" t="inlineStr">
        <is>
          <t>28Y</t>
        </is>
      </c>
      <c r="E1724" t="inlineStr">
        <is>
          <t>EPS estimate FY2028</t>
        </is>
      </c>
      <c r="F1724" s="53">
        <f>_xll.BDP("AMAT US Equity","BEST_EPS","BEST_FPERIOD_OVERRIDE","28Y")</f>
        <v/>
      </c>
    </row>
    <row r="1725">
      <c r="A1725" t="inlineStr">
        <is>
          <t>AMAT</t>
        </is>
      </c>
      <c r="B1725" t="inlineStr">
        <is>
          <t>AMAT US Equity</t>
        </is>
      </c>
      <c r="C1725" t="inlineStr">
        <is>
          <t>BEST_SALES</t>
        </is>
      </c>
      <c r="D1725" t="inlineStr">
        <is>
          <t>28Y</t>
        </is>
      </c>
      <c r="E1725" t="inlineStr">
        <is>
          <t>Revenue estimate FY2028</t>
        </is>
      </c>
      <c r="F1725" s="53">
        <f>_xll.BDP("AMAT US Equity","BEST_SALES","BEST_FPERIOD_OVERRIDE","28Y")</f>
        <v/>
      </c>
    </row>
    <row r="1726">
      <c r="A1726" t="inlineStr">
        <is>
          <t>AMAT</t>
        </is>
      </c>
      <c r="B1726" t="inlineStr">
        <is>
          <t>AMAT US Equity</t>
        </is>
      </c>
      <c r="C1726" t="inlineStr">
        <is>
          <t>BEST_EBIT</t>
        </is>
      </c>
      <c r="D1726" t="inlineStr">
        <is>
          <t>28Y</t>
        </is>
      </c>
      <c r="E1726" t="inlineStr">
        <is>
          <t>EBIT estimate FY2028</t>
        </is>
      </c>
      <c r="F1726" s="53">
        <f>_xll.BDP("AMAT US Equity","BEST_EBIT","BEST_FPERIOD_OVERRIDE","28Y")</f>
        <v/>
      </c>
    </row>
    <row r="1727">
      <c r="A1727" t="inlineStr">
        <is>
          <t>LRCX</t>
        </is>
      </c>
      <c r="B1727" t="inlineStr">
        <is>
          <t>LRCX US Equity</t>
        </is>
      </c>
      <c r="C1727" t="inlineStr">
        <is>
          <t>PX_LAST</t>
        </is>
      </c>
      <c r="E1727" t="inlineStr">
        <is>
          <t>Last price</t>
        </is>
      </c>
      <c r="F1727" s="53">
        <f>_xll.BDP("LRCX US Equity","PX_LAST")</f>
        <v/>
      </c>
    </row>
    <row r="1728">
      <c r="A1728" t="inlineStr">
        <is>
          <t>LRCX</t>
        </is>
      </c>
      <c r="B1728" t="inlineStr">
        <is>
          <t>LRCX US Equity</t>
        </is>
      </c>
      <c r="C1728" t="inlineStr">
        <is>
          <t>CUR_MKT_CAP</t>
        </is>
      </c>
      <c r="E1728" t="inlineStr">
        <is>
          <t>Market cap (raw)</t>
        </is>
      </c>
      <c r="F1728" s="53">
        <f>_xll.BDP("LRCX US Equity","CUR_MKT_CAP")</f>
        <v/>
      </c>
    </row>
    <row r="1729">
      <c r="A1729" t="inlineStr">
        <is>
          <t>LRCX</t>
        </is>
      </c>
      <c r="B1729" t="inlineStr">
        <is>
          <t>LRCX US Equity</t>
        </is>
      </c>
      <c r="C1729" t="inlineStr">
        <is>
          <t>CHG_PCT_YTD</t>
        </is>
      </c>
      <c r="E1729" t="inlineStr">
        <is>
          <t>YTD price change %</t>
        </is>
      </c>
      <c r="F1729" s="53">
        <f>_xll.BDP("LRCX US Equity","CHG_PCT_YTD")</f>
        <v/>
      </c>
    </row>
    <row r="1730">
      <c r="A1730" t="inlineStr">
        <is>
          <t>LRCX</t>
        </is>
      </c>
      <c r="B1730" t="inlineStr">
        <is>
          <t>LRCX US Equity</t>
        </is>
      </c>
      <c r="C1730" t="inlineStr">
        <is>
          <t>NET_DEBT_TO_EBITDA</t>
        </is>
      </c>
      <c r="E1730" t="inlineStr">
        <is>
          <t>Net debt / EBITDA</t>
        </is>
      </c>
      <c r="F1730" s="53">
        <f>_xll.BDP("LRCX US Equity","NET_DEBT_TO_EBITDA")</f>
        <v/>
      </c>
    </row>
    <row r="1731">
      <c r="A1731" t="inlineStr">
        <is>
          <t>LRCX</t>
        </is>
      </c>
      <c r="B1731" t="inlineStr">
        <is>
          <t>LRCX US Equity</t>
        </is>
      </c>
      <c r="C1731" t="inlineStr">
        <is>
          <t>RETURN_ON_INV_CAPITAL</t>
        </is>
      </c>
      <c r="E1731" t="inlineStr">
        <is>
          <t>ROIC (LTM)</t>
        </is>
      </c>
      <c r="F1731" s="53">
        <f>_xll.BDP("LRCX US Equity","RETURN_ON_INV_CAPITAL")</f>
        <v/>
      </c>
    </row>
    <row r="1732">
      <c r="A1732" t="inlineStr">
        <is>
          <t>LRCX</t>
        </is>
      </c>
      <c r="B1732" t="inlineStr">
        <is>
          <t>LRCX US Equity</t>
        </is>
      </c>
      <c r="C1732" t="inlineStr">
        <is>
          <t>TRAIL_12M_OPER_INC</t>
        </is>
      </c>
      <c r="E1732" t="inlineStr">
        <is>
          <t>LTM operating income</t>
        </is>
      </c>
      <c r="F1732" s="53">
        <f>_xll.BDP("LRCX US Equity","TRAIL_12M_OPER_INC")</f>
        <v/>
      </c>
    </row>
    <row r="1733">
      <c r="A1733" t="inlineStr">
        <is>
          <t>LRCX</t>
        </is>
      </c>
      <c r="B1733" t="inlineStr">
        <is>
          <t>LRCX US Equity</t>
        </is>
      </c>
      <c r="C1733" t="inlineStr">
        <is>
          <t>TRAIL_12M_EBITDA</t>
        </is>
      </c>
      <c r="E1733" t="inlineStr">
        <is>
          <t>LTM EBITDA</t>
        </is>
      </c>
      <c r="F1733" s="53">
        <f>_xll.BDP("LRCX US Equity","TRAIL_12M_EBITDA")</f>
        <v/>
      </c>
    </row>
    <row r="1734">
      <c r="A1734" t="inlineStr">
        <is>
          <t>LRCX</t>
        </is>
      </c>
      <c r="B1734" t="inlineStr">
        <is>
          <t>LRCX US Equity</t>
        </is>
      </c>
      <c r="C1734" t="inlineStr">
        <is>
          <t>SHORT_AND_LONG_TERM_DEBT</t>
        </is>
      </c>
      <c r="E1734" t="inlineStr">
        <is>
          <t>Total debt</t>
        </is>
      </c>
      <c r="F1734" s="53">
        <f>_xll.BDP("LRCX US Equity","SHORT_AND_LONG_TERM_DEBT")</f>
        <v/>
      </c>
    </row>
    <row r="1735">
      <c r="A1735" t="inlineStr">
        <is>
          <t>LRCX</t>
        </is>
      </c>
      <c r="B1735" t="inlineStr">
        <is>
          <t>LRCX US Equity</t>
        </is>
      </c>
      <c r="C1735" t="inlineStr">
        <is>
          <t>TOTAL_EQUITY</t>
        </is>
      </c>
      <c r="E1735" t="inlineStr">
        <is>
          <t>Total equity</t>
        </is>
      </c>
      <c r="F1735" s="53">
        <f>_xll.BDP("LRCX US Equity","TOTAL_EQUITY")</f>
        <v/>
      </c>
    </row>
    <row r="1736">
      <c r="A1736" t="inlineStr">
        <is>
          <t>LRCX</t>
        </is>
      </c>
      <c r="B1736" t="inlineStr">
        <is>
          <t>LRCX US Equity</t>
        </is>
      </c>
      <c r="C1736" t="inlineStr">
        <is>
          <t>BS_CASH_NEAR_CASH_ITEM</t>
        </is>
      </c>
      <c r="E1736" t="inlineStr">
        <is>
          <t>Cash &amp; equivalents</t>
        </is>
      </c>
      <c r="F1736" s="53">
        <f>_xll.BDP("LRCX US Equity","BS_CASH_NEAR_CASH_ITEM")</f>
        <v/>
      </c>
    </row>
    <row r="1737">
      <c r="A1737" t="inlineStr">
        <is>
          <t>LRCX</t>
        </is>
      </c>
      <c r="B1737" t="inlineStr">
        <is>
          <t>LRCX US Equity</t>
        </is>
      </c>
      <c r="C1737" t="inlineStr">
        <is>
          <t>BEST_EPS</t>
        </is>
      </c>
      <c r="D1737" t="inlineStr">
        <is>
          <t>24Y</t>
        </is>
      </c>
      <c r="E1737" t="inlineStr">
        <is>
          <t>EPS estimate FY2024</t>
        </is>
      </c>
      <c r="F1737" s="53">
        <f>_xll.BDP("LRCX US Equity","BEST_EPS","BEST_FPERIOD_OVERRIDE","24Y")</f>
        <v/>
      </c>
    </row>
    <row r="1738">
      <c r="A1738" t="inlineStr">
        <is>
          <t>LRCX</t>
        </is>
      </c>
      <c r="B1738" t="inlineStr">
        <is>
          <t>LRCX US Equity</t>
        </is>
      </c>
      <c r="C1738" t="inlineStr">
        <is>
          <t>BEST_SALES</t>
        </is>
      </c>
      <c r="D1738" t="inlineStr">
        <is>
          <t>24Y</t>
        </is>
      </c>
      <c r="E1738" t="inlineStr">
        <is>
          <t>Revenue estimate FY2024</t>
        </is>
      </c>
      <c r="F1738" s="53">
        <f>_xll.BDP("LRCX US Equity","BEST_SALES","BEST_FPERIOD_OVERRIDE","24Y")</f>
        <v/>
      </c>
    </row>
    <row r="1739">
      <c r="A1739" t="inlineStr">
        <is>
          <t>LRCX</t>
        </is>
      </c>
      <c r="B1739" t="inlineStr">
        <is>
          <t>LRCX US Equity</t>
        </is>
      </c>
      <c r="C1739" t="inlineStr">
        <is>
          <t>BEST_EBIT</t>
        </is>
      </c>
      <c r="D1739" t="inlineStr">
        <is>
          <t>24Y</t>
        </is>
      </c>
      <c r="E1739" t="inlineStr">
        <is>
          <t>EBIT estimate FY2024</t>
        </is>
      </c>
      <c r="F1739" s="53">
        <f>_xll.BDP("LRCX US Equity","BEST_EBIT","BEST_FPERIOD_OVERRIDE","24Y")</f>
        <v/>
      </c>
    </row>
    <row r="1740">
      <c r="A1740" t="inlineStr">
        <is>
          <t>LRCX</t>
        </is>
      </c>
      <c r="B1740" t="inlineStr">
        <is>
          <t>LRCX US Equity</t>
        </is>
      </c>
      <c r="C1740" t="inlineStr">
        <is>
          <t>BEST_EPS</t>
        </is>
      </c>
      <c r="D1740" t="inlineStr">
        <is>
          <t>25Y</t>
        </is>
      </c>
      <c r="E1740" t="inlineStr">
        <is>
          <t>EPS estimate FY2025</t>
        </is>
      </c>
      <c r="F1740" s="53">
        <f>_xll.BDP("LRCX US Equity","BEST_EPS","BEST_FPERIOD_OVERRIDE","25Y")</f>
        <v/>
      </c>
    </row>
    <row r="1741">
      <c r="A1741" t="inlineStr">
        <is>
          <t>LRCX</t>
        </is>
      </c>
      <c r="B1741" t="inlineStr">
        <is>
          <t>LRCX US Equity</t>
        </is>
      </c>
      <c r="C1741" t="inlineStr">
        <is>
          <t>BEST_SALES</t>
        </is>
      </c>
      <c r="D1741" t="inlineStr">
        <is>
          <t>25Y</t>
        </is>
      </c>
      <c r="E1741" t="inlineStr">
        <is>
          <t>Revenue estimate FY2025</t>
        </is>
      </c>
      <c r="F1741" s="53">
        <f>_xll.BDP("LRCX US Equity","BEST_SALES","BEST_FPERIOD_OVERRIDE","25Y")</f>
        <v/>
      </c>
    </row>
    <row r="1742">
      <c r="A1742" t="inlineStr">
        <is>
          <t>LRCX</t>
        </is>
      </c>
      <c r="B1742" t="inlineStr">
        <is>
          <t>LRCX US Equity</t>
        </is>
      </c>
      <c r="C1742" t="inlineStr">
        <is>
          <t>BEST_EBIT</t>
        </is>
      </c>
      <c r="D1742" t="inlineStr">
        <is>
          <t>25Y</t>
        </is>
      </c>
      <c r="E1742" t="inlineStr">
        <is>
          <t>EBIT estimate FY2025</t>
        </is>
      </c>
      <c r="F1742" s="53">
        <f>_xll.BDP("LRCX US Equity","BEST_EBIT","BEST_FPERIOD_OVERRIDE","25Y")</f>
        <v/>
      </c>
    </row>
    <row r="1743">
      <c r="A1743" t="inlineStr">
        <is>
          <t>LRCX</t>
        </is>
      </c>
      <c r="B1743" t="inlineStr">
        <is>
          <t>LRCX US Equity</t>
        </is>
      </c>
      <c r="C1743" t="inlineStr">
        <is>
          <t>BEST_EPS</t>
        </is>
      </c>
      <c r="D1743" t="inlineStr">
        <is>
          <t>26Y</t>
        </is>
      </c>
      <c r="E1743" t="inlineStr">
        <is>
          <t>EPS estimate FY2026</t>
        </is>
      </c>
      <c r="F1743" s="53">
        <f>_xll.BDP("LRCX US Equity","BEST_EPS","BEST_FPERIOD_OVERRIDE","26Y")</f>
        <v/>
      </c>
    </row>
    <row r="1744">
      <c r="A1744" t="inlineStr">
        <is>
          <t>LRCX</t>
        </is>
      </c>
      <c r="B1744" t="inlineStr">
        <is>
          <t>LRCX US Equity</t>
        </is>
      </c>
      <c r="C1744" t="inlineStr">
        <is>
          <t>BEST_SALES</t>
        </is>
      </c>
      <c r="D1744" t="inlineStr">
        <is>
          <t>26Y</t>
        </is>
      </c>
      <c r="E1744" t="inlineStr">
        <is>
          <t>Revenue estimate FY2026</t>
        </is>
      </c>
      <c r="F1744" s="53">
        <f>_xll.BDP("LRCX US Equity","BEST_SALES","BEST_FPERIOD_OVERRIDE","26Y")</f>
        <v/>
      </c>
    </row>
    <row r="1745">
      <c r="A1745" t="inlineStr">
        <is>
          <t>LRCX</t>
        </is>
      </c>
      <c r="B1745" t="inlineStr">
        <is>
          <t>LRCX US Equity</t>
        </is>
      </c>
      <c r="C1745" t="inlineStr">
        <is>
          <t>BEST_EBIT</t>
        </is>
      </c>
      <c r="D1745" t="inlineStr">
        <is>
          <t>26Y</t>
        </is>
      </c>
      <c r="E1745" t="inlineStr">
        <is>
          <t>EBIT estimate FY2026</t>
        </is>
      </c>
      <c r="F1745" s="53">
        <f>_xll.BDP("LRCX US Equity","BEST_EBIT","BEST_FPERIOD_OVERRIDE","26Y")</f>
        <v/>
      </c>
    </row>
    <row r="1746">
      <c r="A1746" t="inlineStr">
        <is>
          <t>LRCX</t>
        </is>
      </c>
      <c r="B1746" t="inlineStr">
        <is>
          <t>LRCX US Equity</t>
        </is>
      </c>
      <c r="C1746" t="inlineStr">
        <is>
          <t>BEST_EPS</t>
        </is>
      </c>
      <c r="D1746" t="inlineStr">
        <is>
          <t>27Y</t>
        </is>
      </c>
      <c r="E1746" t="inlineStr">
        <is>
          <t>EPS estimate FY2027</t>
        </is>
      </c>
      <c r="F1746" s="53">
        <f>_xll.BDP("LRCX US Equity","BEST_EPS","BEST_FPERIOD_OVERRIDE","27Y")</f>
        <v/>
      </c>
    </row>
    <row r="1747">
      <c r="A1747" t="inlineStr">
        <is>
          <t>LRCX</t>
        </is>
      </c>
      <c r="B1747" t="inlineStr">
        <is>
          <t>LRCX US Equity</t>
        </is>
      </c>
      <c r="C1747" t="inlineStr">
        <is>
          <t>BEST_SALES</t>
        </is>
      </c>
      <c r="D1747" t="inlineStr">
        <is>
          <t>27Y</t>
        </is>
      </c>
      <c r="E1747" t="inlineStr">
        <is>
          <t>Revenue estimate FY2027</t>
        </is>
      </c>
      <c r="F1747" s="53">
        <f>_xll.BDP("LRCX US Equity","BEST_SALES","BEST_FPERIOD_OVERRIDE","27Y")</f>
        <v/>
      </c>
    </row>
    <row r="1748">
      <c r="A1748" t="inlineStr">
        <is>
          <t>LRCX</t>
        </is>
      </c>
      <c r="B1748" t="inlineStr">
        <is>
          <t>LRCX US Equity</t>
        </is>
      </c>
      <c r="C1748" t="inlineStr">
        <is>
          <t>BEST_EBIT</t>
        </is>
      </c>
      <c r="D1748" t="inlineStr">
        <is>
          <t>27Y</t>
        </is>
      </c>
      <c r="E1748" t="inlineStr">
        <is>
          <t>EBIT estimate FY2027</t>
        </is>
      </c>
      <c r="F1748" s="53">
        <f>_xll.BDP("LRCX US Equity","BEST_EBIT","BEST_FPERIOD_OVERRIDE","27Y")</f>
        <v/>
      </c>
    </row>
    <row r="1749">
      <c r="A1749" t="inlineStr">
        <is>
          <t>LRCX</t>
        </is>
      </c>
      <c r="B1749" t="inlineStr">
        <is>
          <t>LRCX US Equity</t>
        </is>
      </c>
      <c r="C1749" t="inlineStr">
        <is>
          <t>BEST_EPS</t>
        </is>
      </c>
      <c r="D1749" t="inlineStr">
        <is>
          <t>28Y</t>
        </is>
      </c>
      <c r="E1749" t="inlineStr">
        <is>
          <t>EPS estimate FY2028</t>
        </is>
      </c>
      <c r="F1749" s="53">
        <f>_xll.BDP("LRCX US Equity","BEST_EPS","BEST_FPERIOD_OVERRIDE","28Y")</f>
        <v/>
      </c>
    </row>
    <row r="1750">
      <c r="A1750" t="inlineStr">
        <is>
          <t>LRCX</t>
        </is>
      </c>
      <c r="B1750" t="inlineStr">
        <is>
          <t>LRCX US Equity</t>
        </is>
      </c>
      <c r="C1750" t="inlineStr">
        <is>
          <t>BEST_SALES</t>
        </is>
      </c>
      <c r="D1750" t="inlineStr">
        <is>
          <t>28Y</t>
        </is>
      </c>
      <c r="E1750" t="inlineStr">
        <is>
          <t>Revenue estimate FY2028</t>
        </is>
      </c>
      <c r="F1750" s="53">
        <f>_xll.BDP("LRCX US Equity","BEST_SALES","BEST_FPERIOD_OVERRIDE","28Y")</f>
        <v/>
      </c>
    </row>
    <row r="1751">
      <c r="A1751" t="inlineStr">
        <is>
          <t>LRCX</t>
        </is>
      </c>
      <c r="B1751" t="inlineStr">
        <is>
          <t>LRCX US Equity</t>
        </is>
      </c>
      <c r="C1751" t="inlineStr">
        <is>
          <t>BEST_EBIT</t>
        </is>
      </c>
      <c r="D1751" t="inlineStr">
        <is>
          <t>28Y</t>
        </is>
      </c>
      <c r="E1751" t="inlineStr">
        <is>
          <t>EBIT estimate FY2028</t>
        </is>
      </c>
      <c r="F1751" s="53">
        <f>_xll.BDP("LRCX US Equity","BEST_EBIT","BEST_FPERIOD_OVERRIDE","28Y")</f>
        <v/>
      </c>
    </row>
    <row r="1752">
      <c r="A1752" t="inlineStr">
        <is>
          <t>TXN</t>
        </is>
      </c>
      <c r="B1752" t="inlineStr">
        <is>
          <t>TXN US Equity</t>
        </is>
      </c>
      <c r="C1752" t="inlineStr">
        <is>
          <t>PX_LAST</t>
        </is>
      </c>
      <c r="E1752" t="inlineStr">
        <is>
          <t>Last price</t>
        </is>
      </c>
      <c r="F1752" s="53">
        <f>_xll.BDP("TXN US Equity","PX_LAST")</f>
        <v/>
      </c>
    </row>
    <row r="1753">
      <c r="A1753" t="inlineStr">
        <is>
          <t>TXN</t>
        </is>
      </c>
      <c r="B1753" t="inlineStr">
        <is>
          <t>TXN US Equity</t>
        </is>
      </c>
      <c r="C1753" t="inlineStr">
        <is>
          <t>CUR_MKT_CAP</t>
        </is>
      </c>
      <c r="E1753" t="inlineStr">
        <is>
          <t>Market cap (raw)</t>
        </is>
      </c>
      <c r="F1753" s="53">
        <f>_xll.BDP("TXN US Equity","CUR_MKT_CAP")</f>
        <v/>
      </c>
    </row>
    <row r="1754">
      <c r="A1754" t="inlineStr">
        <is>
          <t>TXN</t>
        </is>
      </c>
      <c r="B1754" t="inlineStr">
        <is>
          <t>TXN US Equity</t>
        </is>
      </c>
      <c r="C1754" t="inlineStr">
        <is>
          <t>CHG_PCT_YTD</t>
        </is>
      </c>
      <c r="E1754" t="inlineStr">
        <is>
          <t>YTD price change %</t>
        </is>
      </c>
      <c r="F1754" s="53">
        <f>_xll.BDP("TXN US Equity","CHG_PCT_YTD")</f>
        <v/>
      </c>
    </row>
    <row r="1755">
      <c r="A1755" t="inlineStr">
        <is>
          <t>TXN</t>
        </is>
      </c>
      <c r="B1755" t="inlineStr">
        <is>
          <t>TXN US Equity</t>
        </is>
      </c>
      <c r="C1755" t="inlineStr">
        <is>
          <t>NET_DEBT_TO_EBITDA</t>
        </is>
      </c>
      <c r="E1755" t="inlineStr">
        <is>
          <t>Net debt / EBITDA</t>
        </is>
      </c>
      <c r="F1755" s="53">
        <f>_xll.BDP("TXN US Equity","NET_DEBT_TO_EBITDA")</f>
        <v/>
      </c>
    </row>
    <row r="1756">
      <c r="A1756" t="inlineStr">
        <is>
          <t>TXN</t>
        </is>
      </c>
      <c r="B1756" t="inlineStr">
        <is>
          <t>TXN US Equity</t>
        </is>
      </c>
      <c r="C1756" t="inlineStr">
        <is>
          <t>RETURN_ON_INV_CAPITAL</t>
        </is>
      </c>
      <c r="E1756" t="inlineStr">
        <is>
          <t>ROIC (LTM)</t>
        </is>
      </c>
      <c r="F1756" s="53">
        <f>_xll.BDP("TXN US Equity","RETURN_ON_INV_CAPITAL")</f>
        <v/>
      </c>
    </row>
    <row r="1757">
      <c r="A1757" t="inlineStr">
        <is>
          <t>TXN</t>
        </is>
      </c>
      <c r="B1757" t="inlineStr">
        <is>
          <t>TXN US Equity</t>
        </is>
      </c>
      <c r="C1757" t="inlineStr">
        <is>
          <t>TRAIL_12M_OPER_INC</t>
        </is>
      </c>
      <c r="E1757" t="inlineStr">
        <is>
          <t>LTM operating income</t>
        </is>
      </c>
      <c r="F1757" s="53">
        <f>_xll.BDP("TXN US Equity","TRAIL_12M_OPER_INC")</f>
        <v/>
      </c>
    </row>
    <row r="1758">
      <c r="A1758" t="inlineStr">
        <is>
          <t>TXN</t>
        </is>
      </c>
      <c r="B1758" t="inlineStr">
        <is>
          <t>TXN US Equity</t>
        </is>
      </c>
      <c r="C1758" t="inlineStr">
        <is>
          <t>TRAIL_12M_EBITDA</t>
        </is>
      </c>
      <c r="E1758" t="inlineStr">
        <is>
          <t>LTM EBITDA</t>
        </is>
      </c>
      <c r="F1758" s="53">
        <f>_xll.BDP("TXN US Equity","TRAIL_12M_EBITDA")</f>
        <v/>
      </c>
    </row>
    <row r="1759">
      <c r="A1759" t="inlineStr">
        <is>
          <t>TXN</t>
        </is>
      </c>
      <c r="B1759" t="inlineStr">
        <is>
          <t>TXN US Equity</t>
        </is>
      </c>
      <c r="C1759" t="inlineStr">
        <is>
          <t>SHORT_AND_LONG_TERM_DEBT</t>
        </is>
      </c>
      <c r="E1759" t="inlineStr">
        <is>
          <t>Total debt</t>
        </is>
      </c>
      <c r="F1759" s="53">
        <f>_xll.BDP("TXN US Equity","SHORT_AND_LONG_TERM_DEBT")</f>
        <v/>
      </c>
    </row>
    <row r="1760">
      <c r="A1760" t="inlineStr">
        <is>
          <t>TXN</t>
        </is>
      </c>
      <c r="B1760" t="inlineStr">
        <is>
          <t>TXN US Equity</t>
        </is>
      </c>
      <c r="C1760" t="inlineStr">
        <is>
          <t>TOTAL_EQUITY</t>
        </is>
      </c>
      <c r="E1760" t="inlineStr">
        <is>
          <t>Total equity</t>
        </is>
      </c>
      <c r="F1760" s="53">
        <f>_xll.BDP("TXN US Equity","TOTAL_EQUITY")</f>
        <v/>
      </c>
    </row>
    <row r="1761">
      <c r="A1761" t="inlineStr">
        <is>
          <t>TXN</t>
        </is>
      </c>
      <c r="B1761" t="inlineStr">
        <is>
          <t>TXN US Equity</t>
        </is>
      </c>
      <c r="C1761" t="inlineStr">
        <is>
          <t>BS_CASH_NEAR_CASH_ITEM</t>
        </is>
      </c>
      <c r="E1761" t="inlineStr">
        <is>
          <t>Cash &amp; equivalents</t>
        </is>
      </c>
      <c r="F1761" s="53">
        <f>_xll.BDP("TXN US Equity","BS_CASH_NEAR_CASH_ITEM")</f>
        <v/>
      </c>
    </row>
    <row r="1762">
      <c r="A1762" t="inlineStr">
        <is>
          <t>TXN</t>
        </is>
      </c>
      <c r="B1762" t="inlineStr">
        <is>
          <t>TXN US Equity</t>
        </is>
      </c>
      <c r="C1762" t="inlineStr">
        <is>
          <t>BEST_EPS</t>
        </is>
      </c>
      <c r="D1762" t="inlineStr">
        <is>
          <t>24Y</t>
        </is>
      </c>
      <c r="E1762" t="inlineStr">
        <is>
          <t>EPS estimate FY2024</t>
        </is>
      </c>
      <c r="F1762" s="53">
        <f>_xll.BDP("TXN US Equity","BEST_EPS","BEST_FPERIOD_OVERRIDE","24Y")</f>
        <v/>
      </c>
    </row>
    <row r="1763">
      <c r="A1763" t="inlineStr">
        <is>
          <t>TXN</t>
        </is>
      </c>
      <c r="B1763" t="inlineStr">
        <is>
          <t>TXN US Equity</t>
        </is>
      </c>
      <c r="C1763" t="inlineStr">
        <is>
          <t>BEST_SALES</t>
        </is>
      </c>
      <c r="D1763" t="inlineStr">
        <is>
          <t>24Y</t>
        </is>
      </c>
      <c r="E1763" t="inlineStr">
        <is>
          <t>Revenue estimate FY2024</t>
        </is>
      </c>
      <c r="F1763" s="53">
        <f>_xll.BDP("TXN US Equity","BEST_SALES","BEST_FPERIOD_OVERRIDE","24Y")</f>
        <v/>
      </c>
    </row>
    <row r="1764">
      <c r="A1764" t="inlineStr">
        <is>
          <t>TXN</t>
        </is>
      </c>
      <c r="B1764" t="inlineStr">
        <is>
          <t>TXN US Equity</t>
        </is>
      </c>
      <c r="C1764" t="inlineStr">
        <is>
          <t>BEST_EBIT</t>
        </is>
      </c>
      <c r="D1764" t="inlineStr">
        <is>
          <t>24Y</t>
        </is>
      </c>
      <c r="E1764" t="inlineStr">
        <is>
          <t>EBIT estimate FY2024</t>
        </is>
      </c>
      <c r="F1764" s="53">
        <f>_xll.BDP("TXN US Equity","BEST_EBIT","BEST_FPERIOD_OVERRIDE","24Y")</f>
        <v/>
      </c>
    </row>
    <row r="1765">
      <c r="A1765" t="inlineStr">
        <is>
          <t>TXN</t>
        </is>
      </c>
      <c r="B1765" t="inlineStr">
        <is>
          <t>TXN US Equity</t>
        </is>
      </c>
      <c r="C1765" t="inlineStr">
        <is>
          <t>BEST_EPS</t>
        </is>
      </c>
      <c r="D1765" t="inlineStr">
        <is>
          <t>25Y</t>
        </is>
      </c>
      <c r="E1765" t="inlineStr">
        <is>
          <t>EPS estimate FY2025</t>
        </is>
      </c>
      <c r="F1765" s="53">
        <f>_xll.BDP("TXN US Equity","BEST_EPS","BEST_FPERIOD_OVERRIDE","25Y")</f>
        <v/>
      </c>
    </row>
    <row r="1766">
      <c r="A1766" t="inlineStr">
        <is>
          <t>TXN</t>
        </is>
      </c>
      <c r="B1766" t="inlineStr">
        <is>
          <t>TXN US Equity</t>
        </is>
      </c>
      <c r="C1766" t="inlineStr">
        <is>
          <t>BEST_SALES</t>
        </is>
      </c>
      <c r="D1766" t="inlineStr">
        <is>
          <t>25Y</t>
        </is>
      </c>
      <c r="E1766" t="inlineStr">
        <is>
          <t>Revenue estimate FY2025</t>
        </is>
      </c>
      <c r="F1766" s="53">
        <f>_xll.BDP("TXN US Equity","BEST_SALES","BEST_FPERIOD_OVERRIDE","25Y")</f>
        <v/>
      </c>
    </row>
    <row r="1767">
      <c r="A1767" t="inlineStr">
        <is>
          <t>TXN</t>
        </is>
      </c>
      <c r="B1767" t="inlineStr">
        <is>
          <t>TXN US Equity</t>
        </is>
      </c>
      <c r="C1767" t="inlineStr">
        <is>
          <t>BEST_EBIT</t>
        </is>
      </c>
      <c r="D1767" t="inlineStr">
        <is>
          <t>25Y</t>
        </is>
      </c>
      <c r="E1767" t="inlineStr">
        <is>
          <t>EBIT estimate FY2025</t>
        </is>
      </c>
      <c r="F1767" s="53">
        <f>_xll.BDP("TXN US Equity","BEST_EBIT","BEST_FPERIOD_OVERRIDE","25Y")</f>
        <v/>
      </c>
    </row>
    <row r="1768">
      <c r="A1768" t="inlineStr">
        <is>
          <t>TXN</t>
        </is>
      </c>
      <c r="B1768" t="inlineStr">
        <is>
          <t>TXN US Equity</t>
        </is>
      </c>
      <c r="C1768" t="inlineStr">
        <is>
          <t>BEST_EPS</t>
        </is>
      </c>
      <c r="D1768" t="inlineStr">
        <is>
          <t>26Y</t>
        </is>
      </c>
      <c r="E1768" t="inlineStr">
        <is>
          <t>EPS estimate FY2026</t>
        </is>
      </c>
      <c r="F1768" s="53">
        <f>_xll.BDP("TXN US Equity","BEST_EPS","BEST_FPERIOD_OVERRIDE","26Y")</f>
        <v/>
      </c>
    </row>
    <row r="1769">
      <c r="A1769" t="inlineStr">
        <is>
          <t>TXN</t>
        </is>
      </c>
      <c r="B1769" t="inlineStr">
        <is>
          <t>TXN US Equity</t>
        </is>
      </c>
      <c r="C1769" t="inlineStr">
        <is>
          <t>BEST_SALES</t>
        </is>
      </c>
      <c r="D1769" t="inlineStr">
        <is>
          <t>26Y</t>
        </is>
      </c>
      <c r="E1769" t="inlineStr">
        <is>
          <t>Revenue estimate FY2026</t>
        </is>
      </c>
      <c r="F1769" s="53">
        <f>_xll.BDP("TXN US Equity","BEST_SALES","BEST_FPERIOD_OVERRIDE","26Y")</f>
        <v/>
      </c>
    </row>
    <row r="1770">
      <c r="A1770" t="inlineStr">
        <is>
          <t>TXN</t>
        </is>
      </c>
      <c r="B1770" t="inlineStr">
        <is>
          <t>TXN US Equity</t>
        </is>
      </c>
      <c r="C1770" t="inlineStr">
        <is>
          <t>BEST_EBIT</t>
        </is>
      </c>
      <c r="D1770" t="inlineStr">
        <is>
          <t>26Y</t>
        </is>
      </c>
      <c r="E1770" t="inlineStr">
        <is>
          <t>EBIT estimate FY2026</t>
        </is>
      </c>
      <c r="F1770" s="53">
        <f>_xll.BDP("TXN US Equity","BEST_EBIT","BEST_FPERIOD_OVERRIDE","26Y")</f>
        <v/>
      </c>
    </row>
    <row r="1771">
      <c r="A1771" t="inlineStr">
        <is>
          <t>TXN</t>
        </is>
      </c>
      <c r="B1771" t="inlineStr">
        <is>
          <t>TXN US Equity</t>
        </is>
      </c>
      <c r="C1771" t="inlineStr">
        <is>
          <t>BEST_EPS</t>
        </is>
      </c>
      <c r="D1771" t="inlineStr">
        <is>
          <t>27Y</t>
        </is>
      </c>
      <c r="E1771" t="inlineStr">
        <is>
          <t>EPS estimate FY2027</t>
        </is>
      </c>
      <c r="F1771" s="53">
        <f>_xll.BDP("TXN US Equity","BEST_EPS","BEST_FPERIOD_OVERRIDE","27Y")</f>
        <v/>
      </c>
    </row>
    <row r="1772">
      <c r="A1772" t="inlineStr">
        <is>
          <t>TXN</t>
        </is>
      </c>
      <c r="B1772" t="inlineStr">
        <is>
          <t>TXN US Equity</t>
        </is>
      </c>
      <c r="C1772" t="inlineStr">
        <is>
          <t>BEST_SALES</t>
        </is>
      </c>
      <c r="D1772" t="inlineStr">
        <is>
          <t>27Y</t>
        </is>
      </c>
      <c r="E1772" t="inlineStr">
        <is>
          <t>Revenue estimate FY2027</t>
        </is>
      </c>
      <c r="F1772" s="53">
        <f>_xll.BDP("TXN US Equity","BEST_SALES","BEST_FPERIOD_OVERRIDE","27Y")</f>
        <v/>
      </c>
    </row>
    <row r="1773">
      <c r="A1773" t="inlineStr">
        <is>
          <t>TXN</t>
        </is>
      </c>
      <c r="B1773" t="inlineStr">
        <is>
          <t>TXN US Equity</t>
        </is>
      </c>
      <c r="C1773" t="inlineStr">
        <is>
          <t>BEST_EBIT</t>
        </is>
      </c>
      <c r="D1773" t="inlineStr">
        <is>
          <t>27Y</t>
        </is>
      </c>
      <c r="E1773" t="inlineStr">
        <is>
          <t>EBIT estimate FY2027</t>
        </is>
      </c>
      <c r="F1773" s="53">
        <f>_xll.BDP("TXN US Equity","BEST_EBIT","BEST_FPERIOD_OVERRIDE","27Y")</f>
        <v/>
      </c>
    </row>
    <row r="1774">
      <c r="A1774" t="inlineStr">
        <is>
          <t>TXN</t>
        </is>
      </c>
      <c r="B1774" t="inlineStr">
        <is>
          <t>TXN US Equity</t>
        </is>
      </c>
      <c r="C1774" t="inlineStr">
        <is>
          <t>BEST_EPS</t>
        </is>
      </c>
      <c r="D1774" t="inlineStr">
        <is>
          <t>28Y</t>
        </is>
      </c>
      <c r="E1774" t="inlineStr">
        <is>
          <t>EPS estimate FY2028</t>
        </is>
      </c>
      <c r="F1774" s="53">
        <f>_xll.BDP("TXN US Equity","BEST_EPS","BEST_FPERIOD_OVERRIDE","28Y")</f>
        <v/>
      </c>
    </row>
    <row r="1775">
      <c r="A1775" t="inlineStr">
        <is>
          <t>TXN</t>
        </is>
      </c>
      <c r="B1775" t="inlineStr">
        <is>
          <t>TXN US Equity</t>
        </is>
      </c>
      <c r="C1775" t="inlineStr">
        <is>
          <t>BEST_SALES</t>
        </is>
      </c>
      <c r="D1775" t="inlineStr">
        <is>
          <t>28Y</t>
        </is>
      </c>
      <c r="E1775" t="inlineStr">
        <is>
          <t>Revenue estimate FY2028</t>
        </is>
      </c>
      <c r="F1775" s="53">
        <f>_xll.BDP("TXN US Equity","BEST_SALES","BEST_FPERIOD_OVERRIDE","28Y")</f>
        <v/>
      </c>
    </row>
    <row r="1776">
      <c r="A1776" t="inlineStr">
        <is>
          <t>TXN</t>
        </is>
      </c>
      <c r="B1776" t="inlineStr">
        <is>
          <t>TXN US Equity</t>
        </is>
      </c>
      <c r="C1776" t="inlineStr">
        <is>
          <t>BEST_EBIT</t>
        </is>
      </c>
      <c r="D1776" t="inlineStr">
        <is>
          <t>28Y</t>
        </is>
      </c>
      <c r="E1776" t="inlineStr">
        <is>
          <t>EBIT estimate FY2028</t>
        </is>
      </c>
      <c r="F1776" s="53">
        <f>_xll.BDP("TXN US Equity","BEST_EBIT","BEST_FPERIOD_OVERRIDE","28Y")</f>
        <v/>
      </c>
    </row>
    <row r="1777">
      <c r="A1777" t="inlineStr">
        <is>
          <t>GOOG</t>
        </is>
      </c>
      <c r="B1777" t="inlineStr">
        <is>
          <t>GOOG US Equity</t>
        </is>
      </c>
      <c r="C1777" t="inlineStr">
        <is>
          <t>PX_LAST</t>
        </is>
      </c>
      <c r="E1777" t="inlineStr">
        <is>
          <t>Last price</t>
        </is>
      </c>
      <c r="F1777" s="53">
        <f>_xll.BDP("GOOG US Equity","PX_LAST")</f>
        <v/>
      </c>
    </row>
    <row r="1778">
      <c r="A1778" t="inlineStr">
        <is>
          <t>GOOG</t>
        </is>
      </c>
      <c r="B1778" t="inlineStr">
        <is>
          <t>GOOG US Equity</t>
        </is>
      </c>
      <c r="C1778" t="inlineStr">
        <is>
          <t>CUR_MKT_CAP</t>
        </is>
      </c>
      <c r="E1778" t="inlineStr">
        <is>
          <t>Market cap (raw)</t>
        </is>
      </c>
      <c r="F1778" s="53">
        <f>_xll.BDP("GOOG US Equity","CUR_MKT_CAP")</f>
        <v/>
      </c>
    </row>
    <row r="1779">
      <c r="A1779" t="inlineStr">
        <is>
          <t>GOOG</t>
        </is>
      </c>
      <c r="B1779" t="inlineStr">
        <is>
          <t>GOOG US Equity</t>
        </is>
      </c>
      <c r="C1779" t="inlineStr">
        <is>
          <t>CHG_PCT_YTD</t>
        </is>
      </c>
      <c r="E1779" t="inlineStr">
        <is>
          <t>YTD price change %</t>
        </is>
      </c>
      <c r="F1779" s="53">
        <f>_xll.BDP("GOOG US Equity","CHG_PCT_YTD")</f>
        <v/>
      </c>
    </row>
    <row r="1780">
      <c r="A1780" t="inlineStr">
        <is>
          <t>GOOG</t>
        </is>
      </c>
      <c r="B1780" t="inlineStr">
        <is>
          <t>GOOG US Equity</t>
        </is>
      </c>
      <c r="C1780" t="inlineStr">
        <is>
          <t>NET_DEBT_TO_EBITDA</t>
        </is>
      </c>
      <c r="E1780" t="inlineStr">
        <is>
          <t>Net debt / EBITDA</t>
        </is>
      </c>
      <c r="F1780" s="53">
        <f>_xll.BDP("GOOG US Equity","NET_DEBT_TO_EBITDA")</f>
        <v/>
      </c>
    </row>
    <row r="1781">
      <c r="A1781" t="inlineStr">
        <is>
          <t>GOOG</t>
        </is>
      </c>
      <c r="B1781" t="inlineStr">
        <is>
          <t>GOOG US Equity</t>
        </is>
      </c>
      <c r="C1781" t="inlineStr">
        <is>
          <t>RETURN_ON_INV_CAPITAL</t>
        </is>
      </c>
      <c r="E1781" t="inlineStr">
        <is>
          <t>ROIC (LTM)</t>
        </is>
      </c>
      <c r="F1781" s="53">
        <f>_xll.BDP("GOOG US Equity","RETURN_ON_INV_CAPITAL")</f>
        <v/>
      </c>
    </row>
    <row r="1782">
      <c r="A1782" t="inlineStr">
        <is>
          <t>GOOG</t>
        </is>
      </c>
      <c r="B1782" t="inlineStr">
        <is>
          <t>GOOG US Equity</t>
        </is>
      </c>
      <c r="C1782" t="inlineStr">
        <is>
          <t>TRAIL_12M_OPER_INC</t>
        </is>
      </c>
      <c r="E1782" t="inlineStr">
        <is>
          <t>LTM operating income</t>
        </is>
      </c>
      <c r="F1782" s="53">
        <f>_xll.BDP("GOOG US Equity","TRAIL_12M_OPER_INC")</f>
        <v/>
      </c>
    </row>
    <row r="1783">
      <c r="A1783" t="inlineStr">
        <is>
          <t>GOOG</t>
        </is>
      </c>
      <c r="B1783" t="inlineStr">
        <is>
          <t>GOOG US Equity</t>
        </is>
      </c>
      <c r="C1783" t="inlineStr">
        <is>
          <t>TRAIL_12M_EBITDA</t>
        </is>
      </c>
      <c r="E1783" t="inlineStr">
        <is>
          <t>LTM EBITDA</t>
        </is>
      </c>
      <c r="F1783" s="53">
        <f>_xll.BDP("GOOG US Equity","TRAIL_12M_EBITDA")</f>
        <v/>
      </c>
    </row>
    <row r="1784">
      <c r="A1784" t="inlineStr">
        <is>
          <t>GOOG</t>
        </is>
      </c>
      <c r="B1784" t="inlineStr">
        <is>
          <t>GOOG US Equity</t>
        </is>
      </c>
      <c r="C1784" t="inlineStr">
        <is>
          <t>SHORT_AND_LONG_TERM_DEBT</t>
        </is>
      </c>
      <c r="E1784" t="inlineStr">
        <is>
          <t>Total debt</t>
        </is>
      </c>
      <c r="F1784" s="53">
        <f>_xll.BDP("GOOG US Equity","SHORT_AND_LONG_TERM_DEBT")</f>
        <v/>
      </c>
    </row>
    <row r="1785">
      <c r="A1785" t="inlineStr">
        <is>
          <t>GOOG</t>
        </is>
      </c>
      <c r="B1785" t="inlineStr">
        <is>
          <t>GOOG US Equity</t>
        </is>
      </c>
      <c r="C1785" t="inlineStr">
        <is>
          <t>TOTAL_EQUITY</t>
        </is>
      </c>
      <c r="E1785" t="inlineStr">
        <is>
          <t>Total equity</t>
        </is>
      </c>
      <c r="F1785" s="53">
        <f>_xll.BDP("GOOG US Equity","TOTAL_EQUITY")</f>
        <v/>
      </c>
    </row>
    <row r="1786">
      <c r="A1786" t="inlineStr">
        <is>
          <t>GOOG</t>
        </is>
      </c>
      <c r="B1786" t="inlineStr">
        <is>
          <t>GOOG US Equity</t>
        </is>
      </c>
      <c r="C1786" t="inlineStr">
        <is>
          <t>BS_CASH_NEAR_CASH_ITEM</t>
        </is>
      </c>
      <c r="E1786" t="inlineStr">
        <is>
          <t>Cash &amp; equivalents</t>
        </is>
      </c>
      <c r="F1786" s="53">
        <f>_xll.BDP("GOOG US Equity","BS_CASH_NEAR_CASH_ITEM")</f>
        <v/>
      </c>
    </row>
    <row r="1787">
      <c r="A1787" t="inlineStr">
        <is>
          <t>GOOG</t>
        </is>
      </c>
      <c r="B1787" t="inlineStr">
        <is>
          <t>GOOG US Equity</t>
        </is>
      </c>
      <c r="C1787" t="inlineStr">
        <is>
          <t>BEST_EPS</t>
        </is>
      </c>
      <c r="D1787" t="inlineStr">
        <is>
          <t>24Y</t>
        </is>
      </c>
      <c r="E1787" t="inlineStr">
        <is>
          <t>EPS estimate FY2024</t>
        </is>
      </c>
      <c r="F1787" s="53">
        <f>_xll.BDP("GOOG US Equity","BEST_EPS","BEST_FPERIOD_OVERRIDE","24Y")</f>
        <v/>
      </c>
    </row>
    <row r="1788">
      <c r="A1788" t="inlineStr">
        <is>
          <t>GOOG</t>
        </is>
      </c>
      <c r="B1788" t="inlineStr">
        <is>
          <t>GOOG US Equity</t>
        </is>
      </c>
      <c r="C1788" t="inlineStr">
        <is>
          <t>BEST_SALES</t>
        </is>
      </c>
      <c r="D1788" t="inlineStr">
        <is>
          <t>24Y</t>
        </is>
      </c>
      <c r="E1788" t="inlineStr">
        <is>
          <t>Revenue estimate FY2024</t>
        </is>
      </c>
      <c r="F1788" s="53">
        <f>_xll.BDP("GOOG US Equity","BEST_SALES","BEST_FPERIOD_OVERRIDE","24Y")</f>
        <v/>
      </c>
    </row>
    <row r="1789">
      <c r="A1789" t="inlineStr">
        <is>
          <t>GOOG</t>
        </is>
      </c>
      <c r="B1789" t="inlineStr">
        <is>
          <t>GOOG US Equity</t>
        </is>
      </c>
      <c r="C1789" t="inlineStr">
        <is>
          <t>BEST_EBIT</t>
        </is>
      </c>
      <c r="D1789" t="inlineStr">
        <is>
          <t>24Y</t>
        </is>
      </c>
      <c r="E1789" t="inlineStr">
        <is>
          <t>EBIT estimate FY2024</t>
        </is>
      </c>
      <c r="F1789" s="53">
        <f>_xll.BDP("GOOG US Equity","BEST_EBIT","BEST_FPERIOD_OVERRIDE","24Y")</f>
        <v/>
      </c>
    </row>
    <row r="1790">
      <c r="A1790" t="inlineStr">
        <is>
          <t>GOOG</t>
        </is>
      </c>
      <c r="B1790" t="inlineStr">
        <is>
          <t>GOOG US Equity</t>
        </is>
      </c>
      <c r="C1790" t="inlineStr">
        <is>
          <t>BEST_EPS</t>
        </is>
      </c>
      <c r="D1790" t="inlineStr">
        <is>
          <t>25Y</t>
        </is>
      </c>
      <c r="E1790" t="inlineStr">
        <is>
          <t>EPS estimate FY2025</t>
        </is>
      </c>
      <c r="F1790" s="53">
        <f>_xll.BDP("GOOG US Equity","BEST_EPS","BEST_FPERIOD_OVERRIDE","25Y")</f>
        <v/>
      </c>
    </row>
    <row r="1791">
      <c r="A1791" t="inlineStr">
        <is>
          <t>GOOG</t>
        </is>
      </c>
      <c r="B1791" t="inlineStr">
        <is>
          <t>GOOG US Equity</t>
        </is>
      </c>
      <c r="C1791" t="inlineStr">
        <is>
          <t>BEST_SALES</t>
        </is>
      </c>
      <c r="D1791" t="inlineStr">
        <is>
          <t>25Y</t>
        </is>
      </c>
      <c r="E1791" t="inlineStr">
        <is>
          <t>Revenue estimate FY2025</t>
        </is>
      </c>
      <c r="F1791" s="53">
        <f>_xll.BDP("GOOG US Equity","BEST_SALES","BEST_FPERIOD_OVERRIDE","25Y")</f>
        <v/>
      </c>
    </row>
    <row r="1792">
      <c r="A1792" t="inlineStr">
        <is>
          <t>GOOG</t>
        </is>
      </c>
      <c r="B1792" t="inlineStr">
        <is>
          <t>GOOG US Equity</t>
        </is>
      </c>
      <c r="C1792" t="inlineStr">
        <is>
          <t>BEST_EBIT</t>
        </is>
      </c>
      <c r="D1792" t="inlineStr">
        <is>
          <t>25Y</t>
        </is>
      </c>
      <c r="E1792" t="inlineStr">
        <is>
          <t>EBIT estimate FY2025</t>
        </is>
      </c>
      <c r="F1792" s="53">
        <f>_xll.BDP("GOOG US Equity","BEST_EBIT","BEST_FPERIOD_OVERRIDE","25Y")</f>
        <v/>
      </c>
    </row>
    <row r="1793">
      <c r="A1793" t="inlineStr">
        <is>
          <t>GOOG</t>
        </is>
      </c>
      <c r="B1793" t="inlineStr">
        <is>
          <t>GOOG US Equity</t>
        </is>
      </c>
      <c r="C1793" t="inlineStr">
        <is>
          <t>BEST_EPS</t>
        </is>
      </c>
      <c r="D1793" t="inlineStr">
        <is>
          <t>26Y</t>
        </is>
      </c>
      <c r="E1793" t="inlineStr">
        <is>
          <t>EPS estimate FY2026</t>
        </is>
      </c>
      <c r="F1793" s="53">
        <f>_xll.BDP("GOOG US Equity","BEST_EPS","BEST_FPERIOD_OVERRIDE","26Y")</f>
        <v/>
      </c>
    </row>
    <row r="1794">
      <c r="A1794" t="inlineStr">
        <is>
          <t>GOOG</t>
        </is>
      </c>
      <c r="B1794" t="inlineStr">
        <is>
          <t>GOOG US Equity</t>
        </is>
      </c>
      <c r="C1794" t="inlineStr">
        <is>
          <t>BEST_SALES</t>
        </is>
      </c>
      <c r="D1794" t="inlineStr">
        <is>
          <t>26Y</t>
        </is>
      </c>
      <c r="E1794" t="inlineStr">
        <is>
          <t>Revenue estimate FY2026</t>
        </is>
      </c>
      <c r="F1794" s="53">
        <f>_xll.BDP("GOOG US Equity","BEST_SALES","BEST_FPERIOD_OVERRIDE","26Y")</f>
        <v/>
      </c>
    </row>
    <row r="1795">
      <c r="A1795" t="inlineStr">
        <is>
          <t>GOOG</t>
        </is>
      </c>
      <c r="B1795" t="inlineStr">
        <is>
          <t>GOOG US Equity</t>
        </is>
      </c>
      <c r="C1795" t="inlineStr">
        <is>
          <t>BEST_EBIT</t>
        </is>
      </c>
      <c r="D1795" t="inlineStr">
        <is>
          <t>26Y</t>
        </is>
      </c>
      <c r="E1795" t="inlineStr">
        <is>
          <t>EBIT estimate FY2026</t>
        </is>
      </c>
      <c r="F1795" s="53">
        <f>_xll.BDP("GOOG US Equity","BEST_EBIT","BEST_FPERIOD_OVERRIDE","26Y")</f>
        <v/>
      </c>
    </row>
    <row r="1796">
      <c r="A1796" t="inlineStr">
        <is>
          <t>GOOG</t>
        </is>
      </c>
      <c r="B1796" t="inlineStr">
        <is>
          <t>GOOG US Equity</t>
        </is>
      </c>
      <c r="C1796" t="inlineStr">
        <is>
          <t>BEST_EPS</t>
        </is>
      </c>
      <c r="D1796" t="inlineStr">
        <is>
          <t>27Y</t>
        </is>
      </c>
      <c r="E1796" t="inlineStr">
        <is>
          <t>EPS estimate FY2027</t>
        </is>
      </c>
      <c r="F1796" s="53">
        <f>_xll.BDP("GOOG US Equity","BEST_EPS","BEST_FPERIOD_OVERRIDE","27Y")</f>
        <v/>
      </c>
    </row>
    <row r="1797">
      <c r="A1797" t="inlineStr">
        <is>
          <t>GOOG</t>
        </is>
      </c>
      <c r="B1797" t="inlineStr">
        <is>
          <t>GOOG US Equity</t>
        </is>
      </c>
      <c r="C1797" t="inlineStr">
        <is>
          <t>BEST_SALES</t>
        </is>
      </c>
      <c r="D1797" t="inlineStr">
        <is>
          <t>27Y</t>
        </is>
      </c>
      <c r="E1797" t="inlineStr">
        <is>
          <t>Revenue estimate FY2027</t>
        </is>
      </c>
      <c r="F1797" s="53">
        <f>_xll.BDP("GOOG US Equity","BEST_SALES","BEST_FPERIOD_OVERRIDE","27Y")</f>
        <v/>
      </c>
    </row>
    <row r="1798">
      <c r="A1798" t="inlineStr">
        <is>
          <t>GOOG</t>
        </is>
      </c>
      <c r="B1798" t="inlineStr">
        <is>
          <t>GOOG US Equity</t>
        </is>
      </c>
      <c r="C1798" t="inlineStr">
        <is>
          <t>BEST_EBIT</t>
        </is>
      </c>
      <c r="D1798" t="inlineStr">
        <is>
          <t>27Y</t>
        </is>
      </c>
      <c r="E1798" t="inlineStr">
        <is>
          <t>EBIT estimate FY2027</t>
        </is>
      </c>
      <c r="F1798" s="53">
        <f>_xll.BDP("GOOG US Equity","BEST_EBIT","BEST_FPERIOD_OVERRIDE","27Y")</f>
        <v/>
      </c>
    </row>
    <row r="1799">
      <c r="A1799" t="inlineStr">
        <is>
          <t>GOOG</t>
        </is>
      </c>
      <c r="B1799" t="inlineStr">
        <is>
          <t>GOOG US Equity</t>
        </is>
      </c>
      <c r="C1799" t="inlineStr">
        <is>
          <t>BEST_EPS</t>
        </is>
      </c>
      <c r="D1799" t="inlineStr">
        <is>
          <t>28Y</t>
        </is>
      </c>
      <c r="E1799" t="inlineStr">
        <is>
          <t>EPS estimate FY2028</t>
        </is>
      </c>
      <c r="F1799" s="53">
        <f>_xll.BDP("GOOG US Equity","BEST_EPS","BEST_FPERIOD_OVERRIDE","28Y")</f>
        <v/>
      </c>
    </row>
    <row r="1800">
      <c r="A1800" t="inlineStr">
        <is>
          <t>GOOG</t>
        </is>
      </c>
      <c r="B1800" t="inlineStr">
        <is>
          <t>GOOG US Equity</t>
        </is>
      </c>
      <c r="C1800" t="inlineStr">
        <is>
          <t>BEST_SALES</t>
        </is>
      </c>
      <c r="D1800" t="inlineStr">
        <is>
          <t>28Y</t>
        </is>
      </c>
      <c r="E1800" t="inlineStr">
        <is>
          <t>Revenue estimate FY2028</t>
        </is>
      </c>
      <c r="F1800" s="53">
        <f>_xll.BDP("GOOG US Equity","BEST_SALES","BEST_FPERIOD_OVERRIDE","28Y")</f>
        <v/>
      </c>
    </row>
    <row r="1801">
      <c r="A1801" t="inlineStr">
        <is>
          <t>GOOG</t>
        </is>
      </c>
      <c r="B1801" t="inlineStr">
        <is>
          <t>GOOG US Equity</t>
        </is>
      </c>
      <c r="C1801" t="inlineStr">
        <is>
          <t>BEST_EBIT</t>
        </is>
      </c>
      <c r="D1801" t="inlineStr">
        <is>
          <t>28Y</t>
        </is>
      </c>
      <c r="E1801" t="inlineStr">
        <is>
          <t>EBIT estimate FY2028</t>
        </is>
      </c>
      <c r="F1801" s="53">
        <f>_xll.BDP("GOOG US Equity","BEST_EBIT","BEST_FPERIOD_OVERRIDE","28Y")</f>
        <v/>
      </c>
    </row>
    <row r="1802">
      <c r="A1802" t="inlineStr">
        <is>
          <t>GWRE</t>
        </is>
      </c>
      <c r="B1802" t="inlineStr">
        <is>
          <t>GWRE US Equity</t>
        </is>
      </c>
      <c r="C1802" t="inlineStr">
        <is>
          <t>PX_LAST</t>
        </is>
      </c>
      <c r="E1802" t="inlineStr">
        <is>
          <t>Last price</t>
        </is>
      </c>
      <c r="F1802" s="53">
        <f>_xll.BDP("GWRE US Equity","PX_LAST")</f>
        <v/>
      </c>
    </row>
    <row r="1803">
      <c r="A1803" t="inlineStr">
        <is>
          <t>GWRE</t>
        </is>
      </c>
      <c r="B1803" t="inlineStr">
        <is>
          <t>GWRE US Equity</t>
        </is>
      </c>
      <c r="C1803" t="inlineStr">
        <is>
          <t>CUR_MKT_CAP</t>
        </is>
      </c>
      <c r="E1803" t="inlineStr">
        <is>
          <t>Market cap (raw)</t>
        </is>
      </c>
      <c r="F1803" s="53">
        <f>_xll.BDP("GWRE US Equity","CUR_MKT_CAP")</f>
        <v/>
      </c>
    </row>
    <row r="1804">
      <c r="A1804" t="inlineStr">
        <is>
          <t>GWRE</t>
        </is>
      </c>
      <c r="B1804" t="inlineStr">
        <is>
          <t>GWRE US Equity</t>
        </is>
      </c>
      <c r="C1804" t="inlineStr">
        <is>
          <t>CHG_PCT_YTD</t>
        </is>
      </c>
      <c r="E1804" t="inlineStr">
        <is>
          <t>YTD price change %</t>
        </is>
      </c>
      <c r="F1804" s="53">
        <f>_xll.BDP("GWRE US Equity","CHG_PCT_YTD")</f>
        <v/>
      </c>
    </row>
    <row r="1805">
      <c r="A1805" t="inlineStr">
        <is>
          <t>GWRE</t>
        </is>
      </c>
      <c r="B1805" t="inlineStr">
        <is>
          <t>GWRE US Equity</t>
        </is>
      </c>
      <c r="C1805" t="inlineStr">
        <is>
          <t>NET_DEBT_TO_EBITDA</t>
        </is>
      </c>
      <c r="E1805" t="inlineStr">
        <is>
          <t>Net debt / EBITDA</t>
        </is>
      </c>
      <c r="F1805" s="53">
        <f>_xll.BDP("GWRE US Equity","NET_DEBT_TO_EBITDA")</f>
        <v/>
      </c>
    </row>
    <row r="1806">
      <c r="A1806" t="inlineStr">
        <is>
          <t>GWRE</t>
        </is>
      </c>
      <c r="B1806" t="inlineStr">
        <is>
          <t>GWRE US Equity</t>
        </is>
      </c>
      <c r="C1806" t="inlineStr">
        <is>
          <t>RETURN_ON_INV_CAPITAL</t>
        </is>
      </c>
      <c r="E1806" t="inlineStr">
        <is>
          <t>ROIC (LTM)</t>
        </is>
      </c>
      <c r="F1806" s="53">
        <f>_xll.BDP("GWRE US Equity","RETURN_ON_INV_CAPITAL")</f>
        <v/>
      </c>
    </row>
    <row r="1807">
      <c r="A1807" t="inlineStr">
        <is>
          <t>GWRE</t>
        </is>
      </c>
      <c r="B1807" t="inlineStr">
        <is>
          <t>GWRE US Equity</t>
        </is>
      </c>
      <c r="C1807" t="inlineStr">
        <is>
          <t>TRAIL_12M_OPER_INC</t>
        </is>
      </c>
      <c r="E1807" t="inlineStr">
        <is>
          <t>LTM operating income</t>
        </is>
      </c>
      <c r="F1807" s="53">
        <f>_xll.BDP("GWRE US Equity","TRAIL_12M_OPER_INC")</f>
        <v/>
      </c>
    </row>
    <row r="1808">
      <c r="A1808" t="inlineStr">
        <is>
          <t>GWRE</t>
        </is>
      </c>
      <c r="B1808" t="inlineStr">
        <is>
          <t>GWRE US Equity</t>
        </is>
      </c>
      <c r="C1808" t="inlineStr">
        <is>
          <t>TRAIL_12M_EBITDA</t>
        </is>
      </c>
      <c r="E1808" t="inlineStr">
        <is>
          <t>LTM EBITDA</t>
        </is>
      </c>
      <c r="F1808" s="53">
        <f>_xll.BDP("GWRE US Equity","TRAIL_12M_EBITDA")</f>
        <v/>
      </c>
    </row>
    <row r="1809">
      <c r="A1809" t="inlineStr">
        <is>
          <t>GWRE</t>
        </is>
      </c>
      <c r="B1809" t="inlineStr">
        <is>
          <t>GWRE US Equity</t>
        </is>
      </c>
      <c r="C1809" t="inlineStr">
        <is>
          <t>SHORT_AND_LONG_TERM_DEBT</t>
        </is>
      </c>
      <c r="E1809" t="inlineStr">
        <is>
          <t>Total debt</t>
        </is>
      </c>
      <c r="F1809" s="53">
        <f>_xll.BDP("GWRE US Equity","SHORT_AND_LONG_TERM_DEBT")</f>
        <v/>
      </c>
    </row>
    <row r="1810">
      <c r="A1810" t="inlineStr">
        <is>
          <t>GWRE</t>
        </is>
      </c>
      <c r="B1810" t="inlineStr">
        <is>
          <t>GWRE US Equity</t>
        </is>
      </c>
      <c r="C1810" t="inlineStr">
        <is>
          <t>TOTAL_EQUITY</t>
        </is>
      </c>
      <c r="E1810" t="inlineStr">
        <is>
          <t>Total equity</t>
        </is>
      </c>
      <c r="F1810" s="53">
        <f>_xll.BDP("GWRE US Equity","TOTAL_EQUITY")</f>
        <v/>
      </c>
    </row>
    <row r="1811">
      <c r="A1811" t="inlineStr">
        <is>
          <t>GWRE</t>
        </is>
      </c>
      <c r="B1811" t="inlineStr">
        <is>
          <t>GWRE US Equity</t>
        </is>
      </c>
      <c r="C1811" t="inlineStr">
        <is>
          <t>BS_CASH_NEAR_CASH_ITEM</t>
        </is>
      </c>
      <c r="E1811" t="inlineStr">
        <is>
          <t>Cash &amp; equivalents</t>
        </is>
      </c>
      <c r="F1811" s="53">
        <f>_xll.BDP("GWRE US Equity","BS_CASH_NEAR_CASH_ITEM")</f>
        <v/>
      </c>
    </row>
    <row r="1812">
      <c r="A1812" t="inlineStr">
        <is>
          <t>GWRE</t>
        </is>
      </c>
      <c r="B1812" t="inlineStr">
        <is>
          <t>GWRE US Equity</t>
        </is>
      </c>
      <c r="C1812" t="inlineStr">
        <is>
          <t>BEST_EPS</t>
        </is>
      </c>
      <c r="D1812" t="inlineStr">
        <is>
          <t>24Y</t>
        </is>
      </c>
      <c r="E1812" t="inlineStr">
        <is>
          <t>EPS estimate FY2024</t>
        </is>
      </c>
      <c r="F1812" s="53">
        <f>_xll.BDP("GWRE US Equity","BEST_EPS","BEST_FPERIOD_OVERRIDE","24Y")</f>
        <v/>
      </c>
    </row>
    <row r="1813">
      <c r="A1813" t="inlineStr">
        <is>
          <t>GWRE</t>
        </is>
      </c>
      <c r="B1813" t="inlineStr">
        <is>
          <t>GWRE US Equity</t>
        </is>
      </c>
      <c r="C1813" t="inlineStr">
        <is>
          <t>BEST_SALES</t>
        </is>
      </c>
      <c r="D1813" t="inlineStr">
        <is>
          <t>24Y</t>
        </is>
      </c>
      <c r="E1813" t="inlineStr">
        <is>
          <t>Revenue estimate FY2024</t>
        </is>
      </c>
      <c r="F1813" s="53">
        <f>_xll.BDP("GWRE US Equity","BEST_SALES","BEST_FPERIOD_OVERRIDE","24Y")</f>
        <v/>
      </c>
    </row>
    <row r="1814">
      <c r="A1814" t="inlineStr">
        <is>
          <t>GWRE</t>
        </is>
      </c>
      <c r="B1814" t="inlineStr">
        <is>
          <t>GWRE US Equity</t>
        </is>
      </c>
      <c r="C1814" t="inlineStr">
        <is>
          <t>BEST_EBIT</t>
        </is>
      </c>
      <c r="D1814" t="inlineStr">
        <is>
          <t>24Y</t>
        </is>
      </c>
      <c r="E1814" t="inlineStr">
        <is>
          <t>EBIT estimate FY2024</t>
        </is>
      </c>
      <c r="F1814" s="53">
        <f>_xll.BDP("GWRE US Equity","BEST_EBIT","BEST_FPERIOD_OVERRIDE","24Y")</f>
        <v/>
      </c>
    </row>
    <row r="1815">
      <c r="A1815" t="inlineStr">
        <is>
          <t>GWRE</t>
        </is>
      </c>
      <c r="B1815" t="inlineStr">
        <is>
          <t>GWRE US Equity</t>
        </is>
      </c>
      <c r="C1815" t="inlineStr">
        <is>
          <t>BEST_EPS</t>
        </is>
      </c>
      <c r="D1815" t="inlineStr">
        <is>
          <t>25Y</t>
        </is>
      </c>
      <c r="E1815" t="inlineStr">
        <is>
          <t>EPS estimate FY2025</t>
        </is>
      </c>
      <c r="F1815" s="53">
        <f>_xll.BDP("GWRE US Equity","BEST_EPS","BEST_FPERIOD_OVERRIDE","25Y")</f>
        <v/>
      </c>
    </row>
    <row r="1816">
      <c r="A1816" t="inlineStr">
        <is>
          <t>GWRE</t>
        </is>
      </c>
      <c r="B1816" t="inlineStr">
        <is>
          <t>GWRE US Equity</t>
        </is>
      </c>
      <c r="C1816" t="inlineStr">
        <is>
          <t>BEST_SALES</t>
        </is>
      </c>
      <c r="D1816" t="inlineStr">
        <is>
          <t>25Y</t>
        </is>
      </c>
      <c r="E1816" t="inlineStr">
        <is>
          <t>Revenue estimate FY2025</t>
        </is>
      </c>
      <c r="F1816" s="53">
        <f>_xll.BDP("GWRE US Equity","BEST_SALES","BEST_FPERIOD_OVERRIDE","25Y")</f>
        <v/>
      </c>
    </row>
    <row r="1817">
      <c r="A1817" t="inlineStr">
        <is>
          <t>GWRE</t>
        </is>
      </c>
      <c r="B1817" t="inlineStr">
        <is>
          <t>GWRE US Equity</t>
        </is>
      </c>
      <c r="C1817" t="inlineStr">
        <is>
          <t>BEST_EBIT</t>
        </is>
      </c>
      <c r="D1817" t="inlineStr">
        <is>
          <t>25Y</t>
        </is>
      </c>
      <c r="E1817" t="inlineStr">
        <is>
          <t>EBIT estimate FY2025</t>
        </is>
      </c>
      <c r="F1817" s="53">
        <f>_xll.BDP("GWRE US Equity","BEST_EBIT","BEST_FPERIOD_OVERRIDE","25Y")</f>
        <v/>
      </c>
    </row>
    <row r="1818">
      <c r="A1818" t="inlineStr">
        <is>
          <t>GWRE</t>
        </is>
      </c>
      <c r="B1818" t="inlineStr">
        <is>
          <t>GWRE US Equity</t>
        </is>
      </c>
      <c r="C1818" t="inlineStr">
        <is>
          <t>BEST_EPS</t>
        </is>
      </c>
      <c r="D1818" t="inlineStr">
        <is>
          <t>26Y</t>
        </is>
      </c>
      <c r="E1818" t="inlineStr">
        <is>
          <t>EPS estimate FY2026</t>
        </is>
      </c>
      <c r="F1818" s="53">
        <f>_xll.BDP("GWRE US Equity","BEST_EPS","BEST_FPERIOD_OVERRIDE","26Y")</f>
        <v/>
      </c>
    </row>
    <row r="1819">
      <c r="A1819" t="inlineStr">
        <is>
          <t>GWRE</t>
        </is>
      </c>
      <c r="B1819" t="inlineStr">
        <is>
          <t>GWRE US Equity</t>
        </is>
      </c>
      <c r="C1819" t="inlineStr">
        <is>
          <t>BEST_SALES</t>
        </is>
      </c>
      <c r="D1819" t="inlineStr">
        <is>
          <t>26Y</t>
        </is>
      </c>
      <c r="E1819" t="inlineStr">
        <is>
          <t>Revenue estimate FY2026</t>
        </is>
      </c>
      <c r="F1819" s="53">
        <f>_xll.BDP("GWRE US Equity","BEST_SALES","BEST_FPERIOD_OVERRIDE","26Y")</f>
        <v/>
      </c>
    </row>
    <row r="1820">
      <c r="A1820" t="inlineStr">
        <is>
          <t>GWRE</t>
        </is>
      </c>
      <c r="B1820" t="inlineStr">
        <is>
          <t>GWRE US Equity</t>
        </is>
      </c>
      <c r="C1820" t="inlineStr">
        <is>
          <t>BEST_EBIT</t>
        </is>
      </c>
      <c r="D1820" t="inlineStr">
        <is>
          <t>26Y</t>
        </is>
      </c>
      <c r="E1820" t="inlineStr">
        <is>
          <t>EBIT estimate FY2026</t>
        </is>
      </c>
      <c r="F1820" s="53">
        <f>_xll.BDP("GWRE US Equity","BEST_EBIT","BEST_FPERIOD_OVERRIDE","26Y")</f>
        <v/>
      </c>
    </row>
    <row r="1821">
      <c r="A1821" t="inlineStr">
        <is>
          <t>GWRE</t>
        </is>
      </c>
      <c r="B1821" t="inlineStr">
        <is>
          <t>GWRE US Equity</t>
        </is>
      </c>
      <c r="C1821" t="inlineStr">
        <is>
          <t>BEST_EPS</t>
        </is>
      </c>
      <c r="D1821" t="inlineStr">
        <is>
          <t>27Y</t>
        </is>
      </c>
      <c r="E1821" t="inlineStr">
        <is>
          <t>EPS estimate FY2027</t>
        </is>
      </c>
      <c r="F1821" s="53">
        <f>_xll.BDP("GWRE US Equity","BEST_EPS","BEST_FPERIOD_OVERRIDE","27Y")</f>
        <v/>
      </c>
    </row>
    <row r="1822">
      <c r="A1822" t="inlineStr">
        <is>
          <t>GWRE</t>
        </is>
      </c>
      <c r="B1822" t="inlineStr">
        <is>
          <t>GWRE US Equity</t>
        </is>
      </c>
      <c r="C1822" t="inlineStr">
        <is>
          <t>BEST_SALES</t>
        </is>
      </c>
      <c r="D1822" t="inlineStr">
        <is>
          <t>27Y</t>
        </is>
      </c>
      <c r="E1822" t="inlineStr">
        <is>
          <t>Revenue estimate FY2027</t>
        </is>
      </c>
      <c r="F1822" s="53">
        <f>_xll.BDP("GWRE US Equity","BEST_SALES","BEST_FPERIOD_OVERRIDE","27Y")</f>
        <v/>
      </c>
    </row>
    <row r="1823">
      <c r="A1823" t="inlineStr">
        <is>
          <t>GWRE</t>
        </is>
      </c>
      <c r="B1823" t="inlineStr">
        <is>
          <t>GWRE US Equity</t>
        </is>
      </c>
      <c r="C1823" t="inlineStr">
        <is>
          <t>BEST_EBIT</t>
        </is>
      </c>
      <c r="D1823" t="inlineStr">
        <is>
          <t>27Y</t>
        </is>
      </c>
      <c r="E1823" t="inlineStr">
        <is>
          <t>EBIT estimate FY2027</t>
        </is>
      </c>
      <c r="F1823" s="53">
        <f>_xll.BDP("GWRE US Equity","BEST_EBIT","BEST_FPERIOD_OVERRIDE","27Y")</f>
        <v/>
      </c>
    </row>
    <row r="1824">
      <c r="A1824" t="inlineStr">
        <is>
          <t>GWRE</t>
        </is>
      </c>
      <c r="B1824" t="inlineStr">
        <is>
          <t>GWRE US Equity</t>
        </is>
      </c>
      <c r="C1824" t="inlineStr">
        <is>
          <t>BEST_EPS</t>
        </is>
      </c>
      <c r="D1824" t="inlineStr">
        <is>
          <t>28Y</t>
        </is>
      </c>
      <c r="E1824" t="inlineStr">
        <is>
          <t>EPS estimate FY2028</t>
        </is>
      </c>
      <c r="F1824" s="53">
        <f>_xll.BDP("GWRE US Equity","BEST_EPS","BEST_FPERIOD_OVERRIDE","28Y")</f>
        <v/>
      </c>
    </row>
    <row r="1825">
      <c r="A1825" t="inlineStr">
        <is>
          <t>GWRE</t>
        </is>
      </c>
      <c r="B1825" t="inlineStr">
        <is>
          <t>GWRE US Equity</t>
        </is>
      </c>
      <c r="C1825" t="inlineStr">
        <is>
          <t>BEST_SALES</t>
        </is>
      </c>
      <c r="D1825" t="inlineStr">
        <is>
          <t>28Y</t>
        </is>
      </c>
      <c r="E1825" t="inlineStr">
        <is>
          <t>Revenue estimate FY2028</t>
        </is>
      </c>
      <c r="F1825" s="53">
        <f>_xll.BDP("GWRE US Equity","BEST_SALES","BEST_FPERIOD_OVERRIDE","28Y")</f>
        <v/>
      </c>
    </row>
    <row r="1826">
      <c r="A1826" t="inlineStr">
        <is>
          <t>GWRE</t>
        </is>
      </c>
      <c r="B1826" t="inlineStr">
        <is>
          <t>GWRE US Equity</t>
        </is>
      </c>
      <c r="C1826" t="inlineStr">
        <is>
          <t>BEST_EBIT</t>
        </is>
      </c>
      <c r="D1826" t="inlineStr">
        <is>
          <t>28Y</t>
        </is>
      </c>
      <c r="E1826" t="inlineStr">
        <is>
          <t>EBIT estimate FY2028</t>
        </is>
      </c>
      <c r="F1826" s="53">
        <f>_xll.BDP("GWRE US Equity","BEST_EBIT","BEST_FPERIOD_OVERRIDE","28Y")</f>
        <v/>
      </c>
    </row>
    <row r="1827">
      <c r="A1827" t="inlineStr">
        <is>
          <t>VEEV</t>
        </is>
      </c>
      <c r="B1827" t="inlineStr">
        <is>
          <t>VEEV US Equity</t>
        </is>
      </c>
      <c r="C1827" t="inlineStr">
        <is>
          <t>PX_LAST</t>
        </is>
      </c>
      <c r="E1827" t="inlineStr">
        <is>
          <t>Last price</t>
        </is>
      </c>
      <c r="F1827" s="53">
        <f>_xll.BDP("VEEV US Equity","PX_LAST")</f>
        <v/>
      </c>
    </row>
    <row r="1828">
      <c r="A1828" t="inlineStr">
        <is>
          <t>VEEV</t>
        </is>
      </c>
      <c r="B1828" t="inlineStr">
        <is>
          <t>VEEV US Equity</t>
        </is>
      </c>
      <c r="C1828" t="inlineStr">
        <is>
          <t>CUR_MKT_CAP</t>
        </is>
      </c>
      <c r="E1828" t="inlineStr">
        <is>
          <t>Market cap (raw)</t>
        </is>
      </c>
      <c r="F1828" s="53">
        <f>_xll.BDP("VEEV US Equity","CUR_MKT_CAP")</f>
        <v/>
      </c>
    </row>
    <row r="1829">
      <c r="A1829" t="inlineStr">
        <is>
          <t>VEEV</t>
        </is>
      </c>
      <c r="B1829" t="inlineStr">
        <is>
          <t>VEEV US Equity</t>
        </is>
      </c>
      <c r="C1829" t="inlineStr">
        <is>
          <t>CHG_PCT_YTD</t>
        </is>
      </c>
      <c r="E1829" t="inlineStr">
        <is>
          <t>YTD price change %</t>
        </is>
      </c>
      <c r="F1829" s="53">
        <f>_xll.BDP("VEEV US Equity","CHG_PCT_YTD")</f>
        <v/>
      </c>
    </row>
    <row r="1830">
      <c r="A1830" t="inlineStr">
        <is>
          <t>VEEV</t>
        </is>
      </c>
      <c r="B1830" t="inlineStr">
        <is>
          <t>VEEV US Equity</t>
        </is>
      </c>
      <c r="C1830" t="inlineStr">
        <is>
          <t>NET_DEBT_TO_EBITDA</t>
        </is>
      </c>
      <c r="E1830" t="inlineStr">
        <is>
          <t>Net debt / EBITDA</t>
        </is>
      </c>
      <c r="F1830" s="53">
        <f>_xll.BDP("VEEV US Equity","NET_DEBT_TO_EBITDA")</f>
        <v/>
      </c>
    </row>
    <row r="1831">
      <c r="A1831" t="inlineStr">
        <is>
          <t>VEEV</t>
        </is>
      </c>
      <c r="B1831" t="inlineStr">
        <is>
          <t>VEEV US Equity</t>
        </is>
      </c>
      <c r="C1831" t="inlineStr">
        <is>
          <t>RETURN_ON_INV_CAPITAL</t>
        </is>
      </c>
      <c r="E1831" t="inlineStr">
        <is>
          <t>ROIC (LTM)</t>
        </is>
      </c>
      <c r="F1831" s="53">
        <f>_xll.BDP("VEEV US Equity","RETURN_ON_INV_CAPITAL")</f>
        <v/>
      </c>
    </row>
    <row r="1832">
      <c r="A1832" t="inlineStr">
        <is>
          <t>VEEV</t>
        </is>
      </c>
      <c r="B1832" t="inlineStr">
        <is>
          <t>VEEV US Equity</t>
        </is>
      </c>
      <c r="C1832" t="inlineStr">
        <is>
          <t>TRAIL_12M_OPER_INC</t>
        </is>
      </c>
      <c r="E1832" t="inlineStr">
        <is>
          <t>LTM operating income</t>
        </is>
      </c>
      <c r="F1832" s="53">
        <f>_xll.BDP("VEEV US Equity","TRAIL_12M_OPER_INC")</f>
        <v/>
      </c>
    </row>
    <row r="1833">
      <c r="A1833" t="inlineStr">
        <is>
          <t>VEEV</t>
        </is>
      </c>
      <c r="B1833" t="inlineStr">
        <is>
          <t>VEEV US Equity</t>
        </is>
      </c>
      <c r="C1833" t="inlineStr">
        <is>
          <t>TRAIL_12M_EBITDA</t>
        </is>
      </c>
      <c r="E1833" t="inlineStr">
        <is>
          <t>LTM EBITDA</t>
        </is>
      </c>
      <c r="F1833" s="53">
        <f>_xll.BDP("VEEV US Equity","TRAIL_12M_EBITDA")</f>
        <v/>
      </c>
    </row>
    <row r="1834">
      <c r="A1834" t="inlineStr">
        <is>
          <t>VEEV</t>
        </is>
      </c>
      <c r="B1834" t="inlineStr">
        <is>
          <t>VEEV US Equity</t>
        </is>
      </c>
      <c r="C1834" t="inlineStr">
        <is>
          <t>SHORT_AND_LONG_TERM_DEBT</t>
        </is>
      </c>
      <c r="E1834" t="inlineStr">
        <is>
          <t>Total debt</t>
        </is>
      </c>
      <c r="F1834" s="53">
        <f>_xll.BDP("VEEV US Equity","SHORT_AND_LONG_TERM_DEBT")</f>
        <v/>
      </c>
    </row>
    <row r="1835">
      <c r="A1835" t="inlineStr">
        <is>
          <t>VEEV</t>
        </is>
      </c>
      <c r="B1835" t="inlineStr">
        <is>
          <t>VEEV US Equity</t>
        </is>
      </c>
      <c r="C1835" t="inlineStr">
        <is>
          <t>TOTAL_EQUITY</t>
        </is>
      </c>
      <c r="E1835" t="inlineStr">
        <is>
          <t>Total equity</t>
        </is>
      </c>
      <c r="F1835" s="53">
        <f>_xll.BDP("VEEV US Equity","TOTAL_EQUITY")</f>
        <v/>
      </c>
    </row>
    <row r="1836">
      <c r="A1836" t="inlineStr">
        <is>
          <t>VEEV</t>
        </is>
      </c>
      <c r="B1836" t="inlineStr">
        <is>
          <t>VEEV US Equity</t>
        </is>
      </c>
      <c r="C1836" t="inlineStr">
        <is>
          <t>BS_CASH_NEAR_CASH_ITEM</t>
        </is>
      </c>
      <c r="E1836" t="inlineStr">
        <is>
          <t>Cash &amp; equivalents</t>
        </is>
      </c>
      <c r="F1836" s="53">
        <f>_xll.BDP("VEEV US Equity","BS_CASH_NEAR_CASH_ITEM")</f>
        <v/>
      </c>
    </row>
    <row r="1837">
      <c r="A1837" t="inlineStr">
        <is>
          <t>VEEV</t>
        </is>
      </c>
      <c r="B1837" t="inlineStr">
        <is>
          <t>VEEV US Equity</t>
        </is>
      </c>
      <c r="C1837" t="inlineStr">
        <is>
          <t>BEST_EPS</t>
        </is>
      </c>
      <c r="D1837" t="inlineStr">
        <is>
          <t>24Y</t>
        </is>
      </c>
      <c r="E1837" t="inlineStr">
        <is>
          <t>EPS estimate FY2024</t>
        </is>
      </c>
      <c r="F1837" s="53">
        <f>_xll.BDP("VEEV US Equity","BEST_EPS","BEST_FPERIOD_OVERRIDE","24Y")</f>
        <v/>
      </c>
    </row>
    <row r="1838">
      <c r="A1838" t="inlineStr">
        <is>
          <t>VEEV</t>
        </is>
      </c>
      <c r="B1838" t="inlineStr">
        <is>
          <t>VEEV US Equity</t>
        </is>
      </c>
      <c r="C1838" t="inlineStr">
        <is>
          <t>BEST_SALES</t>
        </is>
      </c>
      <c r="D1838" t="inlineStr">
        <is>
          <t>24Y</t>
        </is>
      </c>
      <c r="E1838" t="inlineStr">
        <is>
          <t>Revenue estimate FY2024</t>
        </is>
      </c>
      <c r="F1838" s="53">
        <f>_xll.BDP("VEEV US Equity","BEST_SALES","BEST_FPERIOD_OVERRIDE","24Y")</f>
        <v/>
      </c>
    </row>
    <row r="1839">
      <c r="A1839" t="inlineStr">
        <is>
          <t>VEEV</t>
        </is>
      </c>
      <c r="B1839" t="inlineStr">
        <is>
          <t>VEEV US Equity</t>
        </is>
      </c>
      <c r="C1839" t="inlineStr">
        <is>
          <t>BEST_EBIT</t>
        </is>
      </c>
      <c r="D1839" t="inlineStr">
        <is>
          <t>24Y</t>
        </is>
      </c>
      <c r="E1839" t="inlineStr">
        <is>
          <t>EBIT estimate FY2024</t>
        </is>
      </c>
      <c r="F1839" s="53">
        <f>_xll.BDP("VEEV US Equity","BEST_EBIT","BEST_FPERIOD_OVERRIDE","24Y")</f>
        <v/>
      </c>
    </row>
    <row r="1840">
      <c r="A1840" t="inlineStr">
        <is>
          <t>VEEV</t>
        </is>
      </c>
      <c r="B1840" t="inlineStr">
        <is>
          <t>VEEV US Equity</t>
        </is>
      </c>
      <c r="C1840" t="inlineStr">
        <is>
          <t>BEST_EPS</t>
        </is>
      </c>
      <c r="D1840" t="inlineStr">
        <is>
          <t>25Y</t>
        </is>
      </c>
      <c r="E1840" t="inlineStr">
        <is>
          <t>EPS estimate FY2025</t>
        </is>
      </c>
      <c r="F1840" s="53">
        <f>_xll.BDP("VEEV US Equity","BEST_EPS","BEST_FPERIOD_OVERRIDE","25Y")</f>
        <v/>
      </c>
    </row>
    <row r="1841">
      <c r="A1841" t="inlineStr">
        <is>
          <t>VEEV</t>
        </is>
      </c>
      <c r="B1841" t="inlineStr">
        <is>
          <t>VEEV US Equity</t>
        </is>
      </c>
      <c r="C1841" t="inlineStr">
        <is>
          <t>BEST_SALES</t>
        </is>
      </c>
      <c r="D1841" t="inlineStr">
        <is>
          <t>25Y</t>
        </is>
      </c>
      <c r="E1841" t="inlineStr">
        <is>
          <t>Revenue estimate FY2025</t>
        </is>
      </c>
      <c r="F1841" s="53">
        <f>_xll.BDP("VEEV US Equity","BEST_SALES","BEST_FPERIOD_OVERRIDE","25Y")</f>
        <v/>
      </c>
    </row>
    <row r="1842">
      <c r="A1842" t="inlineStr">
        <is>
          <t>VEEV</t>
        </is>
      </c>
      <c r="B1842" t="inlineStr">
        <is>
          <t>VEEV US Equity</t>
        </is>
      </c>
      <c r="C1842" t="inlineStr">
        <is>
          <t>BEST_EBIT</t>
        </is>
      </c>
      <c r="D1842" t="inlineStr">
        <is>
          <t>25Y</t>
        </is>
      </c>
      <c r="E1842" t="inlineStr">
        <is>
          <t>EBIT estimate FY2025</t>
        </is>
      </c>
      <c r="F1842" s="53">
        <f>_xll.BDP("VEEV US Equity","BEST_EBIT","BEST_FPERIOD_OVERRIDE","25Y")</f>
        <v/>
      </c>
    </row>
    <row r="1843">
      <c r="A1843" t="inlineStr">
        <is>
          <t>VEEV</t>
        </is>
      </c>
      <c r="B1843" t="inlineStr">
        <is>
          <t>VEEV US Equity</t>
        </is>
      </c>
      <c r="C1843" t="inlineStr">
        <is>
          <t>BEST_EPS</t>
        </is>
      </c>
      <c r="D1843" t="inlineStr">
        <is>
          <t>26Y</t>
        </is>
      </c>
      <c r="E1843" t="inlineStr">
        <is>
          <t>EPS estimate FY2026</t>
        </is>
      </c>
      <c r="F1843" s="53">
        <f>_xll.BDP("VEEV US Equity","BEST_EPS","BEST_FPERIOD_OVERRIDE","26Y")</f>
        <v/>
      </c>
    </row>
    <row r="1844">
      <c r="A1844" t="inlineStr">
        <is>
          <t>VEEV</t>
        </is>
      </c>
      <c r="B1844" t="inlineStr">
        <is>
          <t>VEEV US Equity</t>
        </is>
      </c>
      <c r="C1844" t="inlineStr">
        <is>
          <t>BEST_SALES</t>
        </is>
      </c>
      <c r="D1844" t="inlineStr">
        <is>
          <t>26Y</t>
        </is>
      </c>
      <c r="E1844" t="inlineStr">
        <is>
          <t>Revenue estimate FY2026</t>
        </is>
      </c>
      <c r="F1844" s="53">
        <f>_xll.BDP("VEEV US Equity","BEST_SALES","BEST_FPERIOD_OVERRIDE","26Y")</f>
        <v/>
      </c>
    </row>
    <row r="1845">
      <c r="A1845" t="inlineStr">
        <is>
          <t>VEEV</t>
        </is>
      </c>
      <c r="B1845" t="inlineStr">
        <is>
          <t>VEEV US Equity</t>
        </is>
      </c>
      <c r="C1845" t="inlineStr">
        <is>
          <t>BEST_EBIT</t>
        </is>
      </c>
      <c r="D1845" t="inlineStr">
        <is>
          <t>26Y</t>
        </is>
      </c>
      <c r="E1845" t="inlineStr">
        <is>
          <t>EBIT estimate FY2026</t>
        </is>
      </c>
      <c r="F1845" s="53">
        <f>_xll.BDP("VEEV US Equity","BEST_EBIT","BEST_FPERIOD_OVERRIDE","26Y")</f>
        <v/>
      </c>
    </row>
    <row r="1846">
      <c r="A1846" t="inlineStr">
        <is>
          <t>VEEV</t>
        </is>
      </c>
      <c r="B1846" t="inlineStr">
        <is>
          <t>VEEV US Equity</t>
        </is>
      </c>
      <c r="C1846" t="inlineStr">
        <is>
          <t>BEST_EPS</t>
        </is>
      </c>
      <c r="D1846" t="inlineStr">
        <is>
          <t>27Y</t>
        </is>
      </c>
      <c r="E1846" t="inlineStr">
        <is>
          <t>EPS estimate FY2027</t>
        </is>
      </c>
      <c r="F1846" s="53">
        <f>_xll.BDP("VEEV US Equity","BEST_EPS","BEST_FPERIOD_OVERRIDE","27Y")</f>
        <v/>
      </c>
    </row>
    <row r="1847">
      <c r="A1847" t="inlineStr">
        <is>
          <t>VEEV</t>
        </is>
      </c>
      <c r="B1847" t="inlineStr">
        <is>
          <t>VEEV US Equity</t>
        </is>
      </c>
      <c r="C1847" t="inlineStr">
        <is>
          <t>BEST_SALES</t>
        </is>
      </c>
      <c r="D1847" t="inlineStr">
        <is>
          <t>27Y</t>
        </is>
      </c>
      <c r="E1847" t="inlineStr">
        <is>
          <t>Revenue estimate FY2027</t>
        </is>
      </c>
      <c r="F1847" s="53">
        <f>_xll.BDP("VEEV US Equity","BEST_SALES","BEST_FPERIOD_OVERRIDE","27Y")</f>
        <v/>
      </c>
    </row>
    <row r="1848">
      <c r="A1848" t="inlineStr">
        <is>
          <t>VEEV</t>
        </is>
      </c>
      <c r="B1848" t="inlineStr">
        <is>
          <t>VEEV US Equity</t>
        </is>
      </c>
      <c r="C1848" t="inlineStr">
        <is>
          <t>BEST_EBIT</t>
        </is>
      </c>
      <c r="D1848" t="inlineStr">
        <is>
          <t>27Y</t>
        </is>
      </c>
      <c r="E1848" t="inlineStr">
        <is>
          <t>EBIT estimate FY2027</t>
        </is>
      </c>
      <c r="F1848" s="53">
        <f>_xll.BDP("VEEV US Equity","BEST_EBIT","BEST_FPERIOD_OVERRIDE","27Y")</f>
        <v/>
      </c>
    </row>
    <row r="1849">
      <c r="A1849" t="inlineStr">
        <is>
          <t>VEEV</t>
        </is>
      </c>
      <c r="B1849" t="inlineStr">
        <is>
          <t>VEEV US Equity</t>
        </is>
      </c>
      <c r="C1849" t="inlineStr">
        <is>
          <t>BEST_EPS</t>
        </is>
      </c>
      <c r="D1849" t="inlineStr">
        <is>
          <t>28Y</t>
        </is>
      </c>
      <c r="E1849" t="inlineStr">
        <is>
          <t>EPS estimate FY2028</t>
        </is>
      </c>
      <c r="F1849" s="53">
        <f>_xll.BDP("VEEV US Equity","BEST_EPS","BEST_FPERIOD_OVERRIDE","28Y")</f>
        <v/>
      </c>
    </row>
    <row r="1850">
      <c r="A1850" t="inlineStr">
        <is>
          <t>VEEV</t>
        </is>
      </c>
      <c r="B1850" t="inlineStr">
        <is>
          <t>VEEV US Equity</t>
        </is>
      </c>
      <c r="C1850" t="inlineStr">
        <is>
          <t>BEST_SALES</t>
        </is>
      </c>
      <c r="D1850" t="inlineStr">
        <is>
          <t>28Y</t>
        </is>
      </c>
      <c r="E1850" t="inlineStr">
        <is>
          <t>Revenue estimate FY2028</t>
        </is>
      </c>
      <c r="F1850" s="53">
        <f>_xll.BDP("VEEV US Equity","BEST_SALES","BEST_FPERIOD_OVERRIDE","28Y")</f>
        <v/>
      </c>
    </row>
    <row r="1851">
      <c r="A1851" t="inlineStr">
        <is>
          <t>VEEV</t>
        </is>
      </c>
      <c r="B1851" t="inlineStr">
        <is>
          <t>VEEV US Equity</t>
        </is>
      </c>
      <c r="C1851" t="inlineStr">
        <is>
          <t>BEST_EBIT</t>
        </is>
      </c>
      <c r="D1851" t="inlineStr">
        <is>
          <t>28Y</t>
        </is>
      </c>
      <c r="E1851" t="inlineStr">
        <is>
          <t>EBIT estimate FY2028</t>
        </is>
      </c>
      <c r="F1851" s="53">
        <f>_xll.BDP("VEEV US Equity","BEST_EBIT","BEST_FPERIOD_OVERRIDE","28Y")</f>
        <v/>
      </c>
    </row>
    <row r="1852">
      <c r="A1852" t="inlineStr">
        <is>
          <t>NOW</t>
        </is>
      </c>
      <c r="B1852" t="inlineStr">
        <is>
          <t>NOW US Equity</t>
        </is>
      </c>
      <c r="C1852" t="inlineStr">
        <is>
          <t>PX_LAST</t>
        </is>
      </c>
      <c r="E1852" t="inlineStr">
        <is>
          <t>Last price</t>
        </is>
      </c>
      <c r="F1852" s="53">
        <f>_xll.BDP("NOW US Equity","PX_LAST")</f>
        <v/>
      </c>
    </row>
    <row r="1853">
      <c r="A1853" t="inlineStr">
        <is>
          <t>NOW</t>
        </is>
      </c>
      <c r="B1853" t="inlineStr">
        <is>
          <t>NOW US Equity</t>
        </is>
      </c>
      <c r="C1853" t="inlineStr">
        <is>
          <t>CUR_MKT_CAP</t>
        </is>
      </c>
      <c r="E1853" t="inlineStr">
        <is>
          <t>Market cap (raw)</t>
        </is>
      </c>
      <c r="F1853" s="53">
        <f>_xll.BDP("NOW US Equity","CUR_MKT_CAP")</f>
        <v/>
      </c>
    </row>
    <row r="1854">
      <c r="A1854" t="inlineStr">
        <is>
          <t>NOW</t>
        </is>
      </c>
      <c r="B1854" t="inlineStr">
        <is>
          <t>NOW US Equity</t>
        </is>
      </c>
      <c r="C1854" t="inlineStr">
        <is>
          <t>CHG_PCT_YTD</t>
        </is>
      </c>
      <c r="E1854" t="inlineStr">
        <is>
          <t>YTD price change %</t>
        </is>
      </c>
      <c r="F1854" s="53">
        <f>_xll.BDP("NOW US Equity","CHG_PCT_YTD")</f>
        <v/>
      </c>
    </row>
    <row r="1855">
      <c r="A1855" t="inlineStr">
        <is>
          <t>NOW</t>
        </is>
      </c>
      <c r="B1855" t="inlineStr">
        <is>
          <t>NOW US Equity</t>
        </is>
      </c>
      <c r="C1855" t="inlineStr">
        <is>
          <t>NET_DEBT_TO_EBITDA</t>
        </is>
      </c>
      <c r="E1855" t="inlineStr">
        <is>
          <t>Net debt / EBITDA</t>
        </is>
      </c>
      <c r="F1855" s="53">
        <f>_xll.BDP("NOW US Equity","NET_DEBT_TO_EBITDA")</f>
        <v/>
      </c>
    </row>
    <row r="1856">
      <c r="A1856" t="inlineStr">
        <is>
          <t>NOW</t>
        </is>
      </c>
      <c r="B1856" t="inlineStr">
        <is>
          <t>NOW US Equity</t>
        </is>
      </c>
      <c r="C1856" t="inlineStr">
        <is>
          <t>RETURN_ON_INV_CAPITAL</t>
        </is>
      </c>
      <c r="E1856" t="inlineStr">
        <is>
          <t>ROIC (LTM)</t>
        </is>
      </c>
      <c r="F1856" s="53">
        <f>_xll.BDP("NOW US Equity","RETURN_ON_INV_CAPITAL")</f>
        <v/>
      </c>
    </row>
    <row r="1857">
      <c r="A1857" t="inlineStr">
        <is>
          <t>NOW</t>
        </is>
      </c>
      <c r="B1857" t="inlineStr">
        <is>
          <t>NOW US Equity</t>
        </is>
      </c>
      <c r="C1857" t="inlineStr">
        <is>
          <t>TRAIL_12M_OPER_INC</t>
        </is>
      </c>
      <c r="E1857" t="inlineStr">
        <is>
          <t>LTM operating income</t>
        </is>
      </c>
      <c r="F1857" s="53">
        <f>_xll.BDP("NOW US Equity","TRAIL_12M_OPER_INC")</f>
        <v/>
      </c>
    </row>
    <row r="1858">
      <c r="A1858" t="inlineStr">
        <is>
          <t>NOW</t>
        </is>
      </c>
      <c r="B1858" t="inlineStr">
        <is>
          <t>NOW US Equity</t>
        </is>
      </c>
      <c r="C1858" t="inlineStr">
        <is>
          <t>TRAIL_12M_EBITDA</t>
        </is>
      </c>
      <c r="E1858" t="inlineStr">
        <is>
          <t>LTM EBITDA</t>
        </is>
      </c>
      <c r="F1858" s="53">
        <f>_xll.BDP("NOW US Equity","TRAIL_12M_EBITDA")</f>
        <v/>
      </c>
    </row>
    <row r="1859">
      <c r="A1859" t="inlineStr">
        <is>
          <t>NOW</t>
        </is>
      </c>
      <c r="B1859" t="inlineStr">
        <is>
          <t>NOW US Equity</t>
        </is>
      </c>
      <c r="C1859" t="inlineStr">
        <is>
          <t>SHORT_AND_LONG_TERM_DEBT</t>
        </is>
      </c>
      <c r="E1859" t="inlineStr">
        <is>
          <t>Total debt</t>
        </is>
      </c>
      <c r="F1859" s="53">
        <f>_xll.BDP("NOW US Equity","SHORT_AND_LONG_TERM_DEBT")</f>
        <v/>
      </c>
    </row>
    <row r="1860">
      <c r="A1860" t="inlineStr">
        <is>
          <t>NOW</t>
        </is>
      </c>
      <c r="B1860" t="inlineStr">
        <is>
          <t>NOW US Equity</t>
        </is>
      </c>
      <c r="C1860" t="inlineStr">
        <is>
          <t>TOTAL_EQUITY</t>
        </is>
      </c>
      <c r="E1860" t="inlineStr">
        <is>
          <t>Total equity</t>
        </is>
      </c>
      <c r="F1860" s="53">
        <f>_xll.BDP("NOW US Equity","TOTAL_EQUITY")</f>
        <v/>
      </c>
    </row>
    <row r="1861">
      <c r="A1861" t="inlineStr">
        <is>
          <t>NOW</t>
        </is>
      </c>
      <c r="B1861" t="inlineStr">
        <is>
          <t>NOW US Equity</t>
        </is>
      </c>
      <c r="C1861" t="inlineStr">
        <is>
          <t>BS_CASH_NEAR_CASH_ITEM</t>
        </is>
      </c>
      <c r="E1861" t="inlineStr">
        <is>
          <t>Cash &amp; equivalents</t>
        </is>
      </c>
      <c r="F1861" s="53">
        <f>_xll.BDP("NOW US Equity","BS_CASH_NEAR_CASH_ITEM")</f>
        <v/>
      </c>
    </row>
    <row r="1862">
      <c r="A1862" t="inlineStr">
        <is>
          <t>NOW</t>
        </is>
      </c>
      <c r="B1862" t="inlineStr">
        <is>
          <t>NOW US Equity</t>
        </is>
      </c>
      <c r="C1862" t="inlineStr">
        <is>
          <t>BEST_EPS</t>
        </is>
      </c>
      <c r="D1862" t="inlineStr">
        <is>
          <t>24Y</t>
        </is>
      </c>
      <c r="E1862" t="inlineStr">
        <is>
          <t>EPS estimate FY2024</t>
        </is>
      </c>
      <c r="F1862" s="53">
        <f>_xll.BDP("NOW US Equity","BEST_EPS","BEST_FPERIOD_OVERRIDE","24Y")</f>
        <v/>
      </c>
    </row>
    <row r="1863">
      <c r="A1863" t="inlineStr">
        <is>
          <t>NOW</t>
        </is>
      </c>
      <c r="B1863" t="inlineStr">
        <is>
          <t>NOW US Equity</t>
        </is>
      </c>
      <c r="C1863" t="inlineStr">
        <is>
          <t>BEST_SALES</t>
        </is>
      </c>
      <c r="D1863" t="inlineStr">
        <is>
          <t>24Y</t>
        </is>
      </c>
      <c r="E1863" t="inlineStr">
        <is>
          <t>Revenue estimate FY2024</t>
        </is>
      </c>
      <c r="F1863" s="53">
        <f>_xll.BDP("NOW US Equity","BEST_SALES","BEST_FPERIOD_OVERRIDE","24Y")</f>
        <v/>
      </c>
    </row>
    <row r="1864">
      <c r="A1864" t="inlineStr">
        <is>
          <t>NOW</t>
        </is>
      </c>
      <c r="B1864" t="inlineStr">
        <is>
          <t>NOW US Equity</t>
        </is>
      </c>
      <c r="C1864" t="inlineStr">
        <is>
          <t>BEST_EBIT</t>
        </is>
      </c>
      <c r="D1864" t="inlineStr">
        <is>
          <t>24Y</t>
        </is>
      </c>
      <c r="E1864" t="inlineStr">
        <is>
          <t>EBIT estimate FY2024</t>
        </is>
      </c>
      <c r="F1864" s="53">
        <f>_xll.BDP("NOW US Equity","BEST_EBIT","BEST_FPERIOD_OVERRIDE","24Y")</f>
        <v/>
      </c>
    </row>
    <row r="1865">
      <c r="A1865" t="inlineStr">
        <is>
          <t>NOW</t>
        </is>
      </c>
      <c r="B1865" t="inlineStr">
        <is>
          <t>NOW US Equity</t>
        </is>
      </c>
      <c r="C1865" t="inlineStr">
        <is>
          <t>BEST_EPS</t>
        </is>
      </c>
      <c r="D1865" t="inlineStr">
        <is>
          <t>25Y</t>
        </is>
      </c>
      <c r="E1865" t="inlineStr">
        <is>
          <t>EPS estimate FY2025</t>
        </is>
      </c>
      <c r="F1865" s="53">
        <f>_xll.BDP("NOW US Equity","BEST_EPS","BEST_FPERIOD_OVERRIDE","25Y")</f>
        <v/>
      </c>
    </row>
    <row r="1866">
      <c r="A1866" t="inlineStr">
        <is>
          <t>NOW</t>
        </is>
      </c>
      <c r="B1866" t="inlineStr">
        <is>
          <t>NOW US Equity</t>
        </is>
      </c>
      <c r="C1866" t="inlineStr">
        <is>
          <t>BEST_SALES</t>
        </is>
      </c>
      <c r="D1866" t="inlineStr">
        <is>
          <t>25Y</t>
        </is>
      </c>
      <c r="E1866" t="inlineStr">
        <is>
          <t>Revenue estimate FY2025</t>
        </is>
      </c>
      <c r="F1866" s="53">
        <f>_xll.BDP("NOW US Equity","BEST_SALES","BEST_FPERIOD_OVERRIDE","25Y")</f>
        <v/>
      </c>
    </row>
    <row r="1867">
      <c r="A1867" t="inlineStr">
        <is>
          <t>NOW</t>
        </is>
      </c>
      <c r="B1867" t="inlineStr">
        <is>
          <t>NOW US Equity</t>
        </is>
      </c>
      <c r="C1867" t="inlineStr">
        <is>
          <t>BEST_EBIT</t>
        </is>
      </c>
      <c r="D1867" t="inlineStr">
        <is>
          <t>25Y</t>
        </is>
      </c>
      <c r="E1867" t="inlineStr">
        <is>
          <t>EBIT estimate FY2025</t>
        </is>
      </c>
      <c r="F1867" s="53">
        <f>_xll.BDP("NOW US Equity","BEST_EBIT","BEST_FPERIOD_OVERRIDE","25Y")</f>
        <v/>
      </c>
    </row>
    <row r="1868">
      <c r="A1868" t="inlineStr">
        <is>
          <t>NOW</t>
        </is>
      </c>
      <c r="B1868" t="inlineStr">
        <is>
          <t>NOW US Equity</t>
        </is>
      </c>
      <c r="C1868" t="inlineStr">
        <is>
          <t>BEST_EPS</t>
        </is>
      </c>
      <c r="D1868" t="inlineStr">
        <is>
          <t>26Y</t>
        </is>
      </c>
      <c r="E1868" t="inlineStr">
        <is>
          <t>EPS estimate FY2026</t>
        </is>
      </c>
      <c r="F1868" s="53">
        <f>_xll.BDP("NOW US Equity","BEST_EPS","BEST_FPERIOD_OVERRIDE","26Y")</f>
        <v/>
      </c>
    </row>
    <row r="1869">
      <c r="A1869" t="inlineStr">
        <is>
          <t>NOW</t>
        </is>
      </c>
      <c r="B1869" t="inlineStr">
        <is>
          <t>NOW US Equity</t>
        </is>
      </c>
      <c r="C1869" t="inlineStr">
        <is>
          <t>BEST_SALES</t>
        </is>
      </c>
      <c r="D1869" t="inlineStr">
        <is>
          <t>26Y</t>
        </is>
      </c>
      <c r="E1869" t="inlineStr">
        <is>
          <t>Revenue estimate FY2026</t>
        </is>
      </c>
      <c r="F1869" s="53">
        <f>_xll.BDP("NOW US Equity","BEST_SALES","BEST_FPERIOD_OVERRIDE","26Y")</f>
        <v/>
      </c>
    </row>
    <row r="1870">
      <c r="A1870" t="inlineStr">
        <is>
          <t>NOW</t>
        </is>
      </c>
      <c r="B1870" t="inlineStr">
        <is>
          <t>NOW US Equity</t>
        </is>
      </c>
      <c r="C1870" t="inlineStr">
        <is>
          <t>BEST_EBIT</t>
        </is>
      </c>
      <c r="D1870" t="inlineStr">
        <is>
          <t>26Y</t>
        </is>
      </c>
      <c r="E1870" t="inlineStr">
        <is>
          <t>EBIT estimate FY2026</t>
        </is>
      </c>
      <c r="F1870" s="53">
        <f>_xll.BDP("NOW US Equity","BEST_EBIT","BEST_FPERIOD_OVERRIDE","26Y")</f>
        <v/>
      </c>
    </row>
    <row r="1871">
      <c r="A1871" t="inlineStr">
        <is>
          <t>NOW</t>
        </is>
      </c>
      <c r="B1871" t="inlineStr">
        <is>
          <t>NOW US Equity</t>
        </is>
      </c>
      <c r="C1871" t="inlineStr">
        <is>
          <t>BEST_EPS</t>
        </is>
      </c>
      <c r="D1871" t="inlineStr">
        <is>
          <t>27Y</t>
        </is>
      </c>
      <c r="E1871" t="inlineStr">
        <is>
          <t>EPS estimate FY2027</t>
        </is>
      </c>
      <c r="F1871" s="53">
        <f>_xll.BDP("NOW US Equity","BEST_EPS","BEST_FPERIOD_OVERRIDE","27Y")</f>
        <v/>
      </c>
    </row>
    <row r="1872">
      <c r="A1872" t="inlineStr">
        <is>
          <t>NOW</t>
        </is>
      </c>
      <c r="B1872" t="inlineStr">
        <is>
          <t>NOW US Equity</t>
        </is>
      </c>
      <c r="C1872" t="inlineStr">
        <is>
          <t>BEST_SALES</t>
        </is>
      </c>
      <c r="D1872" t="inlineStr">
        <is>
          <t>27Y</t>
        </is>
      </c>
      <c r="E1872" t="inlineStr">
        <is>
          <t>Revenue estimate FY2027</t>
        </is>
      </c>
      <c r="F1872" s="53">
        <f>_xll.BDP("NOW US Equity","BEST_SALES","BEST_FPERIOD_OVERRIDE","27Y")</f>
        <v/>
      </c>
    </row>
    <row r="1873">
      <c r="A1873" t="inlineStr">
        <is>
          <t>NOW</t>
        </is>
      </c>
      <c r="B1873" t="inlineStr">
        <is>
          <t>NOW US Equity</t>
        </is>
      </c>
      <c r="C1873" t="inlineStr">
        <is>
          <t>BEST_EBIT</t>
        </is>
      </c>
      <c r="D1873" t="inlineStr">
        <is>
          <t>27Y</t>
        </is>
      </c>
      <c r="E1873" t="inlineStr">
        <is>
          <t>EBIT estimate FY2027</t>
        </is>
      </c>
      <c r="F1873" s="53">
        <f>_xll.BDP("NOW US Equity","BEST_EBIT","BEST_FPERIOD_OVERRIDE","27Y")</f>
        <v/>
      </c>
    </row>
    <row r="1874">
      <c r="A1874" t="inlineStr">
        <is>
          <t>NOW</t>
        </is>
      </c>
      <c r="B1874" t="inlineStr">
        <is>
          <t>NOW US Equity</t>
        </is>
      </c>
      <c r="C1874" t="inlineStr">
        <is>
          <t>BEST_EPS</t>
        </is>
      </c>
      <c r="D1874" t="inlineStr">
        <is>
          <t>28Y</t>
        </is>
      </c>
      <c r="E1874" t="inlineStr">
        <is>
          <t>EPS estimate FY2028</t>
        </is>
      </c>
      <c r="F1874" s="53">
        <f>_xll.BDP("NOW US Equity","BEST_EPS","BEST_FPERIOD_OVERRIDE","28Y")</f>
        <v/>
      </c>
    </row>
    <row r="1875">
      <c r="A1875" t="inlineStr">
        <is>
          <t>NOW</t>
        </is>
      </c>
      <c r="B1875" t="inlineStr">
        <is>
          <t>NOW US Equity</t>
        </is>
      </c>
      <c r="C1875" t="inlineStr">
        <is>
          <t>BEST_SALES</t>
        </is>
      </c>
      <c r="D1875" t="inlineStr">
        <is>
          <t>28Y</t>
        </is>
      </c>
      <c r="E1875" t="inlineStr">
        <is>
          <t>Revenue estimate FY2028</t>
        </is>
      </c>
      <c r="F1875" s="53">
        <f>_xll.BDP("NOW US Equity","BEST_SALES","BEST_FPERIOD_OVERRIDE","28Y")</f>
        <v/>
      </c>
    </row>
    <row r="1876">
      <c r="A1876" t="inlineStr">
        <is>
          <t>NOW</t>
        </is>
      </c>
      <c r="B1876" t="inlineStr">
        <is>
          <t>NOW US Equity</t>
        </is>
      </c>
      <c r="C1876" t="inlineStr">
        <is>
          <t>BEST_EBIT</t>
        </is>
      </c>
      <c r="D1876" t="inlineStr">
        <is>
          <t>28Y</t>
        </is>
      </c>
      <c r="E1876" t="inlineStr">
        <is>
          <t>EBIT estimate FY2028</t>
        </is>
      </c>
      <c r="F1876" s="53">
        <f>_xll.BDP("NOW US Equity","BEST_EBIT","BEST_FPERIOD_OVERRIDE","28Y")</f>
        <v/>
      </c>
    </row>
    <row r="1877">
      <c r="A1877" t="inlineStr">
        <is>
          <t>SHOP</t>
        </is>
      </c>
      <c r="B1877" t="inlineStr">
        <is>
          <t>SHOP US Equity</t>
        </is>
      </c>
      <c r="C1877" t="inlineStr">
        <is>
          <t>PX_LAST</t>
        </is>
      </c>
      <c r="E1877" t="inlineStr">
        <is>
          <t>Last price</t>
        </is>
      </c>
      <c r="F1877" s="53">
        <f>_xll.BDP("SHOP US Equity","PX_LAST")</f>
        <v/>
      </c>
    </row>
    <row r="1878">
      <c r="A1878" t="inlineStr">
        <is>
          <t>SHOP</t>
        </is>
      </c>
      <c r="B1878" t="inlineStr">
        <is>
          <t>SHOP US Equity</t>
        </is>
      </c>
      <c r="C1878" t="inlineStr">
        <is>
          <t>CUR_MKT_CAP</t>
        </is>
      </c>
      <c r="E1878" t="inlineStr">
        <is>
          <t>Market cap (raw)</t>
        </is>
      </c>
      <c r="F1878" s="53">
        <f>_xll.BDP("SHOP US Equity","CUR_MKT_CAP")</f>
        <v/>
      </c>
    </row>
    <row r="1879">
      <c r="A1879" t="inlineStr">
        <is>
          <t>SHOP</t>
        </is>
      </c>
      <c r="B1879" t="inlineStr">
        <is>
          <t>SHOP US Equity</t>
        </is>
      </c>
      <c r="C1879" t="inlineStr">
        <is>
          <t>CHG_PCT_YTD</t>
        </is>
      </c>
      <c r="E1879" t="inlineStr">
        <is>
          <t>YTD price change %</t>
        </is>
      </c>
      <c r="F1879" s="53">
        <f>_xll.BDP("SHOP US Equity","CHG_PCT_YTD")</f>
        <v/>
      </c>
    </row>
    <row r="1880">
      <c r="A1880" t="inlineStr">
        <is>
          <t>SHOP</t>
        </is>
      </c>
      <c r="B1880" t="inlineStr">
        <is>
          <t>SHOP US Equity</t>
        </is>
      </c>
      <c r="C1880" t="inlineStr">
        <is>
          <t>NET_DEBT_TO_EBITDA</t>
        </is>
      </c>
      <c r="E1880" t="inlineStr">
        <is>
          <t>Net debt / EBITDA</t>
        </is>
      </c>
      <c r="F1880" s="53">
        <f>_xll.BDP("SHOP US Equity","NET_DEBT_TO_EBITDA")</f>
        <v/>
      </c>
    </row>
    <row r="1881">
      <c r="A1881" t="inlineStr">
        <is>
          <t>SHOP</t>
        </is>
      </c>
      <c r="B1881" t="inlineStr">
        <is>
          <t>SHOP US Equity</t>
        </is>
      </c>
      <c r="C1881" t="inlineStr">
        <is>
          <t>RETURN_ON_INV_CAPITAL</t>
        </is>
      </c>
      <c r="E1881" t="inlineStr">
        <is>
          <t>ROIC (LTM)</t>
        </is>
      </c>
      <c r="F1881" s="53">
        <f>_xll.BDP("SHOP US Equity","RETURN_ON_INV_CAPITAL")</f>
        <v/>
      </c>
    </row>
    <row r="1882">
      <c r="A1882" t="inlineStr">
        <is>
          <t>SHOP</t>
        </is>
      </c>
      <c r="B1882" t="inlineStr">
        <is>
          <t>SHOP US Equity</t>
        </is>
      </c>
      <c r="C1882" t="inlineStr">
        <is>
          <t>TRAIL_12M_OPER_INC</t>
        </is>
      </c>
      <c r="E1882" t="inlineStr">
        <is>
          <t>LTM operating income</t>
        </is>
      </c>
      <c r="F1882" s="53">
        <f>_xll.BDP("SHOP US Equity","TRAIL_12M_OPER_INC")</f>
        <v/>
      </c>
    </row>
    <row r="1883">
      <c r="A1883" t="inlineStr">
        <is>
          <t>SHOP</t>
        </is>
      </c>
      <c r="B1883" t="inlineStr">
        <is>
          <t>SHOP US Equity</t>
        </is>
      </c>
      <c r="C1883" t="inlineStr">
        <is>
          <t>TRAIL_12M_EBITDA</t>
        </is>
      </c>
      <c r="E1883" t="inlineStr">
        <is>
          <t>LTM EBITDA</t>
        </is>
      </c>
      <c r="F1883" s="53">
        <f>_xll.BDP("SHOP US Equity","TRAIL_12M_EBITDA")</f>
        <v/>
      </c>
    </row>
    <row r="1884">
      <c r="A1884" t="inlineStr">
        <is>
          <t>SHOP</t>
        </is>
      </c>
      <c r="B1884" t="inlineStr">
        <is>
          <t>SHOP US Equity</t>
        </is>
      </c>
      <c r="C1884" t="inlineStr">
        <is>
          <t>SHORT_AND_LONG_TERM_DEBT</t>
        </is>
      </c>
      <c r="E1884" t="inlineStr">
        <is>
          <t>Total debt</t>
        </is>
      </c>
      <c r="F1884" s="53">
        <f>_xll.BDP("SHOP US Equity","SHORT_AND_LONG_TERM_DEBT")</f>
        <v/>
      </c>
    </row>
    <row r="1885">
      <c r="A1885" t="inlineStr">
        <is>
          <t>SHOP</t>
        </is>
      </c>
      <c r="B1885" t="inlineStr">
        <is>
          <t>SHOP US Equity</t>
        </is>
      </c>
      <c r="C1885" t="inlineStr">
        <is>
          <t>TOTAL_EQUITY</t>
        </is>
      </c>
      <c r="E1885" t="inlineStr">
        <is>
          <t>Total equity</t>
        </is>
      </c>
      <c r="F1885" s="53">
        <f>_xll.BDP("SHOP US Equity","TOTAL_EQUITY")</f>
        <v/>
      </c>
    </row>
    <row r="1886">
      <c r="A1886" t="inlineStr">
        <is>
          <t>SHOP</t>
        </is>
      </c>
      <c r="B1886" t="inlineStr">
        <is>
          <t>SHOP US Equity</t>
        </is>
      </c>
      <c r="C1886" t="inlineStr">
        <is>
          <t>BS_CASH_NEAR_CASH_ITEM</t>
        </is>
      </c>
      <c r="E1886" t="inlineStr">
        <is>
          <t>Cash &amp; equivalents</t>
        </is>
      </c>
      <c r="F1886" s="53">
        <f>_xll.BDP("SHOP US Equity","BS_CASH_NEAR_CASH_ITEM")</f>
        <v/>
      </c>
    </row>
    <row r="1887">
      <c r="A1887" t="inlineStr">
        <is>
          <t>SHOP</t>
        </is>
      </c>
      <c r="B1887" t="inlineStr">
        <is>
          <t>SHOP US Equity</t>
        </is>
      </c>
      <c r="C1887" t="inlineStr">
        <is>
          <t>BEST_EPS</t>
        </is>
      </c>
      <c r="D1887" t="inlineStr">
        <is>
          <t>24Y</t>
        </is>
      </c>
      <c r="E1887" t="inlineStr">
        <is>
          <t>EPS estimate FY2024</t>
        </is>
      </c>
      <c r="F1887" s="53">
        <f>_xll.BDP("SHOP US Equity","BEST_EPS","BEST_FPERIOD_OVERRIDE","24Y")</f>
        <v/>
      </c>
    </row>
    <row r="1888">
      <c r="A1888" t="inlineStr">
        <is>
          <t>SHOP</t>
        </is>
      </c>
      <c r="B1888" t="inlineStr">
        <is>
          <t>SHOP US Equity</t>
        </is>
      </c>
      <c r="C1888" t="inlineStr">
        <is>
          <t>BEST_SALES</t>
        </is>
      </c>
      <c r="D1888" t="inlineStr">
        <is>
          <t>24Y</t>
        </is>
      </c>
      <c r="E1888" t="inlineStr">
        <is>
          <t>Revenue estimate FY2024</t>
        </is>
      </c>
      <c r="F1888" s="53">
        <f>_xll.BDP("SHOP US Equity","BEST_SALES","BEST_FPERIOD_OVERRIDE","24Y")</f>
        <v/>
      </c>
    </row>
    <row r="1889">
      <c r="A1889" t="inlineStr">
        <is>
          <t>SHOP</t>
        </is>
      </c>
      <c r="B1889" t="inlineStr">
        <is>
          <t>SHOP US Equity</t>
        </is>
      </c>
      <c r="C1889" t="inlineStr">
        <is>
          <t>BEST_EBIT</t>
        </is>
      </c>
      <c r="D1889" t="inlineStr">
        <is>
          <t>24Y</t>
        </is>
      </c>
      <c r="E1889" t="inlineStr">
        <is>
          <t>EBIT estimate FY2024</t>
        </is>
      </c>
      <c r="F1889" s="53">
        <f>_xll.BDP("SHOP US Equity","BEST_EBIT","BEST_FPERIOD_OVERRIDE","24Y")</f>
        <v/>
      </c>
    </row>
    <row r="1890">
      <c r="A1890" t="inlineStr">
        <is>
          <t>SHOP</t>
        </is>
      </c>
      <c r="B1890" t="inlineStr">
        <is>
          <t>SHOP US Equity</t>
        </is>
      </c>
      <c r="C1890" t="inlineStr">
        <is>
          <t>BEST_EPS</t>
        </is>
      </c>
      <c r="D1890" t="inlineStr">
        <is>
          <t>25Y</t>
        </is>
      </c>
      <c r="E1890" t="inlineStr">
        <is>
          <t>EPS estimate FY2025</t>
        </is>
      </c>
      <c r="F1890" s="53">
        <f>_xll.BDP("SHOP US Equity","BEST_EPS","BEST_FPERIOD_OVERRIDE","25Y")</f>
        <v/>
      </c>
    </row>
    <row r="1891">
      <c r="A1891" t="inlineStr">
        <is>
          <t>SHOP</t>
        </is>
      </c>
      <c r="B1891" t="inlineStr">
        <is>
          <t>SHOP US Equity</t>
        </is>
      </c>
      <c r="C1891" t="inlineStr">
        <is>
          <t>BEST_SALES</t>
        </is>
      </c>
      <c r="D1891" t="inlineStr">
        <is>
          <t>25Y</t>
        </is>
      </c>
      <c r="E1891" t="inlineStr">
        <is>
          <t>Revenue estimate FY2025</t>
        </is>
      </c>
      <c r="F1891" s="53">
        <f>_xll.BDP("SHOP US Equity","BEST_SALES","BEST_FPERIOD_OVERRIDE","25Y")</f>
        <v/>
      </c>
    </row>
    <row r="1892">
      <c r="A1892" t="inlineStr">
        <is>
          <t>SHOP</t>
        </is>
      </c>
      <c r="B1892" t="inlineStr">
        <is>
          <t>SHOP US Equity</t>
        </is>
      </c>
      <c r="C1892" t="inlineStr">
        <is>
          <t>BEST_EBIT</t>
        </is>
      </c>
      <c r="D1892" t="inlineStr">
        <is>
          <t>25Y</t>
        </is>
      </c>
      <c r="E1892" t="inlineStr">
        <is>
          <t>EBIT estimate FY2025</t>
        </is>
      </c>
      <c r="F1892" s="53">
        <f>_xll.BDP("SHOP US Equity","BEST_EBIT","BEST_FPERIOD_OVERRIDE","25Y")</f>
        <v/>
      </c>
    </row>
    <row r="1893">
      <c r="A1893" t="inlineStr">
        <is>
          <t>SHOP</t>
        </is>
      </c>
      <c r="B1893" t="inlineStr">
        <is>
          <t>SHOP US Equity</t>
        </is>
      </c>
      <c r="C1893" t="inlineStr">
        <is>
          <t>BEST_EPS</t>
        </is>
      </c>
      <c r="D1893" t="inlineStr">
        <is>
          <t>26Y</t>
        </is>
      </c>
      <c r="E1893" t="inlineStr">
        <is>
          <t>EPS estimate FY2026</t>
        </is>
      </c>
      <c r="F1893" s="53">
        <f>_xll.BDP("SHOP US Equity","BEST_EPS","BEST_FPERIOD_OVERRIDE","26Y")</f>
        <v/>
      </c>
    </row>
    <row r="1894">
      <c r="A1894" t="inlineStr">
        <is>
          <t>SHOP</t>
        </is>
      </c>
      <c r="B1894" t="inlineStr">
        <is>
          <t>SHOP US Equity</t>
        </is>
      </c>
      <c r="C1894" t="inlineStr">
        <is>
          <t>BEST_SALES</t>
        </is>
      </c>
      <c r="D1894" t="inlineStr">
        <is>
          <t>26Y</t>
        </is>
      </c>
      <c r="E1894" t="inlineStr">
        <is>
          <t>Revenue estimate FY2026</t>
        </is>
      </c>
      <c r="F1894" s="53">
        <f>_xll.BDP("SHOP US Equity","BEST_SALES","BEST_FPERIOD_OVERRIDE","26Y")</f>
        <v/>
      </c>
    </row>
    <row r="1895">
      <c r="A1895" t="inlineStr">
        <is>
          <t>SHOP</t>
        </is>
      </c>
      <c r="B1895" t="inlineStr">
        <is>
          <t>SHOP US Equity</t>
        </is>
      </c>
      <c r="C1895" t="inlineStr">
        <is>
          <t>BEST_EBIT</t>
        </is>
      </c>
      <c r="D1895" t="inlineStr">
        <is>
          <t>26Y</t>
        </is>
      </c>
      <c r="E1895" t="inlineStr">
        <is>
          <t>EBIT estimate FY2026</t>
        </is>
      </c>
      <c r="F1895" s="53">
        <f>_xll.BDP("SHOP US Equity","BEST_EBIT","BEST_FPERIOD_OVERRIDE","26Y")</f>
        <v/>
      </c>
    </row>
    <row r="1896">
      <c r="A1896" t="inlineStr">
        <is>
          <t>SHOP</t>
        </is>
      </c>
      <c r="B1896" t="inlineStr">
        <is>
          <t>SHOP US Equity</t>
        </is>
      </c>
      <c r="C1896" t="inlineStr">
        <is>
          <t>BEST_EPS</t>
        </is>
      </c>
      <c r="D1896" t="inlineStr">
        <is>
          <t>27Y</t>
        </is>
      </c>
      <c r="E1896" t="inlineStr">
        <is>
          <t>EPS estimate FY2027</t>
        </is>
      </c>
      <c r="F1896" s="53">
        <f>_xll.BDP("SHOP US Equity","BEST_EPS","BEST_FPERIOD_OVERRIDE","27Y")</f>
        <v/>
      </c>
    </row>
    <row r="1897">
      <c r="A1897" t="inlineStr">
        <is>
          <t>SHOP</t>
        </is>
      </c>
      <c r="B1897" t="inlineStr">
        <is>
          <t>SHOP US Equity</t>
        </is>
      </c>
      <c r="C1897" t="inlineStr">
        <is>
          <t>BEST_SALES</t>
        </is>
      </c>
      <c r="D1897" t="inlineStr">
        <is>
          <t>27Y</t>
        </is>
      </c>
      <c r="E1897" t="inlineStr">
        <is>
          <t>Revenue estimate FY2027</t>
        </is>
      </c>
      <c r="F1897" s="53">
        <f>_xll.BDP("SHOP US Equity","BEST_SALES","BEST_FPERIOD_OVERRIDE","27Y")</f>
        <v/>
      </c>
    </row>
    <row r="1898">
      <c r="A1898" t="inlineStr">
        <is>
          <t>SHOP</t>
        </is>
      </c>
      <c r="B1898" t="inlineStr">
        <is>
          <t>SHOP US Equity</t>
        </is>
      </c>
      <c r="C1898" t="inlineStr">
        <is>
          <t>BEST_EBIT</t>
        </is>
      </c>
      <c r="D1898" t="inlineStr">
        <is>
          <t>27Y</t>
        </is>
      </c>
      <c r="E1898" t="inlineStr">
        <is>
          <t>EBIT estimate FY2027</t>
        </is>
      </c>
      <c r="F1898" s="53">
        <f>_xll.BDP("SHOP US Equity","BEST_EBIT","BEST_FPERIOD_OVERRIDE","27Y")</f>
        <v/>
      </c>
    </row>
    <row r="1899">
      <c r="A1899" t="inlineStr">
        <is>
          <t>SHOP</t>
        </is>
      </c>
      <c r="B1899" t="inlineStr">
        <is>
          <t>SHOP US Equity</t>
        </is>
      </c>
      <c r="C1899" t="inlineStr">
        <is>
          <t>BEST_EPS</t>
        </is>
      </c>
      <c r="D1899" t="inlineStr">
        <is>
          <t>28Y</t>
        </is>
      </c>
      <c r="E1899" t="inlineStr">
        <is>
          <t>EPS estimate FY2028</t>
        </is>
      </c>
      <c r="F1899" s="53">
        <f>_xll.BDP("SHOP US Equity","BEST_EPS","BEST_FPERIOD_OVERRIDE","28Y")</f>
        <v/>
      </c>
    </row>
    <row r="1900">
      <c r="A1900" t="inlineStr">
        <is>
          <t>SHOP</t>
        </is>
      </c>
      <c r="B1900" t="inlineStr">
        <is>
          <t>SHOP US Equity</t>
        </is>
      </c>
      <c r="C1900" t="inlineStr">
        <is>
          <t>BEST_SALES</t>
        </is>
      </c>
      <c r="D1900" t="inlineStr">
        <is>
          <t>28Y</t>
        </is>
      </c>
      <c r="E1900" t="inlineStr">
        <is>
          <t>Revenue estimate FY2028</t>
        </is>
      </c>
      <c r="F1900" s="53">
        <f>_xll.BDP("SHOP US Equity","BEST_SALES","BEST_FPERIOD_OVERRIDE","28Y")</f>
        <v/>
      </c>
    </row>
    <row r="1901">
      <c r="A1901" t="inlineStr">
        <is>
          <t>SHOP</t>
        </is>
      </c>
      <c r="B1901" t="inlineStr">
        <is>
          <t>SHOP US Equity</t>
        </is>
      </c>
      <c r="C1901" t="inlineStr">
        <is>
          <t>BEST_EBIT</t>
        </is>
      </c>
      <c r="D1901" t="inlineStr">
        <is>
          <t>28Y</t>
        </is>
      </c>
      <c r="E1901" t="inlineStr">
        <is>
          <t>EBIT estimate FY2028</t>
        </is>
      </c>
      <c r="F1901" s="53">
        <f>_xll.BDP("SHOP US Equity","BEST_EBIT","BEST_FPERIOD_OVERRIDE","28Y")</f>
        <v/>
      </c>
    </row>
    <row r="1902">
      <c r="A1902" t="inlineStr">
        <is>
          <t>AVGO</t>
        </is>
      </c>
      <c r="B1902" t="inlineStr">
        <is>
          <t>AVGO UW Equity</t>
        </is>
      </c>
      <c r="C1902" t="inlineStr">
        <is>
          <t>PX_LAST</t>
        </is>
      </c>
      <c r="E1902" t="inlineStr">
        <is>
          <t>Last price</t>
        </is>
      </c>
      <c r="F1902" s="53">
        <f>_xll.BDP("AVGO UW Equity","PX_LAST")</f>
        <v/>
      </c>
    </row>
    <row r="1903">
      <c r="A1903" t="inlineStr">
        <is>
          <t>AVGO</t>
        </is>
      </c>
      <c r="B1903" t="inlineStr">
        <is>
          <t>AVGO UW Equity</t>
        </is>
      </c>
      <c r="C1903" t="inlineStr">
        <is>
          <t>CUR_MKT_CAP</t>
        </is>
      </c>
      <c r="E1903" t="inlineStr">
        <is>
          <t>Market cap (raw)</t>
        </is>
      </c>
      <c r="F1903" s="53">
        <f>_xll.BDP("AVGO UW Equity","CUR_MKT_CAP")</f>
        <v/>
      </c>
    </row>
    <row r="1904">
      <c r="A1904" t="inlineStr">
        <is>
          <t>AVGO</t>
        </is>
      </c>
      <c r="B1904" t="inlineStr">
        <is>
          <t>AVGO UW Equity</t>
        </is>
      </c>
      <c r="C1904" t="inlineStr">
        <is>
          <t>CHG_PCT_YTD</t>
        </is>
      </c>
      <c r="E1904" t="inlineStr">
        <is>
          <t>YTD price change %</t>
        </is>
      </c>
      <c r="F1904" s="53">
        <f>_xll.BDP("AVGO UW Equity","CHG_PCT_YTD")</f>
        <v/>
      </c>
    </row>
    <row r="1905">
      <c r="A1905" t="inlineStr">
        <is>
          <t>AVGO</t>
        </is>
      </c>
      <c r="B1905" t="inlineStr">
        <is>
          <t>AVGO UW Equity</t>
        </is>
      </c>
      <c r="C1905" t="inlineStr">
        <is>
          <t>NET_DEBT_TO_EBITDA</t>
        </is>
      </c>
      <c r="E1905" t="inlineStr">
        <is>
          <t>Net debt / EBITDA</t>
        </is>
      </c>
      <c r="F1905" s="53">
        <f>_xll.BDP("AVGO UW Equity","NET_DEBT_TO_EBITDA")</f>
        <v/>
      </c>
    </row>
    <row r="1906">
      <c r="A1906" t="inlineStr">
        <is>
          <t>AVGO</t>
        </is>
      </c>
      <c r="B1906" t="inlineStr">
        <is>
          <t>AVGO UW Equity</t>
        </is>
      </c>
      <c r="C1906" t="inlineStr">
        <is>
          <t>RETURN_ON_INV_CAPITAL</t>
        </is>
      </c>
      <c r="E1906" t="inlineStr">
        <is>
          <t>ROIC (LTM)</t>
        </is>
      </c>
      <c r="F1906" s="53">
        <f>_xll.BDP("AVGO UW Equity","RETURN_ON_INV_CAPITAL")</f>
        <v/>
      </c>
    </row>
    <row r="1907">
      <c r="A1907" t="inlineStr">
        <is>
          <t>AVGO</t>
        </is>
      </c>
      <c r="B1907" t="inlineStr">
        <is>
          <t>AVGO UW Equity</t>
        </is>
      </c>
      <c r="C1907" t="inlineStr">
        <is>
          <t>TRAIL_12M_OPER_INC</t>
        </is>
      </c>
      <c r="E1907" t="inlineStr">
        <is>
          <t>LTM operating income</t>
        </is>
      </c>
      <c r="F1907" s="53">
        <f>_xll.BDP("AVGO UW Equity","TRAIL_12M_OPER_INC")</f>
        <v/>
      </c>
    </row>
    <row r="1908">
      <c r="A1908" t="inlineStr">
        <is>
          <t>AVGO</t>
        </is>
      </c>
      <c r="B1908" t="inlineStr">
        <is>
          <t>AVGO UW Equity</t>
        </is>
      </c>
      <c r="C1908" t="inlineStr">
        <is>
          <t>TRAIL_12M_EBITDA</t>
        </is>
      </c>
      <c r="E1908" t="inlineStr">
        <is>
          <t>LTM EBITDA</t>
        </is>
      </c>
      <c r="F1908" s="53">
        <f>_xll.BDP("AVGO UW Equity","TRAIL_12M_EBITDA")</f>
        <v/>
      </c>
    </row>
    <row r="1909">
      <c r="A1909" t="inlineStr">
        <is>
          <t>AVGO</t>
        </is>
      </c>
      <c r="B1909" t="inlineStr">
        <is>
          <t>AVGO UW Equity</t>
        </is>
      </c>
      <c r="C1909" t="inlineStr">
        <is>
          <t>SHORT_AND_LONG_TERM_DEBT</t>
        </is>
      </c>
      <c r="E1909" t="inlineStr">
        <is>
          <t>Total debt</t>
        </is>
      </c>
      <c r="F1909" s="53">
        <f>_xll.BDP("AVGO UW Equity","SHORT_AND_LONG_TERM_DEBT")</f>
        <v/>
      </c>
    </row>
    <row r="1910">
      <c r="A1910" t="inlineStr">
        <is>
          <t>AVGO</t>
        </is>
      </c>
      <c r="B1910" t="inlineStr">
        <is>
          <t>AVGO UW Equity</t>
        </is>
      </c>
      <c r="C1910" t="inlineStr">
        <is>
          <t>TOTAL_EQUITY</t>
        </is>
      </c>
      <c r="E1910" t="inlineStr">
        <is>
          <t>Total equity</t>
        </is>
      </c>
      <c r="F1910" s="53">
        <f>_xll.BDP("AVGO UW Equity","TOTAL_EQUITY")</f>
        <v/>
      </c>
    </row>
    <row r="1911">
      <c r="A1911" t="inlineStr">
        <is>
          <t>AVGO</t>
        </is>
      </c>
      <c r="B1911" t="inlineStr">
        <is>
          <t>AVGO UW Equity</t>
        </is>
      </c>
      <c r="C1911" t="inlineStr">
        <is>
          <t>BS_CASH_NEAR_CASH_ITEM</t>
        </is>
      </c>
      <c r="E1911" t="inlineStr">
        <is>
          <t>Cash &amp; equivalents</t>
        </is>
      </c>
      <c r="F1911" s="53">
        <f>_xll.BDP("AVGO UW Equity","BS_CASH_NEAR_CASH_ITEM")</f>
        <v/>
      </c>
    </row>
    <row r="1912">
      <c r="A1912" t="inlineStr">
        <is>
          <t>AVGO</t>
        </is>
      </c>
      <c r="B1912" t="inlineStr">
        <is>
          <t>AVGO UW Equity</t>
        </is>
      </c>
      <c r="C1912" t="inlineStr">
        <is>
          <t>BEST_EPS</t>
        </is>
      </c>
      <c r="D1912" t="inlineStr">
        <is>
          <t>24Y</t>
        </is>
      </c>
      <c r="E1912" t="inlineStr">
        <is>
          <t>EPS estimate FY2024</t>
        </is>
      </c>
      <c r="F1912" s="53">
        <f>_xll.BDP("AVGO UW Equity","BEST_EPS","BEST_FPERIOD_OVERRIDE","24Y")</f>
        <v/>
      </c>
    </row>
    <row r="1913">
      <c r="A1913" t="inlineStr">
        <is>
          <t>AVGO</t>
        </is>
      </c>
      <c r="B1913" t="inlineStr">
        <is>
          <t>AVGO UW Equity</t>
        </is>
      </c>
      <c r="C1913" t="inlineStr">
        <is>
          <t>BEST_SALES</t>
        </is>
      </c>
      <c r="D1913" t="inlineStr">
        <is>
          <t>24Y</t>
        </is>
      </c>
      <c r="E1913" t="inlineStr">
        <is>
          <t>Revenue estimate FY2024</t>
        </is>
      </c>
      <c r="F1913" s="53">
        <f>_xll.BDP("AVGO UW Equity","BEST_SALES","BEST_FPERIOD_OVERRIDE","24Y")</f>
        <v/>
      </c>
    </row>
    <row r="1914">
      <c r="A1914" t="inlineStr">
        <is>
          <t>AVGO</t>
        </is>
      </c>
      <c r="B1914" t="inlineStr">
        <is>
          <t>AVGO UW Equity</t>
        </is>
      </c>
      <c r="C1914" t="inlineStr">
        <is>
          <t>BEST_EBIT</t>
        </is>
      </c>
      <c r="D1914" t="inlineStr">
        <is>
          <t>24Y</t>
        </is>
      </c>
      <c r="E1914" t="inlineStr">
        <is>
          <t>EBIT estimate FY2024</t>
        </is>
      </c>
      <c r="F1914" s="53">
        <f>_xll.BDP("AVGO UW Equity","BEST_EBIT","BEST_FPERIOD_OVERRIDE","24Y")</f>
        <v/>
      </c>
    </row>
    <row r="1915">
      <c r="A1915" t="inlineStr">
        <is>
          <t>AVGO</t>
        </is>
      </c>
      <c r="B1915" t="inlineStr">
        <is>
          <t>AVGO UW Equity</t>
        </is>
      </c>
      <c r="C1915" t="inlineStr">
        <is>
          <t>BEST_EPS</t>
        </is>
      </c>
      <c r="D1915" t="inlineStr">
        <is>
          <t>25Y</t>
        </is>
      </c>
      <c r="E1915" t="inlineStr">
        <is>
          <t>EPS estimate FY2025</t>
        </is>
      </c>
      <c r="F1915" s="53">
        <f>_xll.BDP("AVGO UW Equity","BEST_EPS","BEST_FPERIOD_OVERRIDE","25Y")</f>
        <v/>
      </c>
    </row>
    <row r="1916">
      <c r="A1916" t="inlineStr">
        <is>
          <t>AVGO</t>
        </is>
      </c>
      <c r="B1916" t="inlineStr">
        <is>
          <t>AVGO UW Equity</t>
        </is>
      </c>
      <c r="C1916" t="inlineStr">
        <is>
          <t>BEST_SALES</t>
        </is>
      </c>
      <c r="D1916" t="inlineStr">
        <is>
          <t>25Y</t>
        </is>
      </c>
      <c r="E1916" t="inlineStr">
        <is>
          <t>Revenue estimate FY2025</t>
        </is>
      </c>
      <c r="F1916" s="53">
        <f>_xll.BDP("AVGO UW Equity","BEST_SALES","BEST_FPERIOD_OVERRIDE","25Y")</f>
        <v/>
      </c>
    </row>
    <row r="1917">
      <c r="A1917" t="inlineStr">
        <is>
          <t>AVGO</t>
        </is>
      </c>
      <c r="B1917" t="inlineStr">
        <is>
          <t>AVGO UW Equity</t>
        </is>
      </c>
      <c r="C1917" t="inlineStr">
        <is>
          <t>BEST_EBIT</t>
        </is>
      </c>
      <c r="D1917" t="inlineStr">
        <is>
          <t>25Y</t>
        </is>
      </c>
      <c r="E1917" t="inlineStr">
        <is>
          <t>EBIT estimate FY2025</t>
        </is>
      </c>
      <c r="F1917" s="53">
        <f>_xll.BDP("AVGO UW Equity","BEST_EBIT","BEST_FPERIOD_OVERRIDE","25Y")</f>
        <v/>
      </c>
    </row>
    <row r="1918">
      <c r="A1918" t="inlineStr">
        <is>
          <t>AVGO</t>
        </is>
      </c>
      <c r="B1918" t="inlineStr">
        <is>
          <t>AVGO UW Equity</t>
        </is>
      </c>
      <c r="C1918" t="inlineStr">
        <is>
          <t>BEST_EPS</t>
        </is>
      </c>
      <c r="D1918" t="inlineStr">
        <is>
          <t>26Y</t>
        </is>
      </c>
      <c r="E1918" t="inlineStr">
        <is>
          <t>EPS estimate FY2026</t>
        </is>
      </c>
      <c r="F1918" s="53">
        <f>_xll.BDP("AVGO UW Equity","BEST_EPS","BEST_FPERIOD_OVERRIDE","26Y")</f>
        <v/>
      </c>
    </row>
    <row r="1919">
      <c r="A1919" t="inlineStr">
        <is>
          <t>AVGO</t>
        </is>
      </c>
      <c r="B1919" t="inlineStr">
        <is>
          <t>AVGO UW Equity</t>
        </is>
      </c>
      <c r="C1919" t="inlineStr">
        <is>
          <t>BEST_SALES</t>
        </is>
      </c>
      <c r="D1919" t="inlineStr">
        <is>
          <t>26Y</t>
        </is>
      </c>
      <c r="E1919" t="inlineStr">
        <is>
          <t>Revenue estimate FY2026</t>
        </is>
      </c>
      <c r="F1919" s="53">
        <f>_xll.BDP("AVGO UW Equity","BEST_SALES","BEST_FPERIOD_OVERRIDE","26Y")</f>
        <v/>
      </c>
    </row>
    <row r="1920">
      <c r="A1920" t="inlineStr">
        <is>
          <t>AVGO</t>
        </is>
      </c>
      <c r="B1920" t="inlineStr">
        <is>
          <t>AVGO UW Equity</t>
        </is>
      </c>
      <c r="C1920" t="inlineStr">
        <is>
          <t>BEST_EBIT</t>
        </is>
      </c>
      <c r="D1920" t="inlineStr">
        <is>
          <t>26Y</t>
        </is>
      </c>
      <c r="E1920" t="inlineStr">
        <is>
          <t>EBIT estimate FY2026</t>
        </is>
      </c>
      <c r="F1920" s="53">
        <f>_xll.BDP("AVGO UW Equity","BEST_EBIT","BEST_FPERIOD_OVERRIDE","26Y")</f>
        <v/>
      </c>
    </row>
    <row r="1921">
      <c r="A1921" t="inlineStr">
        <is>
          <t>AVGO</t>
        </is>
      </c>
      <c r="B1921" t="inlineStr">
        <is>
          <t>AVGO UW Equity</t>
        </is>
      </c>
      <c r="C1921" t="inlineStr">
        <is>
          <t>BEST_EPS</t>
        </is>
      </c>
      <c r="D1921" t="inlineStr">
        <is>
          <t>27Y</t>
        </is>
      </c>
      <c r="E1921" t="inlineStr">
        <is>
          <t>EPS estimate FY2027</t>
        </is>
      </c>
      <c r="F1921" s="53">
        <f>_xll.BDP("AVGO UW Equity","BEST_EPS","BEST_FPERIOD_OVERRIDE","27Y")</f>
        <v/>
      </c>
    </row>
    <row r="1922">
      <c r="A1922" t="inlineStr">
        <is>
          <t>AVGO</t>
        </is>
      </c>
      <c r="B1922" t="inlineStr">
        <is>
          <t>AVGO UW Equity</t>
        </is>
      </c>
      <c r="C1922" t="inlineStr">
        <is>
          <t>BEST_SALES</t>
        </is>
      </c>
      <c r="D1922" t="inlineStr">
        <is>
          <t>27Y</t>
        </is>
      </c>
      <c r="E1922" t="inlineStr">
        <is>
          <t>Revenue estimate FY2027</t>
        </is>
      </c>
      <c r="F1922" s="53">
        <f>_xll.BDP("AVGO UW Equity","BEST_SALES","BEST_FPERIOD_OVERRIDE","27Y")</f>
        <v/>
      </c>
    </row>
    <row r="1923">
      <c r="A1923" t="inlineStr">
        <is>
          <t>AVGO</t>
        </is>
      </c>
      <c r="B1923" t="inlineStr">
        <is>
          <t>AVGO UW Equity</t>
        </is>
      </c>
      <c r="C1923" t="inlineStr">
        <is>
          <t>BEST_EBIT</t>
        </is>
      </c>
      <c r="D1923" t="inlineStr">
        <is>
          <t>27Y</t>
        </is>
      </c>
      <c r="E1923" t="inlineStr">
        <is>
          <t>EBIT estimate FY2027</t>
        </is>
      </c>
      <c r="F1923" s="53">
        <f>_xll.BDP("AVGO UW Equity","BEST_EBIT","BEST_FPERIOD_OVERRIDE","27Y")</f>
        <v/>
      </c>
    </row>
    <row r="1924">
      <c r="A1924" t="inlineStr">
        <is>
          <t>AVGO</t>
        </is>
      </c>
      <c r="B1924" t="inlineStr">
        <is>
          <t>AVGO UW Equity</t>
        </is>
      </c>
      <c r="C1924" t="inlineStr">
        <is>
          <t>BEST_EPS</t>
        </is>
      </c>
      <c r="D1924" t="inlineStr">
        <is>
          <t>28Y</t>
        </is>
      </c>
      <c r="E1924" t="inlineStr">
        <is>
          <t>EPS estimate FY2028</t>
        </is>
      </c>
      <c r="F1924" s="53">
        <f>_xll.BDP("AVGO UW Equity","BEST_EPS","BEST_FPERIOD_OVERRIDE","28Y")</f>
        <v/>
      </c>
    </row>
    <row r="1925">
      <c r="A1925" t="inlineStr">
        <is>
          <t>AVGO</t>
        </is>
      </c>
      <c r="B1925" t="inlineStr">
        <is>
          <t>AVGO UW Equity</t>
        </is>
      </c>
      <c r="C1925" t="inlineStr">
        <is>
          <t>BEST_SALES</t>
        </is>
      </c>
      <c r="D1925" t="inlineStr">
        <is>
          <t>28Y</t>
        </is>
      </c>
      <c r="E1925" t="inlineStr">
        <is>
          <t>Revenue estimate FY2028</t>
        </is>
      </c>
      <c r="F1925" s="53">
        <f>_xll.BDP("AVGO UW Equity","BEST_SALES","BEST_FPERIOD_OVERRIDE","28Y")</f>
        <v/>
      </c>
    </row>
    <row r="1926">
      <c r="A1926" t="inlineStr">
        <is>
          <t>AVGO</t>
        </is>
      </c>
      <c r="B1926" t="inlineStr">
        <is>
          <t>AVGO UW Equity</t>
        </is>
      </c>
      <c r="C1926" t="inlineStr">
        <is>
          <t>BEST_EBIT</t>
        </is>
      </c>
      <c r="D1926" t="inlineStr">
        <is>
          <t>28Y</t>
        </is>
      </c>
      <c r="E1926" t="inlineStr">
        <is>
          <t>EBIT estimate FY2028</t>
        </is>
      </c>
      <c r="F1926" s="53">
        <f>_xll.BDP("AVGO UW Equity","BEST_EBIT","BEST_FPERIOD_OVERRIDE","28Y")</f>
        <v/>
      </c>
    </row>
    <row r="1927">
      <c r="A1927" t="inlineStr">
        <is>
          <t>MRVL</t>
        </is>
      </c>
      <c r="B1927" t="inlineStr">
        <is>
          <t>MRVL UW Equity</t>
        </is>
      </c>
      <c r="C1927" t="inlineStr">
        <is>
          <t>PX_LAST</t>
        </is>
      </c>
      <c r="E1927" t="inlineStr">
        <is>
          <t>Last price</t>
        </is>
      </c>
      <c r="F1927" s="53">
        <f>_xll.BDP("MRVL UW Equity","PX_LAST")</f>
        <v/>
      </c>
    </row>
    <row r="1928">
      <c r="A1928" t="inlineStr">
        <is>
          <t>MRVL</t>
        </is>
      </c>
      <c r="B1928" t="inlineStr">
        <is>
          <t>MRVL UW Equity</t>
        </is>
      </c>
      <c r="C1928" t="inlineStr">
        <is>
          <t>CUR_MKT_CAP</t>
        </is>
      </c>
      <c r="E1928" t="inlineStr">
        <is>
          <t>Market cap (raw)</t>
        </is>
      </c>
      <c r="F1928" s="53">
        <f>_xll.BDP("MRVL UW Equity","CUR_MKT_CAP")</f>
        <v/>
      </c>
    </row>
    <row r="1929">
      <c r="A1929" t="inlineStr">
        <is>
          <t>MRVL</t>
        </is>
      </c>
      <c r="B1929" t="inlineStr">
        <is>
          <t>MRVL UW Equity</t>
        </is>
      </c>
      <c r="C1929" t="inlineStr">
        <is>
          <t>CHG_PCT_YTD</t>
        </is>
      </c>
      <c r="E1929" t="inlineStr">
        <is>
          <t>YTD price change %</t>
        </is>
      </c>
      <c r="F1929" s="53">
        <f>_xll.BDP("MRVL UW Equity","CHG_PCT_YTD")</f>
        <v/>
      </c>
    </row>
    <row r="1930">
      <c r="A1930" t="inlineStr">
        <is>
          <t>MRVL</t>
        </is>
      </c>
      <c r="B1930" t="inlineStr">
        <is>
          <t>MRVL UW Equity</t>
        </is>
      </c>
      <c r="C1930" t="inlineStr">
        <is>
          <t>NET_DEBT_TO_EBITDA</t>
        </is>
      </c>
      <c r="E1930" t="inlineStr">
        <is>
          <t>Net debt / EBITDA</t>
        </is>
      </c>
      <c r="F1930" s="53">
        <f>_xll.BDP("MRVL UW Equity","NET_DEBT_TO_EBITDA")</f>
        <v/>
      </c>
    </row>
    <row r="1931">
      <c r="A1931" t="inlineStr">
        <is>
          <t>MRVL</t>
        </is>
      </c>
      <c r="B1931" t="inlineStr">
        <is>
          <t>MRVL UW Equity</t>
        </is>
      </c>
      <c r="C1931" t="inlineStr">
        <is>
          <t>RETURN_ON_INV_CAPITAL</t>
        </is>
      </c>
      <c r="E1931" t="inlineStr">
        <is>
          <t>ROIC (LTM)</t>
        </is>
      </c>
      <c r="F1931" s="53">
        <f>_xll.BDP("MRVL UW Equity","RETURN_ON_INV_CAPITAL")</f>
        <v/>
      </c>
    </row>
    <row r="1932">
      <c r="A1932" t="inlineStr">
        <is>
          <t>MRVL</t>
        </is>
      </c>
      <c r="B1932" t="inlineStr">
        <is>
          <t>MRVL UW Equity</t>
        </is>
      </c>
      <c r="C1932" t="inlineStr">
        <is>
          <t>TRAIL_12M_OPER_INC</t>
        </is>
      </c>
      <c r="E1932" t="inlineStr">
        <is>
          <t>LTM operating income</t>
        </is>
      </c>
      <c r="F1932" s="53">
        <f>_xll.BDP("MRVL UW Equity","TRAIL_12M_OPER_INC")</f>
        <v/>
      </c>
    </row>
    <row r="1933">
      <c r="A1933" t="inlineStr">
        <is>
          <t>MRVL</t>
        </is>
      </c>
      <c r="B1933" t="inlineStr">
        <is>
          <t>MRVL UW Equity</t>
        </is>
      </c>
      <c r="C1933" t="inlineStr">
        <is>
          <t>TRAIL_12M_EBITDA</t>
        </is>
      </c>
      <c r="E1933" t="inlineStr">
        <is>
          <t>LTM EBITDA</t>
        </is>
      </c>
      <c r="F1933" s="53">
        <f>_xll.BDP("MRVL UW Equity","TRAIL_12M_EBITDA")</f>
        <v/>
      </c>
    </row>
    <row r="1934">
      <c r="A1934" t="inlineStr">
        <is>
          <t>MRVL</t>
        </is>
      </c>
      <c r="B1934" t="inlineStr">
        <is>
          <t>MRVL UW Equity</t>
        </is>
      </c>
      <c r="C1934" t="inlineStr">
        <is>
          <t>SHORT_AND_LONG_TERM_DEBT</t>
        </is>
      </c>
      <c r="E1934" t="inlineStr">
        <is>
          <t>Total debt</t>
        </is>
      </c>
      <c r="F1934" s="53">
        <f>_xll.BDP("MRVL UW Equity","SHORT_AND_LONG_TERM_DEBT")</f>
        <v/>
      </c>
    </row>
    <row r="1935">
      <c r="A1935" t="inlineStr">
        <is>
          <t>MRVL</t>
        </is>
      </c>
      <c r="B1935" t="inlineStr">
        <is>
          <t>MRVL UW Equity</t>
        </is>
      </c>
      <c r="C1935" t="inlineStr">
        <is>
          <t>TOTAL_EQUITY</t>
        </is>
      </c>
      <c r="E1935" t="inlineStr">
        <is>
          <t>Total equity</t>
        </is>
      </c>
      <c r="F1935" s="53">
        <f>_xll.BDP("MRVL UW Equity","TOTAL_EQUITY")</f>
        <v/>
      </c>
    </row>
    <row r="1936">
      <c r="A1936" t="inlineStr">
        <is>
          <t>MRVL</t>
        </is>
      </c>
      <c r="B1936" t="inlineStr">
        <is>
          <t>MRVL UW Equity</t>
        </is>
      </c>
      <c r="C1936" t="inlineStr">
        <is>
          <t>BS_CASH_NEAR_CASH_ITEM</t>
        </is>
      </c>
      <c r="E1936" t="inlineStr">
        <is>
          <t>Cash &amp; equivalents</t>
        </is>
      </c>
      <c r="F1936" s="53">
        <f>_xll.BDP("MRVL UW Equity","BS_CASH_NEAR_CASH_ITEM")</f>
        <v/>
      </c>
    </row>
    <row r="1937">
      <c r="A1937" t="inlineStr">
        <is>
          <t>MRVL</t>
        </is>
      </c>
      <c r="B1937" t="inlineStr">
        <is>
          <t>MRVL UW Equity</t>
        </is>
      </c>
      <c r="C1937" t="inlineStr">
        <is>
          <t>BEST_EPS</t>
        </is>
      </c>
      <c r="D1937" t="inlineStr">
        <is>
          <t>24Y</t>
        </is>
      </c>
      <c r="E1937" t="inlineStr">
        <is>
          <t>EPS estimate FY2024</t>
        </is>
      </c>
      <c r="F1937" s="53">
        <f>_xll.BDP("MRVL UW Equity","BEST_EPS","BEST_FPERIOD_OVERRIDE","24Y")</f>
        <v/>
      </c>
    </row>
    <row r="1938">
      <c r="A1938" t="inlineStr">
        <is>
          <t>MRVL</t>
        </is>
      </c>
      <c r="B1938" t="inlineStr">
        <is>
          <t>MRVL UW Equity</t>
        </is>
      </c>
      <c r="C1938" t="inlineStr">
        <is>
          <t>BEST_SALES</t>
        </is>
      </c>
      <c r="D1938" t="inlineStr">
        <is>
          <t>24Y</t>
        </is>
      </c>
      <c r="E1938" t="inlineStr">
        <is>
          <t>Revenue estimate FY2024</t>
        </is>
      </c>
      <c r="F1938" s="53">
        <f>_xll.BDP("MRVL UW Equity","BEST_SALES","BEST_FPERIOD_OVERRIDE","24Y")</f>
        <v/>
      </c>
    </row>
    <row r="1939">
      <c r="A1939" t="inlineStr">
        <is>
          <t>MRVL</t>
        </is>
      </c>
      <c r="B1939" t="inlineStr">
        <is>
          <t>MRVL UW Equity</t>
        </is>
      </c>
      <c r="C1939" t="inlineStr">
        <is>
          <t>BEST_EBIT</t>
        </is>
      </c>
      <c r="D1939" t="inlineStr">
        <is>
          <t>24Y</t>
        </is>
      </c>
      <c r="E1939" t="inlineStr">
        <is>
          <t>EBIT estimate FY2024</t>
        </is>
      </c>
      <c r="F1939" s="53">
        <f>_xll.BDP("MRVL UW Equity","BEST_EBIT","BEST_FPERIOD_OVERRIDE","24Y")</f>
        <v/>
      </c>
    </row>
    <row r="1940">
      <c r="A1940" t="inlineStr">
        <is>
          <t>MRVL</t>
        </is>
      </c>
      <c r="B1940" t="inlineStr">
        <is>
          <t>MRVL UW Equity</t>
        </is>
      </c>
      <c r="C1940" t="inlineStr">
        <is>
          <t>BEST_EPS</t>
        </is>
      </c>
      <c r="D1940" t="inlineStr">
        <is>
          <t>25Y</t>
        </is>
      </c>
      <c r="E1940" t="inlineStr">
        <is>
          <t>EPS estimate FY2025</t>
        </is>
      </c>
      <c r="F1940" s="53">
        <f>_xll.BDP("MRVL UW Equity","BEST_EPS","BEST_FPERIOD_OVERRIDE","25Y")</f>
        <v/>
      </c>
    </row>
    <row r="1941">
      <c r="A1941" t="inlineStr">
        <is>
          <t>MRVL</t>
        </is>
      </c>
      <c r="B1941" t="inlineStr">
        <is>
          <t>MRVL UW Equity</t>
        </is>
      </c>
      <c r="C1941" t="inlineStr">
        <is>
          <t>BEST_SALES</t>
        </is>
      </c>
      <c r="D1941" t="inlineStr">
        <is>
          <t>25Y</t>
        </is>
      </c>
      <c r="E1941" t="inlineStr">
        <is>
          <t>Revenue estimate FY2025</t>
        </is>
      </c>
      <c r="F1941" s="53">
        <f>_xll.BDP("MRVL UW Equity","BEST_SALES","BEST_FPERIOD_OVERRIDE","25Y")</f>
        <v/>
      </c>
    </row>
    <row r="1942">
      <c r="A1942" t="inlineStr">
        <is>
          <t>MRVL</t>
        </is>
      </c>
      <c r="B1942" t="inlineStr">
        <is>
          <t>MRVL UW Equity</t>
        </is>
      </c>
      <c r="C1942" t="inlineStr">
        <is>
          <t>BEST_EBIT</t>
        </is>
      </c>
      <c r="D1942" t="inlineStr">
        <is>
          <t>25Y</t>
        </is>
      </c>
      <c r="E1942" t="inlineStr">
        <is>
          <t>EBIT estimate FY2025</t>
        </is>
      </c>
      <c r="F1942" s="53">
        <f>_xll.BDP("MRVL UW Equity","BEST_EBIT","BEST_FPERIOD_OVERRIDE","25Y")</f>
        <v/>
      </c>
    </row>
    <row r="1943">
      <c r="A1943" t="inlineStr">
        <is>
          <t>MRVL</t>
        </is>
      </c>
      <c r="B1943" t="inlineStr">
        <is>
          <t>MRVL UW Equity</t>
        </is>
      </c>
      <c r="C1943" t="inlineStr">
        <is>
          <t>BEST_EPS</t>
        </is>
      </c>
      <c r="D1943" t="inlineStr">
        <is>
          <t>26Y</t>
        </is>
      </c>
      <c r="E1943" t="inlineStr">
        <is>
          <t>EPS estimate FY2026</t>
        </is>
      </c>
      <c r="F1943" s="53">
        <f>_xll.BDP("MRVL UW Equity","BEST_EPS","BEST_FPERIOD_OVERRIDE","26Y")</f>
        <v/>
      </c>
    </row>
    <row r="1944">
      <c r="A1944" t="inlineStr">
        <is>
          <t>MRVL</t>
        </is>
      </c>
      <c r="B1944" t="inlineStr">
        <is>
          <t>MRVL UW Equity</t>
        </is>
      </c>
      <c r="C1944" t="inlineStr">
        <is>
          <t>BEST_SALES</t>
        </is>
      </c>
      <c r="D1944" t="inlineStr">
        <is>
          <t>26Y</t>
        </is>
      </c>
      <c r="E1944" t="inlineStr">
        <is>
          <t>Revenue estimate FY2026</t>
        </is>
      </c>
      <c r="F1944" s="53">
        <f>_xll.BDP("MRVL UW Equity","BEST_SALES","BEST_FPERIOD_OVERRIDE","26Y")</f>
        <v/>
      </c>
    </row>
    <row r="1945">
      <c r="A1945" t="inlineStr">
        <is>
          <t>MRVL</t>
        </is>
      </c>
      <c r="B1945" t="inlineStr">
        <is>
          <t>MRVL UW Equity</t>
        </is>
      </c>
      <c r="C1945" t="inlineStr">
        <is>
          <t>BEST_EBIT</t>
        </is>
      </c>
      <c r="D1945" t="inlineStr">
        <is>
          <t>26Y</t>
        </is>
      </c>
      <c r="E1945" t="inlineStr">
        <is>
          <t>EBIT estimate FY2026</t>
        </is>
      </c>
      <c r="F1945" s="53">
        <f>_xll.BDP("MRVL UW Equity","BEST_EBIT","BEST_FPERIOD_OVERRIDE","26Y")</f>
        <v/>
      </c>
    </row>
    <row r="1946">
      <c r="A1946" t="inlineStr">
        <is>
          <t>MRVL</t>
        </is>
      </c>
      <c r="B1946" t="inlineStr">
        <is>
          <t>MRVL UW Equity</t>
        </is>
      </c>
      <c r="C1946" t="inlineStr">
        <is>
          <t>BEST_EPS</t>
        </is>
      </c>
      <c r="D1946" t="inlineStr">
        <is>
          <t>27Y</t>
        </is>
      </c>
      <c r="E1946" t="inlineStr">
        <is>
          <t>EPS estimate FY2027</t>
        </is>
      </c>
      <c r="F1946" s="53">
        <f>_xll.BDP("MRVL UW Equity","BEST_EPS","BEST_FPERIOD_OVERRIDE","27Y")</f>
        <v/>
      </c>
    </row>
    <row r="1947">
      <c r="A1947" t="inlineStr">
        <is>
          <t>MRVL</t>
        </is>
      </c>
      <c r="B1947" t="inlineStr">
        <is>
          <t>MRVL UW Equity</t>
        </is>
      </c>
      <c r="C1947" t="inlineStr">
        <is>
          <t>BEST_SALES</t>
        </is>
      </c>
      <c r="D1947" t="inlineStr">
        <is>
          <t>27Y</t>
        </is>
      </c>
      <c r="E1947" t="inlineStr">
        <is>
          <t>Revenue estimate FY2027</t>
        </is>
      </c>
      <c r="F1947" s="53">
        <f>_xll.BDP("MRVL UW Equity","BEST_SALES","BEST_FPERIOD_OVERRIDE","27Y")</f>
        <v/>
      </c>
    </row>
    <row r="1948">
      <c r="A1948" t="inlineStr">
        <is>
          <t>MRVL</t>
        </is>
      </c>
      <c r="B1948" t="inlineStr">
        <is>
          <t>MRVL UW Equity</t>
        </is>
      </c>
      <c r="C1948" t="inlineStr">
        <is>
          <t>BEST_EBIT</t>
        </is>
      </c>
      <c r="D1948" t="inlineStr">
        <is>
          <t>27Y</t>
        </is>
      </c>
      <c r="E1948" t="inlineStr">
        <is>
          <t>EBIT estimate FY2027</t>
        </is>
      </c>
      <c r="F1948" s="53">
        <f>_xll.BDP("MRVL UW Equity","BEST_EBIT","BEST_FPERIOD_OVERRIDE","27Y")</f>
        <v/>
      </c>
    </row>
    <row r="1949">
      <c r="A1949" t="inlineStr">
        <is>
          <t>MRVL</t>
        </is>
      </c>
      <c r="B1949" t="inlineStr">
        <is>
          <t>MRVL UW Equity</t>
        </is>
      </c>
      <c r="C1949" t="inlineStr">
        <is>
          <t>BEST_EPS</t>
        </is>
      </c>
      <c r="D1949" t="inlineStr">
        <is>
          <t>28Y</t>
        </is>
      </c>
      <c r="E1949" t="inlineStr">
        <is>
          <t>EPS estimate FY2028</t>
        </is>
      </c>
      <c r="F1949" s="53">
        <f>_xll.BDP("MRVL UW Equity","BEST_EPS","BEST_FPERIOD_OVERRIDE","28Y")</f>
        <v/>
      </c>
    </row>
    <row r="1950">
      <c r="A1950" t="inlineStr">
        <is>
          <t>MRVL</t>
        </is>
      </c>
      <c r="B1950" t="inlineStr">
        <is>
          <t>MRVL UW Equity</t>
        </is>
      </c>
      <c r="C1950" t="inlineStr">
        <is>
          <t>BEST_SALES</t>
        </is>
      </c>
      <c r="D1950" t="inlineStr">
        <is>
          <t>28Y</t>
        </is>
      </c>
      <c r="E1950" t="inlineStr">
        <is>
          <t>Revenue estimate FY2028</t>
        </is>
      </c>
      <c r="F1950" s="53">
        <f>_xll.BDP("MRVL UW Equity","BEST_SALES","BEST_FPERIOD_OVERRIDE","28Y")</f>
        <v/>
      </c>
    </row>
    <row r="1951">
      <c r="A1951" t="inlineStr">
        <is>
          <t>MRVL</t>
        </is>
      </c>
      <c r="B1951" t="inlineStr">
        <is>
          <t>MRVL UW Equity</t>
        </is>
      </c>
      <c r="C1951" t="inlineStr">
        <is>
          <t>BEST_EBIT</t>
        </is>
      </c>
      <c r="D1951" t="inlineStr">
        <is>
          <t>28Y</t>
        </is>
      </c>
      <c r="E1951" t="inlineStr">
        <is>
          <t>EBIT estimate FY2028</t>
        </is>
      </c>
      <c r="F1951" s="53">
        <f>_xll.BDP("MRVL UW Equity","BEST_EBIT","BEST_FPERIOD_OVERRIDE","28Y")</f>
        <v/>
      </c>
    </row>
    <row r="1952">
      <c r="A1952" t="inlineStr">
        <is>
          <t>ANET</t>
        </is>
      </c>
      <c r="B1952" t="inlineStr">
        <is>
          <t>ANET US Equity</t>
        </is>
      </c>
      <c r="C1952" t="inlineStr">
        <is>
          <t>PX_LAST</t>
        </is>
      </c>
      <c r="E1952" t="inlineStr">
        <is>
          <t>Last price</t>
        </is>
      </c>
      <c r="F1952" s="53">
        <f>_xll.BDP("ANET US Equity","PX_LAST")</f>
        <v/>
      </c>
    </row>
    <row r="1953">
      <c r="A1953" t="inlineStr">
        <is>
          <t>ANET</t>
        </is>
      </c>
      <c r="B1953" t="inlineStr">
        <is>
          <t>ANET US Equity</t>
        </is>
      </c>
      <c r="C1953" t="inlineStr">
        <is>
          <t>CUR_MKT_CAP</t>
        </is>
      </c>
      <c r="E1953" t="inlineStr">
        <is>
          <t>Market cap (raw)</t>
        </is>
      </c>
      <c r="F1953" s="53">
        <f>_xll.BDP("ANET US Equity","CUR_MKT_CAP")</f>
        <v/>
      </c>
    </row>
    <row r="1954">
      <c r="A1954" t="inlineStr">
        <is>
          <t>ANET</t>
        </is>
      </c>
      <c r="B1954" t="inlineStr">
        <is>
          <t>ANET US Equity</t>
        </is>
      </c>
      <c r="C1954" t="inlineStr">
        <is>
          <t>CHG_PCT_YTD</t>
        </is>
      </c>
      <c r="E1954" t="inlineStr">
        <is>
          <t>YTD price change %</t>
        </is>
      </c>
      <c r="F1954" s="53">
        <f>_xll.BDP("ANET US Equity","CHG_PCT_YTD")</f>
        <v/>
      </c>
    </row>
    <row r="1955">
      <c r="A1955" t="inlineStr">
        <is>
          <t>ANET</t>
        </is>
      </c>
      <c r="B1955" t="inlineStr">
        <is>
          <t>ANET US Equity</t>
        </is>
      </c>
      <c r="C1955" t="inlineStr">
        <is>
          <t>NET_DEBT_TO_EBITDA</t>
        </is>
      </c>
      <c r="E1955" t="inlineStr">
        <is>
          <t>Net debt / EBITDA</t>
        </is>
      </c>
      <c r="F1955" s="53">
        <f>_xll.BDP("ANET US Equity","NET_DEBT_TO_EBITDA")</f>
        <v/>
      </c>
    </row>
    <row r="1956">
      <c r="A1956" t="inlineStr">
        <is>
          <t>ANET</t>
        </is>
      </c>
      <c r="B1956" t="inlineStr">
        <is>
          <t>ANET US Equity</t>
        </is>
      </c>
      <c r="C1956" t="inlineStr">
        <is>
          <t>RETURN_ON_INV_CAPITAL</t>
        </is>
      </c>
      <c r="E1956" t="inlineStr">
        <is>
          <t>ROIC (LTM)</t>
        </is>
      </c>
      <c r="F1956" s="53">
        <f>_xll.BDP("ANET US Equity","RETURN_ON_INV_CAPITAL")</f>
        <v/>
      </c>
    </row>
    <row r="1957">
      <c r="A1957" t="inlineStr">
        <is>
          <t>ANET</t>
        </is>
      </c>
      <c r="B1957" t="inlineStr">
        <is>
          <t>ANET US Equity</t>
        </is>
      </c>
      <c r="C1957" t="inlineStr">
        <is>
          <t>TRAIL_12M_OPER_INC</t>
        </is>
      </c>
      <c r="E1957" t="inlineStr">
        <is>
          <t>LTM operating income</t>
        </is>
      </c>
      <c r="F1957" s="53">
        <f>_xll.BDP("ANET US Equity","TRAIL_12M_OPER_INC")</f>
        <v/>
      </c>
    </row>
    <row r="1958">
      <c r="A1958" t="inlineStr">
        <is>
          <t>ANET</t>
        </is>
      </c>
      <c r="B1958" t="inlineStr">
        <is>
          <t>ANET US Equity</t>
        </is>
      </c>
      <c r="C1958" t="inlineStr">
        <is>
          <t>TRAIL_12M_EBITDA</t>
        </is>
      </c>
      <c r="E1958" t="inlineStr">
        <is>
          <t>LTM EBITDA</t>
        </is>
      </c>
      <c r="F1958" s="53">
        <f>_xll.BDP("ANET US Equity","TRAIL_12M_EBITDA")</f>
        <v/>
      </c>
    </row>
    <row r="1959">
      <c r="A1959" t="inlineStr">
        <is>
          <t>ANET</t>
        </is>
      </c>
      <c r="B1959" t="inlineStr">
        <is>
          <t>ANET US Equity</t>
        </is>
      </c>
      <c r="C1959" t="inlineStr">
        <is>
          <t>SHORT_AND_LONG_TERM_DEBT</t>
        </is>
      </c>
      <c r="E1959" t="inlineStr">
        <is>
          <t>Total debt</t>
        </is>
      </c>
      <c r="F1959" s="53">
        <f>_xll.BDP("ANET US Equity","SHORT_AND_LONG_TERM_DEBT")</f>
        <v/>
      </c>
    </row>
    <row r="1960">
      <c r="A1960" t="inlineStr">
        <is>
          <t>ANET</t>
        </is>
      </c>
      <c r="B1960" t="inlineStr">
        <is>
          <t>ANET US Equity</t>
        </is>
      </c>
      <c r="C1960" t="inlineStr">
        <is>
          <t>TOTAL_EQUITY</t>
        </is>
      </c>
      <c r="E1960" t="inlineStr">
        <is>
          <t>Total equity</t>
        </is>
      </c>
      <c r="F1960" s="53">
        <f>_xll.BDP("ANET US Equity","TOTAL_EQUITY")</f>
        <v/>
      </c>
    </row>
    <row r="1961">
      <c r="A1961" t="inlineStr">
        <is>
          <t>ANET</t>
        </is>
      </c>
      <c r="B1961" t="inlineStr">
        <is>
          <t>ANET US Equity</t>
        </is>
      </c>
      <c r="C1961" t="inlineStr">
        <is>
          <t>BS_CASH_NEAR_CASH_ITEM</t>
        </is>
      </c>
      <c r="E1961" t="inlineStr">
        <is>
          <t>Cash &amp; equivalents</t>
        </is>
      </c>
      <c r="F1961" s="53">
        <f>_xll.BDP("ANET US Equity","BS_CASH_NEAR_CASH_ITEM")</f>
        <v/>
      </c>
    </row>
    <row r="1962">
      <c r="A1962" t="inlineStr">
        <is>
          <t>ANET</t>
        </is>
      </c>
      <c r="B1962" t="inlineStr">
        <is>
          <t>ANET US Equity</t>
        </is>
      </c>
      <c r="C1962" t="inlineStr">
        <is>
          <t>BEST_EPS</t>
        </is>
      </c>
      <c r="D1962" t="inlineStr">
        <is>
          <t>24Y</t>
        </is>
      </c>
      <c r="E1962" t="inlineStr">
        <is>
          <t>EPS estimate FY2024</t>
        </is>
      </c>
      <c r="F1962" s="53">
        <f>_xll.BDP("ANET US Equity","BEST_EPS","BEST_FPERIOD_OVERRIDE","24Y")</f>
        <v/>
      </c>
    </row>
    <row r="1963">
      <c r="A1963" t="inlineStr">
        <is>
          <t>ANET</t>
        </is>
      </c>
      <c r="B1963" t="inlineStr">
        <is>
          <t>ANET US Equity</t>
        </is>
      </c>
      <c r="C1963" t="inlineStr">
        <is>
          <t>BEST_SALES</t>
        </is>
      </c>
      <c r="D1963" t="inlineStr">
        <is>
          <t>24Y</t>
        </is>
      </c>
      <c r="E1963" t="inlineStr">
        <is>
          <t>Revenue estimate FY2024</t>
        </is>
      </c>
      <c r="F1963" s="53">
        <f>_xll.BDP("ANET US Equity","BEST_SALES","BEST_FPERIOD_OVERRIDE","24Y")</f>
        <v/>
      </c>
    </row>
    <row r="1964">
      <c r="A1964" t="inlineStr">
        <is>
          <t>ANET</t>
        </is>
      </c>
      <c r="B1964" t="inlineStr">
        <is>
          <t>ANET US Equity</t>
        </is>
      </c>
      <c r="C1964" t="inlineStr">
        <is>
          <t>BEST_EBIT</t>
        </is>
      </c>
      <c r="D1964" t="inlineStr">
        <is>
          <t>24Y</t>
        </is>
      </c>
      <c r="E1964" t="inlineStr">
        <is>
          <t>EBIT estimate FY2024</t>
        </is>
      </c>
      <c r="F1964" s="53">
        <f>_xll.BDP("ANET US Equity","BEST_EBIT","BEST_FPERIOD_OVERRIDE","24Y")</f>
        <v/>
      </c>
    </row>
    <row r="1965">
      <c r="A1965" t="inlineStr">
        <is>
          <t>ANET</t>
        </is>
      </c>
      <c r="B1965" t="inlineStr">
        <is>
          <t>ANET US Equity</t>
        </is>
      </c>
      <c r="C1965" t="inlineStr">
        <is>
          <t>BEST_EPS</t>
        </is>
      </c>
      <c r="D1965" t="inlineStr">
        <is>
          <t>25Y</t>
        </is>
      </c>
      <c r="E1965" t="inlineStr">
        <is>
          <t>EPS estimate FY2025</t>
        </is>
      </c>
      <c r="F1965" s="53">
        <f>_xll.BDP("ANET US Equity","BEST_EPS","BEST_FPERIOD_OVERRIDE","25Y")</f>
        <v/>
      </c>
    </row>
    <row r="1966">
      <c r="A1966" t="inlineStr">
        <is>
          <t>ANET</t>
        </is>
      </c>
      <c r="B1966" t="inlineStr">
        <is>
          <t>ANET US Equity</t>
        </is>
      </c>
      <c r="C1966" t="inlineStr">
        <is>
          <t>BEST_SALES</t>
        </is>
      </c>
      <c r="D1966" t="inlineStr">
        <is>
          <t>25Y</t>
        </is>
      </c>
      <c r="E1966" t="inlineStr">
        <is>
          <t>Revenue estimate FY2025</t>
        </is>
      </c>
      <c r="F1966" s="53">
        <f>_xll.BDP("ANET US Equity","BEST_SALES","BEST_FPERIOD_OVERRIDE","25Y")</f>
        <v/>
      </c>
    </row>
    <row r="1967">
      <c r="A1967" t="inlineStr">
        <is>
          <t>ANET</t>
        </is>
      </c>
      <c r="B1967" t="inlineStr">
        <is>
          <t>ANET US Equity</t>
        </is>
      </c>
      <c r="C1967" t="inlineStr">
        <is>
          <t>BEST_EBIT</t>
        </is>
      </c>
      <c r="D1967" t="inlineStr">
        <is>
          <t>25Y</t>
        </is>
      </c>
      <c r="E1967" t="inlineStr">
        <is>
          <t>EBIT estimate FY2025</t>
        </is>
      </c>
      <c r="F1967" s="53">
        <f>_xll.BDP("ANET US Equity","BEST_EBIT","BEST_FPERIOD_OVERRIDE","25Y")</f>
        <v/>
      </c>
    </row>
    <row r="1968">
      <c r="A1968" t="inlineStr">
        <is>
          <t>ANET</t>
        </is>
      </c>
      <c r="B1968" t="inlineStr">
        <is>
          <t>ANET US Equity</t>
        </is>
      </c>
      <c r="C1968" t="inlineStr">
        <is>
          <t>BEST_EPS</t>
        </is>
      </c>
      <c r="D1968" t="inlineStr">
        <is>
          <t>26Y</t>
        </is>
      </c>
      <c r="E1968" t="inlineStr">
        <is>
          <t>EPS estimate FY2026</t>
        </is>
      </c>
      <c r="F1968" s="53">
        <f>_xll.BDP("ANET US Equity","BEST_EPS","BEST_FPERIOD_OVERRIDE","26Y")</f>
        <v/>
      </c>
    </row>
    <row r="1969">
      <c r="A1969" t="inlineStr">
        <is>
          <t>ANET</t>
        </is>
      </c>
      <c r="B1969" t="inlineStr">
        <is>
          <t>ANET US Equity</t>
        </is>
      </c>
      <c r="C1969" t="inlineStr">
        <is>
          <t>BEST_SALES</t>
        </is>
      </c>
      <c r="D1969" t="inlineStr">
        <is>
          <t>26Y</t>
        </is>
      </c>
      <c r="E1969" t="inlineStr">
        <is>
          <t>Revenue estimate FY2026</t>
        </is>
      </c>
      <c r="F1969" s="53">
        <f>_xll.BDP("ANET US Equity","BEST_SALES","BEST_FPERIOD_OVERRIDE","26Y")</f>
        <v/>
      </c>
    </row>
    <row r="1970">
      <c r="A1970" t="inlineStr">
        <is>
          <t>ANET</t>
        </is>
      </c>
      <c r="B1970" t="inlineStr">
        <is>
          <t>ANET US Equity</t>
        </is>
      </c>
      <c r="C1970" t="inlineStr">
        <is>
          <t>BEST_EBIT</t>
        </is>
      </c>
      <c r="D1970" t="inlineStr">
        <is>
          <t>26Y</t>
        </is>
      </c>
      <c r="E1970" t="inlineStr">
        <is>
          <t>EBIT estimate FY2026</t>
        </is>
      </c>
      <c r="F1970" s="53">
        <f>_xll.BDP("ANET US Equity","BEST_EBIT","BEST_FPERIOD_OVERRIDE","26Y")</f>
        <v/>
      </c>
    </row>
    <row r="1971">
      <c r="A1971" t="inlineStr">
        <is>
          <t>ANET</t>
        </is>
      </c>
      <c r="B1971" t="inlineStr">
        <is>
          <t>ANET US Equity</t>
        </is>
      </c>
      <c r="C1971" t="inlineStr">
        <is>
          <t>BEST_EPS</t>
        </is>
      </c>
      <c r="D1971" t="inlineStr">
        <is>
          <t>27Y</t>
        </is>
      </c>
      <c r="E1971" t="inlineStr">
        <is>
          <t>EPS estimate FY2027</t>
        </is>
      </c>
      <c r="F1971" s="53">
        <f>_xll.BDP("ANET US Equity","BEST_EPS","BEST_FPERIOD_OVERRIDE","27Y")</f>
        <v/>
      </c>
    </row>
    <row r="1972">
      <c r="A1972" t="inlineStr">
        <is>
          <t>ANET</t>
        </is>
      </c>
      <c r="B1972" t="inlineStr">
        <is>
          <t>ANET US Equity</t>
        </is>
      </c>
      <c r="C1972" t="inlineStr">
        <is>
          <t>BEST_SALES</t>
        </is>
      </c>
      <c r="D1972" t="inlineStr">
        <is>
          <t>27Y</t>
        </is>
      </c>
      <c r="E1972" t="inlineStr">
        <is>
          <t>Revenue estimate FY2027</t>
        </is>
      </c>
      <c r="F1972" s="53">
        <f>_xll.BDP("ANET US Equity","BEST_SALES","BEST_FPERIOD_OVERRIDE","27Y")</f>
        <v/>
      </c>
    </row>
    <row r="1973">
      <c r="A1973" t="inlineStr">
        <is>
          <t>ANET</t>
        </is>
      </c>
      <c r="B1973" t="inlineStr">
        <is>
          <t>ANET US Equity</t>
        </is>
      </c>
      <c r="C1973" t="inlineStr">
        <is>
          <t>BEST_EBIT</t>
        </is>
      </c>
      <c r="D1973" t="inlineStr">
        <is>
          <t>27Y</t>
        </is>
      </c>
      <c r="E1973" t="inlineStr">
        <is>
          <t>EBIT estimate FY2027</t>
        </is>
      </c>
      <c r="F1973" s="53">
        <f>_xll.BDP("ANET US Equity","BEST_EBIT","BEST_FPERIOD_OVERRIDE","27Y")</f>
        <v/>
      </c>
    </row>
    <row r="1974">
      <c r="A1974" t="inlineStr">
        <is>
          <t>ANET</t>
        </is>
      </c>
      <c r="B1974" t="inlineStr">
        <is>
          <t>ANET US Equity</t>
        </is>
      </c>
      <c r="C1974" t="inlineStr">
        <is>
          <t>BEST_EPS</t>
        </is>
      </c>
      <c r="D1974" t="inlineStr">
        <is>
          <t>28Y</t>
        </is>
      </c>
      <c r="E1974" t="inlineStr">
        <is>
          <t>EPS estimate FY2028</t>
        </is>
      </c>
      <c r="F1974" s="53">
        <f>_xll.BDP("ANET US Equity","BEST_EPS","BEST_FPERIOD_OVERRIDE","28Y")</f>
        <v/>
      </c>
    </row>
    <row r="1975">
      <c r="A1975" t="inlineStr">
        <is>
          <t>ANET</t>
        </is>
      </c>
      <c r="B1975" t="inlineStr">
        <is>
          <t>ANET US Equity</t>
        </is>
      </c>
      <c r="C1975" t="inlineStr">
        <is>
          <t>BEST_SALES</t>
        </is>
      </c>
      <c r="D1975" t="inlineStr">
        <is>
          <t>28Y</t>
        </is>
      </c>
      <c r="E1975" t="inlineStr">
        <is>
          <t>Revenue estimate FY2028</t>
        </is>
      </c>
      <c r="F1975" s="53">
        <f>_xll.BDP("ANET US Equity","BEST_SALES","BEST_FPERIOD_OVERRIDE","28Y")</f>
        <v/>
      </c>
    </row>
    <row r="1976">
      <c r="A1976" t="inlineStr">
        <is>
          <t>ANET</t>
        </is>
      </c>
      <c r="B1976" t="inlineStr">
        <is>
          <t>ANET US Equity</t>
        </is>
      </c>
      <c r="C1976" t="inlineStr">
        <is>
          <t>BEST_EBIT</t>
        </is>
      </c>
      <c r="D1976" t="inlineStr">
        <is>
          <t>28Y</t>
        </is>
      </c>
      <c r="E1976" t="inlineStr">
        <is>
          <t>EBIT estimate FY2028</t>
        </is>
      </c>
      <c r="F1976" s="53">
        <f>_xll.BDP("ANET US Equity","BEST_EBIT","BEST_FPERIOD_OVERRIDE","28Y")</f>
        <v/>
      </c>
    </row>
    <row r="1977">
      <c r="A1977" t="inlineStr">
        <is>
          <t>COHR</t>
        </is>
      </c>
      <c r="B1977" t="inlineStr">
        <is>
          <t>COHR US Equity</t>
        </is>
      </c>
      <c r="C1977" t="inlineStr">
        <is>
          <t>PX_LAST</t>
        </is>
      </c>
      <c r="E1977" t="inlineStr">
        <is>
          <t>Last price</t>
        </is>
      </c>
      <c r="F1977" s="53">
        <f>_xll.BDP("COHR US Equity","PX_LAST")</f>
        <v/>
      </c>
    </row>
    <row r="1978">
      <c r="A1978" t="inlineStr">
        <is>
          <t>COHR</t>
        </is>
      </c>
      <c r="B1978" t="inlineStr">
        <is>
          <t>COHR US Equity</t>
        </is>
      </c>
      <c r="C1978" t="inlineStr">
        <is>
          <t>CUR_MKT_CAP</t>
        </is>
      </c>
      <c r="E1978" t="inlineStr">
        <is>
          <t>Market cap (raw)</t>
        </is>
      </c>
      <c r="F1978" s="53">
        <f>_xll.BDP("COHR US Equity","CUR_MKT_CAP")</f>
        <v/>
      </c>
    </row>
    <row r="1979">
      <c r="A1979" t="inlineStr">
        <is>
          <t>COHR</t>
        </is>
      </c>
      <c r="B1979" t="inlineStr">
        <is>
          <t>COHR US Equity</t>
        </is>
      </c>
      <c r="C1979" t="inlineStr">
        <is>
          <t>CHG_PCT_YTD</t>
        </is>
      </c>
      <c r="E1979" t="inlineStr">
        <is>
          <t>YTD price change %</t>
        </is>
      </c>
      <c r="F1979" s="53">
        <f>_xll.BDP("COHR US Equity","CHG_PCT_YTD")</f>
        <v/>
      </c>
    </row>
    <row r="1980">
      <c r="A1980" t="inlineStr">
        <is>
          <t>COHR</t>
        </is>
      </c>
      <c r="B1980" t="inlineStr">
        <is>
          <t>COHR US Equity</t>
        </is>
      </c>
      <c r="C1980" t="inlineStr">
        <is>
          <t>NET_DEBT_TO_EBITDA</t>
        </is>
      </c>
      <c r="E1980" t="inlineStr">
        <is>
          <t>Net debt / EBITDA</t>
        </is>
      </c>
      <c r="F1980" s="53">
        <f>_xll.BDP("COHR US Equity","NET_DEBT_TO_EBITDA")</f>
        <v/>
      </c>
    </row>
    <row r="1981">
      <c r="A1981" t="inlineStr">
        <is>
          <t>COHR</t>
        </is>
      </c>
      <c r="B1981" t="inlineStr">
        <is>
          <t>COHR US Equity</t>
        </is>
      </c>
      <c r="C1981" t="inlineStr">
        <is>
          <t>RETURN_ON_INV_CAPITAL</t>
        </is>
      </c>
      <c r="E1981" t="inlineStr">
        <is>
          <t>ROIC (LTM)</t>
        </is>
      </c>
      <c r="F1981" s="53">
        <f>_xll.BDP("COHR US Equity","RETURN_ON_INV_CAPITAL")</f>
        <v/>
      </c>
    </row>
    <row r="1982">
      <c r="A1982" t="inlineStr">
        <is>
          <t>COHR</t>
        </is>
      </c>
      <c r="B1982" t="inlineStr">
        <is>
          <t>COHR US Equity</t>
        </is>
      </c>
      <c r="C1982" t="inlineStr">
        <is>
          <t>TRAIL_12M_OPER_INC</t>
        </is>
      </c>
      <c r="E1982" t="inlineStr">
        <is>
          <t>LTM operating income</t>
        </is>
      </c>
      <c r="F1982" s="53">
        <f>_xll.BDP("COHR US Equity","TRAIL_12M_OPER_INC")</f>
        <v/>
      </c>
    </row>
    <row r="1983">
      <c r="A1983" t="inlineStr">
        <is>
          <t>COHR</t>
        </is>
      </c>
      <c r="B1983" t="inlineStr">
        <is>
          <t>COHR US Equity</t>
        </is>
      </c>
      <c r="C1983" t="inlineStr">
        <is>
          <t>TRAIL_12M_EBITDA</t>
        </is>
      </c>
      <c r="E1983" t="inlineStr">
        <is>
          <t>LTM EBITDA</t>
        </is>
      </c>
      <c r="F1983" s="53">
        <f>_xll.BDP("COHR US Equity","TRAIL_12M_EBITDA")</f>
        <v/>
      </c>
    </row>
    <row r="1984">
      <c r="A1984" t="inlineStr">
        <is>
          <t>COHR</t>
        </is>
      </c>
      <c r="B1984" t="inlineStr">
        <is>
          <t>COHR US Equity</t>
        </is>
      </c>
      <c r="C1984" t="inlineStr">
        <is>
          <t>SHORT_AND_LONG_TERM_DEBT</t>
        </is>
      </c>
      <c r="E1984" t="inlineStr">
        <is>
          <t>Total debt</t>
        </is>
      </c>
      <c r="F1984" s="53">
        <f>_xll.BDP("COHR US Equity","SHORT_AND_LONG_TERM_DEBT")</f>
        <v/>
      </c>
    </row>
    <row r="1985">
      <c r="A1985" t="inlineStr">
        <is>
          <t>COHR</t>
        </is>
      </c>
      <c r="B1985" t="inlineStr">
        <is>
          <t>COHR US Equity</t>
        </is>
      </c>
      <c r="C1985" t="inlineStr">
        <is>
          <t>TOTAL_EQUITY</t>
        </is>
      </c>
      <c r="E1985" t="inlineStr">
        <is>
          <t>Total equity</t>
        </is>
      </c>
      <c r="F1985" s="53">
        <f>_xll.BDP("COHR US Equity","TOTAL_EQUITY")</f>
        <v/>
      </c>
    </row>
    <row r="1986">
      <c r="A1986" t="inlineStr">
        <is>
          <t>COHR</t>
        </is>
      </c>
      <c r="B1986" t="inlineStr">
        <is>
          <t>COHR US Equity</t>
        </is>
      </c>
      <c r="C1986" t="inlineStr">
        <is>
          <t>BS_CASH_NEAR_CASH_ITEM</t>
        </is>
      </c>
      <c r="E1986" t="inlineStr">
        <is>
          <t>Cash &amp; equivalents</t>
        </is>
      </c>
      <c r="F1986" s="53">
        <f>_xll.BDP("COHR US Equity","BS_CASH_NEAR_CASH_ITEM")</f>
        <v/>
      </c>
    </row>
    <row r="1987">
      <c r="A1987" t="inlineStr">
        <is>
          <t>COHR</t>
        </is>
      </c>
      <c r="B1987" t="inlineStr">
        <is>
          <t>COHR US Equity</t>
        </is>
      </c>
      <c r="C1987" t="inlineStr">
        <is>
          <t>BEST_EPS</t>
        </is>
      </c>
      <c r="D1987" t="inlineStr">
        <is>
          <t>24Y</t>
        </is>
      </c>
      <c r="E1987" t="inlineStr">
        <is>
          <t>EPS estimate FY2024</t>
        </is>
      </c>
      <c r="F1987" s="53">
        <f>_xll.BDP("COHR US Equity","BEST_EPS","BEST_FPERIOD_OVERRIDE","24Y")</f>
        <v/>
      </c>
    </row>
    <row r="1988">
      <c r="A1988" t="inlineStr">
        <is>
          <t>COHR</t>
        </is>
      </c>
      <c r="B1988" t="inlineStr">
        <is>
          <t>COHR US Equity</t>
        </is>
      </c>
      <c r="C1988" t="inlineStr">
        <is>
          <t>BEST_SALES</t>
        </is>
      </c>
      <c r="D1988" t="inlineStr">
        <is>
          <t>24Y</t>
        </is>
      </c>
      <c r="E1988" t="inlineStr">
        <is>
          <t>Revenue estimate FY2024</t>
        </is>
      </c>
      <c r="F1988" s="53">
        <f>_xll.BDP("COHR US Equity","BEST_SALES","BEST_FPERIOD_OVERRIDE","24Y")</f>
        <v/>
      </c>
    </row>
    <row r="1989">
      <c r="A1989" t="inlineStr">
        <is>
          <t>COHR</t>
        </is>
      </c>
      <c r="B1989" t="inlineStr">
        <is>
          <t>COHR US Equity</t>
        </is>
      </c>
      <c r="C1989" t="inlineStr">
        <is>
          <t>BEST_EBIT</t>
        </is>
      </c>
      <c r="D1989" t="inlineStr">
        <is>
          <t>24Y</t>
        </is>
      </c>
      <c r="E1989" t="inlineStr">
        <is>
          <t>EBIT estimate FY2024</t>
        </is>
      </c>
      <c r="F1989" s="53">
        <f>_xll.BDP("COHR US Equity","BEST_EBIT","BEST_FPERIOD_OVERRIDE","24Y")</f>
        <v/>
      </c>
    </row>
    <row r="1990">
      <c r="A1990" t="inlineStr">
        <is>
          <t>COHR</t>
        </is>
      </c>
      <c r="B1990" t="inlineStr">
        <is>
          <t>COHR US Equity</t>
        </is>
      </c>
      <c r="C1990" t="inlineStr">
        <is>
          <t>BEST_EPS</t>
        </is>
      </c>
      <c r="D1990" t="inlineStr">
        <is>
          <t>25Y</t>
        </is>
      </c>
      <c r="E1990" t="inlineStr">
        <is>
          <t>EPS estimate FY2025</t>
        </is>
      </c>
      <c r="F1990" s="53">
        <f>_xll.BDP("COHR US Equity","BEST_EPS","BEST_FPERIOD_OVERRIDE","25Y")</f>
        <v/>
      </c>
    </row>
    <row r="1991">
      <c r="A1991" t="inlineStr">
        <is>
          <t>COHR</t>
        </is>
      </c>
      <c r="B1991" t="inlineStr">
        <is>
          <t>COHR US Equity</t>
        </is>
      </c>
      <c r="C1991" t="inlineStr">
        <is>
          <t>BEST_SALES</t>
        </is>
      </c>
      <c r="D1991" t="inlineStr">
        <is>
          <t>25Y</t>
        </is>
      </c>
      <c r="E1991" t="inlineStr">
        <is>
          <t>Revenue estimate FY2025</t>
        </is>
      </c>
      <c r="F1991" s="53">
        <f>_xll.BDP("COHR US Equity","BEST_SALES","BEST_FPERIOD_OVERRIDE","25Y")</f>
        <v/>
      </c>
    </row>
    <row r="1992">
      <c r="A1992" t="inlineStr">
        <is>
          <t>COHR</t>
        </is>
      </c>
      <c r="B1992" t="inlineStr">
        <is>
          <t>COHR US Equity</t>
        </is>
      </c>
      <c r="C1992" t="inlineStr">
        <is>
          <t>BEST_EBIT</t>
        </is>
      </c>
      <c r="D1992" t="inlineStr">
        <is>
          <t>25Y</t>
        </is>
      </c>
      <c r="E1992" t="inlineStr">
        <is>
          <t>EBIT estimate FY2025</t>
        </is>
      </c>
      <c r="F1992" s="53">
        <f>_xll.BDP("COHR US Equity","BEST_EBIT","BEST_FPERIOD_OVERRIDE","25Y")</f>
        <v/>
      </c>
    </row>
    <row r="1993">
      <c r="A1993" t="inlineStr">
        <is>
          <t>COHR</t>
        </is>
      </c>
      <c r="B1993" t="inlineStr">
        <is>
          <t>COHR US Equity</t>
        </is>
      </c>
      <c r="C1993" t="inlineStr">
        <is>
          <t>BEST_EPS</t>
        </is>
      </c>
      <c r="D1993" t="inlineStr">
        <is>
          <t>26Y</t>
        </is>
      </c>
      <c r="E1993" t="inlineStr">
        <is>
          <t>EPS estimate FY2026</t>
        </is>
      </c>
      <c r="F1993" s="53">
        <f>_xll.BDP("COHR US Equity","BEST_EPS","BEST_FPERIOD_OVERRIDE","26Y")</f>
        <v/>
      </c>
    </row>
    <row r="1994">
      <c r="A1994" t="inlineStr">
        <is>
          <t>COHR</t>
        </is>
      </c>
      <c r="B1994" t="inlineStr">
        <is>
          <t>COHR US Equity</t>
        </is>
      </c>
      <c r="C1994" t="inlineStr">
        <is>
          <t>BEST_SALES</t>
        </is>
      </c>
      <c r="D1994" t="inlineStr">
        <is>
          <t>26Y</t>
        </is>
      </c>
      <c r="E1994" t="inlineStr">
        <is>
          <t>Revenue estimate FY2026</t>
        </is>
      </c>
      <c r="F1994" s="53">
        <f>_xll.BDP("COHR US Equity","BEST_SALES","BEST_FPERIOD_OVERRIDE","26Y")</f>
        <v/>
      </c>
    </row>
    <row r="1995">
      <c r="A1995" t="inlineStr">
        <is>
          <t>COHR</t>
        </is>
      </c>
      <c r="B1995" t="inlineStr">
        <is>
          <t>COHR US Equity</t>
        </is>
      </c>
      <c r="C1995" t="inlineStr">
        <is>
          <t>BEST_EBIT</t>
        </is>
      </c>
      <c r="D1995" t="inlineStr">
        <is>
          <t>26Y</t>
        </is>
      </c>
      <c r="E1995" t="inlineStr">
        <is>
          <t>EBIT estimate FY2026</t>
        </is>
      </c>
      <c r="F1995" s="53">
        <f>_xll.BDP("COHR US Equity","BEST_EBIT","BEST_FPERIOD_OVERRIDE","26Y")</f>
        <v/>
      </c>
    </row>
    <row r="1996">
      <c r="A1996" t="inlineStr">
        <is>
          <t>COHR</t>
        </is>
      </c>
      <c r="B1996" t="inlineStr">
        <is>
          <t>COHR US Equity</t>
        </is>
      </c>
      <c r="C1996" t="inlineStr">
        <is>
          <t>BEST_EPS</t>
        </is>
      </c>
      <c r="D1996" t="inlineStr">
        <is>
          <t>27Y</t>
        </is>
      </c>
      <c r="E1996" t="inlineStr">
        <is>
          <t>EPS estimate FY2027</t>
        </is>
      </c>
      <c r="F1996" s="53">
        <f>_xll.BDP("COHR US Equity","BEST_EPS","BEST_FPERIOD_OVERRIDE","27Y")</f>
        <v/>
      </c>
    </row>
    <row r="1997">
      <c r="A1997" t="inlineStr">
        <is>
          <t>COHR</t>
        </is>
      </c>
      <c r="B1997" t="inlineStr">
        <is>
          <t>COHR US Equity</t>
        </is>
      </c>
      <c r="C1997" t="inlineStr">
        <is>
          <t>BEST_SALES</t>
        </is>
      </c>
      <c r="D1997" t="inlineStr">
        <is>
          <t>27Y</t>
        </is>
      </c>
      <c r="E1997" t="inlineStr">
        <is>
          <t>Revenue estimate FY2027</t>
        </is>
      </c>
      <c r="F1997" s="53">
        <f>_xll.BDP("COHR US Equity","BEST_SALES","BEST_FPERIOD_OVERRIDE","27Y")</f>
        <v/>
      </c>
    </row>
    <row r="1998">
      <c r="A1998" t="inlineStr">
        <is>
          <t>COHR</t>
        </is>
      </c>
      <c r="B1998" t="inlineStr">
        <is>
          <t>COHR US Equity</t>
        </is>
      </c>
      <c r="C1998" t="inlineStr">
        <is>
          <t>BEST_EBIT</t>
        </is>
      </c>
      <c r="D1998" t="inlineStr">
        <is>
          <t>27Y</t>
        </is>
      </c>
      <c r="E1998" t="inlineStr">
        <is>
          <t>EBIT estimate FY2027</t>
        </is>
      </c>
      <c r="F1998" s="53">
        <f>_xll.BDP("COHR US Equity","BEST_EBIT","BEST_FPERIOD_OVERRIDE","27Y")</f>
        <v/>
      </c>
    </row>
    <row r="1999">
      <c r="A1999" t="inlineStr">
        <is>
          <t>COHR</t>
        </is>
      </c>
      <c r="B1999" t="inlineStr">
        <is>
          <t>COHR US Equity</t>
        </is>
      </c>
      <c r="C1999" t="inlineStr">
        <is>
          <t>BEST_EPS</t>
        </is>
      </c>
      <c r="D1999" t="inlineStr">
        <is>
          <t>28Y</t>
        </is>
      </c>
      <c r="E1999" t="inlineStr">
        <is>
          <t>EPS estimate FY2028</t>
        </is>
      </c>
      <c r="F1999" s="53">
        <f>_xll.BDP("COHR US Equity","BEST_EPS","BEST_FPERIOD_OVERRIDE","28Y")</f>
        <v/>
      </c>
    </row>
    <row r="2000">
      <c r="A2000" t="inlineStr">
        <is>
          <t>COHR</t>
        </is>
      </c>
      <c r="B2000" t="inlineStr">
        <is>
          <t>COHR US Equity</t>
        </is>
      </c>
      <c r="C2000" t="inlineStr">
        <is>
          <t>BEST_SALES</t>
        </is>
      </c>
      <c r="D2000" t="inlineStr">
        <is>
          <t>28Y</t>
        </is>
      </c>
      <c r="E2000" t="inlineStr">
        <is>
          <t>Revenue estimate FY2028</t>
        </is>
      </c>
      <c r="F2000" s="53">
        <f>_xll.BDP("COHR US Equity","BEST_SALES","BEST_FPERIOD_OVERRIDE","28Y")</f>
        <v/>
      </c>
    </row>
    <row r="2001">
      <c r="A2001" t="inlineStr">
        <is>
          <t>COHR</t>
        </is>
      </c>
      <c r="B2001" t="inlineStr">
        <is>
          <t>COHR US Equity</t>
        </is>
      </c>
      <c r="C2001" t="inlineStr">
        <is>
          <t>BEST_EBIT</t>
        </is>
      </c>
      <c r="D2001" t="inlineStr">
        <is>
          <t>28Y</t>
        </is>
      </c>
      <c r="E2001" t="inlineStr">
        <is>
          <t>EBIT estimate FY2028</t>
        </is>
      </c>
      <c r="F2001" s="53">
        <f>_xll.BDP("COHR US Equity","BEST_EBIT","BEST_FPERIOD_OVERRIDE","28Y")</f>
        <v/>
      </c>
    </row>
    <row r="2002">
      <c r="A2002" t="inlineStr">
        <is>
          <t>CRDO</t>
        </is>
      </c>
      <c r="B2002" t="inlineStr">
        <is>
          <t>CRDO US Equity</t>
        </is>
      </c>
      <c r="C2002" t="inlineStr">
        <is>
          <t>PX_LAST</t>
        </is>
      </c>
      <c r="E2002" t="inlineStr">
        <is>
          <t>Last price</t>
        </is>
      </c>
      <c r="F2002" s="53">
        <f>_xll.BDP("CRDO US Equity","PX_LAST")</f>
        <v/>
      </c>
    </row>
    <row r="2003">
      <c r="A2003" t="inlineStr">
        <is>
          <t>CRDO</t>
        </is>
      </c>
      <c r="B2003" t="inlineStr">
        <is>
          <t>CRDO US Equity</t>
        </is>
      </c>
      <c r="C2003" t="inlineStr">
        <is>
          <t>CUR_MKT_CAP</t>
        </is>
      </c>
      <c r="E2003" t="inlineStr">
        <is>
          <t>Market cap (raw)</t>
        </is>
      </c>
      <c r="F2003" s="53">
        <f>_xll.BDP("CRDO US Equity","CUR_MKT_CAP")</f>
        <v/>
      </c>
    </row>
    <row r="2004">
      <c r="A2004" t="inlineStr">
        <is>
          <t>CRDO</t>
        </is>
      </c>
      <c r="B2004" t="inlineStr">
        <is>
          <t>CRDO US Equity</t>
        </is>
      </c>
      <c r="C2004" t="inlineStr">
        <is>
          <t>CHG_PCT_YTD</t>
        </is>
      </c>
      <c r="E2004" t="inlineStr">
        <is>
          <t>YTD price change %</t>
        </is>
      </c>
      <c r="F2004" s="53">
        <f>_xll.BDP("CRDO US Equity","CHG_PCT_YTD")</f>
        <v/>
      </c>
    </row>
    <row r="2005">
      <c r="A2005" t="inlineStr">
        <is>
          <t>CRDO</t>
        </is>
      </c>
      <c r="B2005" t="inlineStr">
        <is>
          <t>CRDO US Equity</t>
        </is>
      </c>
      <c r="C2005" t="inlineStr">
        <is>
          <t>NET_DEBT_TO_EBITDA</t>
        </is>
      </c>
      <c r="E2005" t="inlineStr">
        <is>
          <t>Net debt / EBITDA</t>
        </is>
      </c>
      <c r="F2005" s="53">
        <f>_xll.BDP("CRDO US Equity","NET_DEBT_TO_EBITDA")</f>
        <v/>
      </c>
    </row>
    <row r="2006">
      <c r="A2006" t="inlineStr">
        <is>
          <t>CRDO</t>
        </is>
      </c>
      <c r="B2006" t="inlineStr">
        <is>
          <t>CRDO US Equity</t>
        </is>
      </c>
      <c r="C2006" t="inlineStr">
        <is>
          <t>RETURN_ON_INV_CAPITAL</t>
        </is>
      </c>
      <c r="E2006" t="inlineStr">
        <is>
          <t>ROIC (LTM)</t>
        </is>
      </c>
      <c r="F2006" s="53">
        <f>_xll.BDP("CRDO US Equity","RETURN_ON_INV_CAPITAL")</f>
        <v/>
      </c>
    </row>
    <row r="2007">
      <c r="A2007" t="inlineStr">
        <is>
          <t>CRDO</t>
        </is>
      </c>
      <c r="B2007" t="inlineStr">
        <is>
          <t>CRDO US Equity</t>
        </is>
      </c>
      <c r="C2007" t="inlineStr">
        <is>
          <t>TRAIL_12M_OPER_INC</t>
        </is>
      </c>
      <c r="E2007" t="inlineStr">
        <is>
          <t>LTM operating income</t>
        </is>
      </c>
      <c r="F2007" s="53">
        <f>_xll.BDP("CRDO US Equity","TRAIL_12M_OPER_INC")</f>
        <v/>
      </c>
    </row>
    <row r="2008">
      <c r="A2008" t="inlineStr">
        <is>
          <t>CRDO</t>
        </is>
      </c>
      <c r="B2008" t="inlineStr">
        <is>
          <t>CRDO US Equity</t>
        </is>
      </c>
      <c r="C2008" t="inlineStr">
        <is>
          <t>TRAIL_12M_EBITDA</t>
        </is>
      </c>
      <c r="E2008" t="inlineStr">
        <is>
          <t>LTM EBITDA</t>
        </is>
      </c>
      <c r="F2008" s="53">
        <f>_xll.BDP("CRDO US Equity","TRAIL_12M_EBITDA")</f>
        <v/>
      </c>
    </row>
    <row r="2009">
      <c r="A2009" t="inlineStr">
        <is>
          <t>CRDO</t>
        </is>
      </c>
      <c r="B2009" t="inlineStr">
        <is>
          <t>CRDO US Equity</t>
        </is>
      </c>
      <c r="C2009" t="inlineStr">
        <is>
          <t>SHORT_AND_LONG_TERM_DEBT</t>
        </is>
      </c>
      <c r="E2009" t="inlineStr">
        <is>
          <t>Total debt</t>
        </is>
      </c>
      <c r="F2009" s="53">
        <f>_xll.BDP("CRDO US Equity","SHORT_AND_LONG_TERM_DEBT")</f>
        <v/>
      </c>
    </row>
    <row r="2010">
      <c r="A2010" t="inlineStr">
        <is>
          <t>CRDO</t>
        </is>
      </c>
      <c r="B2010" t="inlineStr">
        <is>
          <t>CRDO US Equity</t>
        </is>
      </c>
      <c r="C2010" t="inlineStr">
        <is>
          <t>TOTAL_EQUITY</t>
        </is>
      </c>
      <c r="E2010" t="inlineStr">
        <is>
          <t>Total equity</t>
        </is>
      </c>
      <c r="F2010" s="53">
        <f>_xll.BDP("CRDO US Equity","TOTAL_EQUITY")</f>
        <v/>
      </c>
    </row>
    <row r="2011">
      <c r="A2011" t="inlineStr">
        <is>
          <t>CRDO</t>
        </is>
      </c>
      <c r="B2011" t="inlineStr">
        <is>
          <t>CRDO US Equity</t>
        </is>
      </c>
      <c r="C2011" t="inlineStr">
        <is>
          <t>BS_CASH_NEAR_CASH_ITEM</t>
        </is>
      </c>
      <c r="E2011" t="inlineStr">
        <is>
          <t>Cash &amp; equivalents</t>
        </is>
      </c>
      <c r="F2011" s="53">
        <f>_xll.BDP("CRDO US Equity","BS_CASH_NEAR_CASH_ITEM")</f>
        <v/>
      </c>
    </row>
    <row r="2012">
      <c r="A2012" t="inlineStr">
        <is>
          <t>CRDO</t>
        </is>
      </c>
      <c r="B2012" t="inlineStr">
        <is>
          <t>CRDO US Equity</t>
        </is>
      </c>
      <c r="C2012" t="inlineStr">
        <is>
          <t>BEST_EPS</t>
        </is>
      </c>
      <c r="D2012" t="inlineStr">
        <is>
          <t>24Y</t>
        </is>
      </c>
      <c r="E2012" t="inlineStr">
        <is>
          <t>EPS estimate FY2024</t>
        </is>
      </c>
      <c r="F2012" s="53">
        <f>_xll.BDP("CRDO US Equity","BEST_EPS","BEST_FPERIOD_OVERRIDE","24Y")</f>
        <v/>
      </c>
    </row>
    <row r="2013">
      <c r="A2013" t="inlineStr">
        <is>
          <t>CRDO</t>
        </is>
      </c>
      <c r="B2013" t="inlineStr">
        <is>
          <t>CRDO US Equity</t>
        </is>
      </c>
      <c r="C2013" t="inlineStr">
        <is>
          <t>BEST_SALES</t>
        </is>
      </c>
      <c r="D2013" t="inlineStr">
        <is>
          <t>24Y</t>
        </is>
      </c>
      <c r="E2013" t="inlineStr">
        <is>
          <t>Revenue estimate FY2024</t>
        </is>
      </c>
      <c r="F2013" s="53">
        <f>_xll.BDP("CRDO US Equity","BEST_SALES","BEST_FPERIOD_OVERRIDE","24Y")</f>
        <v/>
      </c>
    </row>
    <row r="2014">
      <c r="A2014" t="inlineStr">
        <is>
          <t>CRDO</t>
        </is>
      </c>
      <c r="B2014" t="inlineStr">
        <is>
          <t>CRDO US Equity</t>
        </is>
      </c>
      <c r="C2014" t="inlineStr">
        <is>
          <t>BEST_EBIT</t>
        </is>
      </c>
      <c r="D2014" t="inlineStr">
        <is>
          <t>24Y</t>
        </is>
      </c>
      <c r="E2014" t="inlineStr">
        <is>
          <t>EBIT estimate FY2024</t>
        </is>
      </c>
      <c r="F2014" s="53">
        <f>_xll.BDP("CRDO US Equity","BEST_EBIT","BEST_FPERIOD_OVERRIDE","24Y")</f>
        <v/>
      </c>
    </row>
    <row r="2015">
      <c r="A2015" t="inlineStr">
        <is>
          <t>CRDO</t>
        </is>
      </c>
      <c r="B2015" t="inlineStr">
        <is>
          <t>CRDO US Equity</t>
        </is>
      </c>
      <c r="C2015" t="inlineStr">
        <is>
          <t>BEST_EPS</t>
        </is>
      </c>
      <c r="D2015" t="inlineStr">
        <is>
          <t>25Y</t>
        </is>
      </c>
      <c r="E2015" t="inlineStr">
        <is>
          <t>EPS estimate FY2025</t>
        </is>
      </c>
      <c r="F2015" s="53">
        <f>_xll.BDP("CRDO US Equity","BEST_EPS","BEST_FPERIOD_OVERRIDE","25Y")</f>
        <v/>
      </c>
    </row>
    <row r="2016">
      <c r="A2016" t="inlineStr">
        <is>
          <t>CRDO</t>
        </is>
      </c>
      <c r="B2016" t="inlineStr">
        <is>
          <t>CRDO US Equity</t>
        </is>
      </c>
      <c r="C2016" t="inlineStr">
        <is>
          <t>BEST_SALES</t>
        </is>
      </c>
      <c r="D2016" t="inlineStr">
        <is>
          <t>25Y</t>
        </is>
      </c>
      <c r="E2016" t="inlineStr">
        <is>
          <t>Revenue estimate FY2025</t>
        </is>
      </c>
      <c r="F2016" s="53">
        <f>_xll.BDP("CRDO US Equity","BEST_SALES","BEST_FPERIOD_OVERRIDE","25Y")</f>
        <v/>
      </c>
    </row>
    <row r="2017">
      <c r="A2017" t="inlineStr">
        <is>
          <t>CRDO</t>
        </is>
      </c>
      <c r="B2017" t="inlineStr">
        <is>
          <t>CRDO US Equity</t>
        </is>
      </c>
      <c r="C2017" t="inlineStr">
        <is>
          <t>BEST_EBIT</t>
        </is>
      </c>
      <c r="D2017" t="inlineStr">
        <is>
          <t>25Y</t>
        </is>
      </c>
      <c r="E2017" t="inlineStr">
        <is>
          <t>EBIT estimate FY2025</t>
        </is>
      </c>
      <c r="F2017" s="53">
        <f>_xll.BDP("CRDO US Equity","BEST_EBIT","BEST_FPERIOD_OVERRIDE","25Y")</f>
        <v/>
      </c>
    </row>
    <row r="2018">
      <c r="A2018" t="inlineStr">
        <is>
          <t>CRDO</t>
        </is>
      </c>
      <c r="B2018" t="inlineStr">
        <is>
          <t>CRDO US Equity</t>
        </is>
      </c>
      <c r="C2018" t="inlineStr">
        <is>
          <t>BEST_EPS</t>
        </is>
      </c>
      <c r="D2018" t="inlineStr">
        <is>
          <t>26Y</t>
        </is>
      </c>
      <c r="E2018" t="inlineStr">
        <is>
          <t>EPS estimate FY2026</t>
        </is>
      </c>
      <c r="F2018" s="53">
        <f>_xll.BDP("CRDO US Equity","BEST_EPS","BEST_FPERIOD_OVERRIDE","26Y")</f>
        <v/>
      </c>
    </row>
    <row r="2019">
      <c r="A2019" t="inlineStr">
        <is>
          <t>CRDO</t>
        </is>
      </c>
      <c r="B2019" t="inlineStr">
        <is>
          <t>CRDO US Equity</t>
        </is>
      </c>
      <c r="C2019" t="inlineStr">
        <is>
          <t>BEST_SALES</t>
        </is>
      </c>
      <c r="D2019" t="inlineStr">
        <is>
          <t>26Y</t>
        </is>
      </c>
      <c r="E2019" t="inlineStr">
        <is>
          <t>Revenue estimate FY2026</t>
        </is>
      </c>
      <c r="F2019" s="53">
        <f>_xll.BDP("CRDO US Equity","BEST_SALES","BEST_FPERIOD_OVERRIDE","26Y")</f>
        <v/>
      </c>
    </row>
    <row r="2020">
      <c r="A2020" t="inlineStr">
        <is>
          <t>CRDO</t>
        </is>
      </c>
      <c r="B2020" t="inlineStr">
        <is>
          <t>CRDO US Equity</t>
        </is>
      </c>
      <c r="C2020" t="inlineStr">
        <is>
          <t>BEST_EBIT</t>
        </is>
      </c>
      <c r="D2020" t="inlineStr">
        <is>
          <t>26Y</t>
        </is>
      </c>
      <c r="E2020" t="inlineStr">
        <is>
          <t>EBIT estimate FY2026</t>
        </is>
      </c>
      <c r="F2020" s="53">
        <f>_xll.BDP("CRDO US Equity","BEST_EBIT","BEST_FPERIOD_OVERRIDE","26Y")</f>
        <v/>
      </c>
    </row>
    <row r="2021">
      <c r="A2021" t="inlineStr">
        <is>
          <t>CRDO</t>
        </is>
      </c>
      <c r="B2021" t="inlineStr">
        <is>
          <t>CRDO US Equity</t>
        </is>
      </c>
      <c r="C2021" t="inlineStr">
        <is>
          <t>BEST_EPS</t>
        </is>
      </c>
      <c r="D2021" t="inlineStr">
        <is>
          <t>27Y</t>
        </is>
      </c>
      <c r="E2021" t="inlineStr">
        <is>
          <t>EPS estimate FY2027</t>
        </is>
      </c>
      <c r="F2021" s="53">
        <f>_xll.BDP("CRDO US Equity","BEST_EPS","BEST_FPERIOD_OVERRIDE","27Y")</f>
        <v/>
      </c>
    </row>
    <row r="2022">
      <c r="A2022" t="inlineStr">
        <is>
          <t>CRDO</t>
        </is>
      </c>
      <c r="B2022" t="inlineStr">
        <is>
          <t>CRDO US Equity</t>
        </is>
      </c>
      <c r="C2022" t="inlineStr">
        <is>
          <t>BEST_SALES</t>
        </is>
      </c>
      <c r="D2022" t="inlineStr">
        <is>
          <t>27Y</t>
        </is>
      </c>
      <c r="E2022" t="inlineStr">
        <is>
          <t>Revenue estimate FY2027</t>
        </is>
      </c>
      <c r="F2022" s="53">
        <f>_xll.BDP("CRDO US Equity","BEST_SALES","BEST_FPERIOD_OVERRIDE","27Y")</f>
        <v/>
      </c>
    </row>
    <row r="2023">
      <c r="A2023" t="inlineStr">
        <is>
          <t>CRDO</t>
        </is>
      </c>
      <c r="B2023" t="inlineStr">
        <is>
          <t>CRDO US Equity</t>
        </is>
      </c>
      <c r="C2023" t="inlineStr">
        <is>
          <t>BEST_EBIT</t>
        </is>
      </c>
      <c r="D2023" t="inlineStr">
        <is>
          <t>27Y</t>
        </is>
      </c>
      <c r="E2023" t="inlineStr">
        <is>
          <t>EBIT estimate FY2027</t>
        </is>
      </c>
      <c r="F2023" s="53">
        <f>_xll.BDP("CRDO US Equity","BEST_EBIT","BEST_FPERIOD_OVERRIDE","27Y")</f>
        <v/>
      </c>
    </row>
    <row r="2024">
      <c r="A2024" t="inlineStr">
        <is>
          <t>CRDO</t>
        </is>
      </c>
      <c r="B2024" t="inlineStr">
        <is>
          <t>CRDO US Equity</t>
        </is>
      </c>
      <c r="C2024" t="inlineStr">
        <is>
          <t>BEST_EPS</t>
        </is>
      </c>
      <c r="D2024" t="inlineStr">
        <is>
          <t>28Y</t>
        </is>
      </c>
      <c r="E2024" t="inlineStr">
        <is>
          <t>EPS estimate FY2028</t>
        </is>
      </c>
      <c r="F2024" s="53">
        <f>_xll.BDP("CRDO US Equity","BEST_EPS","BEST_FPERIOD_OVERRIDE","28Y")</f>
        <v/>
      </c>
    </row>
    <row r="2025">
      <c r="A2025" t="inlineStr">
        <is>
          <t>CRDO</t>
        </is>
      </c>
      <c r="B2025" t="inlineStr">
        <is>
          <t>CRDO US Equity</t>
        </is>
      </c>
      <c r="C2025" t="inlineStr">
        <is>
          <t>BEST_SALES</t>
        </is>
      </c>
      <c r="D2025" t="inlineStr">
        <is>
          <t>28Y</t>
        </is>
      </c>
      <c r="E2025" t="inlineStr">
        <is>
          <t>Revenue estimate FY2028</t>
        </is>
      </c>
      <c r="F2025" s="53">
        <f>_xll.BDP("CRDO US Equity","BEST_SALES","BEST_FPERIOD_OVERRIDE","28Y")</f>
        <v/>
      </c>
    </row>
    <row r="2026">
      <c r="A2026" t="inlineStr">
        <is>
          <t>CRDO</t>
        </is>
      </c>
      <c r="B2026" t="inlineStr">
        <is>
          <t>CRDO US Equity</t>
        </is>
      </c>
      <c r="C2026" t="inlineStr">
        <is>
          <t>BEST_EBIT</t>
        </is>
      </c>
      <c r="D2026" t="inlineStr">
        <is>
          <t>28Y</t>
        </is>
      </c>
      <c r="E2026" t="inlineStr">
        <is>
          <t>EBIT estimate FY2028</t>
        </is>
      </c>
      <c r="F2026" s="53">
        <f>_xll.BDP("CRDO US Equity","BEST_EBIT","BEST_FPERIOD_OVERRIDE","28Y")</f>
        <v/>
      </c>
    </row>
    <row r="2027">
      <c r="A2027" t="inlineStr">
        <is>
          <t>ALAB</t>
        </is>
      </c>
      <c r="B2027" t="inlineStr">
        <is>
          <t>ALAB US Equity</t>
        </is>
      </c>
      <c r="C2027" t="inlineStr">
        <is>
          <t>PX_LAST</t>
        </is>
      </c>
      <c r="E2027" t="inlineStr">
        <is>
          <t>Last price</t>
        </is>
      </c>
      <c r="F2027" s="53">
        <f>_xll.BDP("ALAB US Equity","PX_LAST")</f>
        <v/>
      </c>
    </row>
    <row r="2028">
      <c r="A2028" t="inlineStr">
        <is>
          <t>ALAB</t>
        </is>
      </c>
      <c r="B2028" t="inlineStr">
        <is>
          <t>ALAB US Equity</t>
        </is>
      </c>
      <c r="C2028" t="inlineStr">
        <is>
          <t>CUR_MKT_CAP</t>
        </is>
      </c>
      <c r="E2028" t="inlineStr">
        <is>
          <t>Market cap (raw)</t>
        </is>
      </c>
      <c r="F2028" s="53">
        <f>_xll.BDP("ALAB US Equity","CUR_MKT_CAP")</f>
        <v/>
      </c>
    </row>
    <row r="2029">
      <c r="A2029" t="inlineStr">
        <is>
          <t>ALAB</t>
        </is>
      </c>
      <c r="B2029" t="inlineStr">
        <is>
          <t>ALAB US Equity</t>
        </is>
      </c>
      <c r="C2029" t="inlineStr">
        <is>
          <t>CHG_PCT_YTD</t>
        </is>
      </c>
      <c r="E2029" t="inlineStr">
        <is>
          <t>YTD price change %</t>
        </is>
      </c>
      <c r="F2029" s="53">
        <f>_xll.BDP("ALAB US Equity","CHG_PCT_YTD")</f>
        <v/>
      </c>
    </row>
    <row r="2030">
      <c r="A2030" t="inlineStr">
        <is>
          <t>ALAB</t>
        </is>
      </c>
      <c r="B2030" t="inlineStr">
        <is>
          <t>ALAB US Equity</t>
        </is>
      </c>
      <c r="C2030" t="inlineStr">
        <is>
          <t>NET_DEBT_TO_EBITDA</t>
        </is>
      </c>
      <c r="E2030" t="inlineStr">
        <is>
          <t>Net debt / EBITDA</t>
        </is>
      </c>
      <c r="F2030" s="53">
        <f>_xll.BDP("ALAB US Equity","NET_DEBT_TO_EBITDA")</f>
        <v/>
      </c>
    </row>
    <row r="2031">
      <c r="A2031" t="inlineStr">
        <is>
          <t>ALAB</t>
        </is>
      </c>
      <c r="B2031" t="inlineStr">
        <is>
          <t>ALAB US Equity</t>
        </is>
      </c>
      <c r="C2031" t="inlineStr">
        <is>
          <t>RETURN_ON_INV_CAPITAL</t>
        </is>
      </c>
      <c r="E2031" t="inlineStr">
        <is>
          <t>ROIC (LTM)</t>
        </is>
      </c>
      <c r="F2031" s="53">
        <f>_xll.BDP("ALAB US Equity","RETURN_ON_INV_CAPITAL")</f>
        <v/>
      </c>
    </row>
    <row r="2032">
      <c r="A2032" t="inlineStr">
        <is>
          <t>ALAB</t>
        </is>
      </c>
      <c r="B2032" t="inlineStr">
        <is>
          <t>ALAB US Equity</t>
        </is>
      </c>
      <c r="C2032" t="inlineStr">
        <is>
          <t>TRAIL_12M_OPER_INC</t>
        </is>
      </c>
      <c r="E2032" t="inlineStr">
        <is>
          <t>LTM operating income</t>
        </is>
      </c>
      <c r="F2032" s="53">
        <f>_xll.BDP("ALAB US Equity","TRAIL_12M_OPER_INC")</f>
        <v/>
      </c>
    </row>
    <row r="2033">
      <c r="A2033" t="inlineStr">
        <is>
          <t>ALAB</t>
        </is>
      </c>
      <c r="B2033" t="inlineStr">
        <is>
          <t>ALAB US Equity</t>
        </is>
      </c>
      <c r="C2033" t="inlineStr">
        <is>
          <t>TRAIL_12M_EBITDA</t>
        </is>
      </c>
      <c r="E2033" t="inlineStr">
        <is>
          <t>LTM EBITDA</t>
        </is>
      </c>
      <c r="F2033" s="53">
        <f>_xll.BDP("ALAB US Equity","TRAIL_12M_EBITDA")</f>
        <v/>
      </c>
    </row>
    <row r="2034">
      <c r="A2034" t="inlineStr">
        <is>
          <t>ALAB</t>
        </is>
      </c>
      <c r="B2034" t="inlineStr">
        <is>
          <t>ALAB US Equity</t>
        </is>
      </c>
      <c r="C2034" t="inlineStr">
        <is>
          <t>SHORT_AND_LONG_TERM_DEBT</t>
        </is>
      </c>
      <c r="E2034" t="inlineStr">
        <is>
          <t>Total debt</t>
        </is>
      </c>
      <c r="F2034" s="53">
        <f>_xll.BDP("ALAB US Equity","SHORT_AND_LONG_TERM_DEBT")</f>
        <v/>
      </c>
    </row>
    <row r="2035">
      <c r="A2035" t="inlineStr">
        <is>
          <t>ALAB</t>
        </is>
      </c>
      <c r="B2035" t="inlineStr">
        <is>
          <t>ALAB US Equity</t>
        </is>
      </c>
      <c r="C2035" t="inlineStr">
        <is>
          <t>TOTAL_EQUITY</t>
        </is>
      </c>
      <c r="E2035" t="inlineStr">
        <is>
          <t>Total equity</t>
        </is>
      </c>
      <c r="F2035" s="53">
        <f>_xll.BDP("ALAB US Equity","TOTAL_EQUITY")</f>
        <v/>
      </c>
    </row>
    <row r="2036">
      <c r="A2036" t="inlineStr">
        <is>
          <t>ALAB</t>
        </is>
      </c>
      <c r="B2036" t="inlineStr">
        <is>
          <t>ALAB US Equity</t>
        </is>
      </c>
      <c r="C2036" t="inlineStr">
        <is>
          <t>BS_CASH_NEAR_CASH_ITEM</t>
        </is>
      </c>
      <c r="E2036" t="inlineStr">
        <is>
          <t>Cash &amp; equivalents</t>
        </is>
      </c>
      <c r="F2036" s="53">
        <f>_xll.BDP("ALAB US Equity","BS_CASH_NEAR_CASH_ITEM")</f>
        <v/>
      </c>
    </row>
    <row r="2037">
      <c r="A2037" t="inlineStr">
        <is>
          <t>ALAB</t>
        </is>
      </c>
      <c r="B2037" t="inlineStr">
        <is>
          <t>ALAB US Equity</t>
        </is>
      </c>
      <c r="C2037" t="inlineStr">
        <is>
          <t>BEST_EPS</t>
        </is>
      </c>
      <c r="D2037" t="inlineStr">
        <is>
          <t>24Y</t>
        </is>
      </c>
      <c r="E2037" t="inlineStr">
        <is>
          <t>EPS estimate FY2024</t>
        </is>
      </c>
      <c r="F2037" s="53">
        <f>_xll.BDP("ALAB US Equity","BEST_EPS","BEST_FPERIOD_OVERRIDE","24Y")</f>
        <v/>
      </c>
    </row>
    <row r="2038">
      <c r="A2038" t="inlineStr">
        <is>
          <t>ALAB</t>
        </is>
      </c>
      <c r="B2038" t="inlineStr">
        <is>
          <t>ALAB US Equity</t>
        </is>
      </c>
      <c r="C2038" t="inlineStr">
        <is>
          <t>BEST_SALES</t>
        </is>
      </c>
      <c r="D2038" t="inlineStr">
        <is>
          <t>24Y</t>
        </is>
      </c>
      <c r="E2038" t="inlineStr">
        <is>
          <t>Revenue estimate FY2024</t>
        </is>
      </c>
      <c r="F2038" s="53">
        <f>_xll.BDP("ALAB US Equity","BEST_SALES","BEST_FPERIOD_OVERRIDE","24Y")</f>
        <v/>
      </c>
    </row>
    <row r="2039">
      <c r="A2039" t="inlineStr">
        <is>
          <t>ALAB</t>
        </is>
      </c>
      <c r="B2039" t="inlineStr">
        <is>
          <t>ALAB US Equity</t>
        </is>
      </c>
      <c r="C2039" t="inlineStr">
        <is>
          <t>BEST_EBIT</t>
        </is>
      </c>
      <c r="D2039" t="inlineStr">
        <is>
          <t>24Y</t>
        </is>
      </c>
      <c r="E2039" t="inlineStr">
        <is>
          <t>EBIT estimate FY2024</t>
        </is>
      </c>
      <c r="F2039" s="53">
        <f>_xll.BDP("ALAB US Equity","BEST_EBIT","BEST_FPERIOD_OVERRIDE","24Y")</f>
        <v/>
      </c>
    </row>
    <row r="2040">
      <c r="A2040" t="inlineStr">
        <is>
          <t>ALAB</t>
        </is>
      </c>
      <c r="B2040" t="inlineStr">
        <is>
          <t>ALAB US Equity</t>
        </is>
      </c>
      <c r="C2040" t="inlineStr">
        <is>
          <t>BEST_EPS</t>
        </is>
      </c>
      <c r="D2040" t="inlineStr">
        <is>
          <t>25Y</t>
        </is>
      </c>
      <c r="E2040" t="inlineStr">
        <is>
          <t>EPS estimate FY2025</t>
        </is>
      </c>
      <c r="F2040" s="53">
        <f>_xll.BDP("ALAB US Equity","BEST_EPS","BEST_FPERIOD_OVERRIDE","25Y")</f>
        <v/>
      </c>
    </row>
    <row r="2041">
      <c r="A2041" t="inlineStr">
        <is>
          <t>ALAB</t>
        </is>
      </c>
      <c r="B2041" t="inlineStr">
        <is>
          <t>ALAB US Equity</t>
        </is>
      </c>
      <c r="C2041" t="inlineStr">
        <is>
          <t>BEST_SALES</t>
        </is>
      </c>
      <c r="D2041" t="inlineStr">
        <is>
          <t>25Y</t>
        </is>
      </c>
      <c r="E2041" t="inlineStr">
        <is>
          <t>Revenue estimate FY2025</t>
        </is>
      </c>
      <c r="F2041" s="53">
        <f>_xll.BDP("ALAB US Equity","BEST_SALES","BEST_FPERIOD_OVERRIDE","25Y")</f>
        <v/>
      </c>
    </row>
    <row r="2042">
      <c r="A2042" t="inlineStr">
        <is>
          <t>ALAB</t>
        </is>
      </c>
      <c r="B2042" t="inlineStr">
        <is>
          <t>ALAB US Equity</t>
        </is>
      </c>
      <c r="C2042" t="inlineStr">
        <is>
          <t>BEST_EBIT</t>
        </is>
      </c>
      <c r="D2042" t="inlineStr">
        <is>
          <t>25Y</t>
        </is>
      </c>
      <c r="E2042" t="inlineStr">
        <is>
          <t>EBIT estimate FY2025</t>
        </is>
      </c>
      <c r="F2042" s="53">
        <f>_xll.BDP("ALAB US Equity","BEST_EBIT","BEST_FPERIOD_OVERRIDE","25Y")</f>
        <v/>
      </c>
    </row>
    <row r="2043">
      <c r="A2043" t="inlineStr">
        <is>
          <t>ALAB</t>
        </is>
      </c>
      <c r="B2043" t="inlineStr">
        <is>
          <t>ALAB US Equity</t>
        </is>
      </c>
      <c r="C2043" t="inlineStr">
        <is>
          <t>BEST_EPS</t>
        </is>
      </c>
      <c r="D2043" t="inlineStr">
        <is>
          <t>26Y</t>
        </is>
      </c>
      <c r="E2043" t="inlineStr">
        <is>
          <t>EPS estimate FY2026</t>
        </is>
      </c>
      <c r="F2043" s="53">
        <f>_xll.BDP("ALAB US Equity","BEST_EPS","BEST_FPERIOD_OVERRIDE","26Y")</f>
        <v/>
      </c>
    </row>
    <row r="2044">
      <c r="A2044" t="inlineStr">
        <is>
          <t>ALAB</t>
        </is>
      </c>
      <c r="B2044" t="inlineStr">
        <is>
          <t>ALAB US Equity</t>
        </is>
      </c>
      <c r="C2044" t="inlineStr">
        <is>
          <t>BEST_SALES</t>
        </is>
      </c>
      <c r="D2044" t="inlineStr">
        <is>
          <t>26Y</t>
        </is>
      </c>
      <c r="E2044" t="inlineStr">
        <is>
          <t>Revenue estimate FY2026</t>
        </is>
      </c>
      <c r="F2044" s="53">
        <f>_xll.BDP("ALAB US Equity","BEST_SALES","BEST_FPERIOD_OVERRIDE","26Y")</f>
        <v/>
      </c>
    </row>
    <row r="2045">
      <c r="A2045" t="inlineStr">
        <is>
          <t>ALAB</t>
        </is>
      </c>
      <c r="B2045" t="inlineStr">
        <is>
          <t>ALAB US Equity</t>
        </is>
      </c>
      <c r="C2045" t="inlineStr">
        <is>
          <t>BEST_EBIT</t>
        </is>
      </c>
      <c r="D2045" t="inlineStr">
        <is>
          <t>26Y</t>
        </is>
      </c>
      <c r="E2045" t="inlineStr">
        <is>
          <t>EBIT estimate FY2026</t>
        </is>
      </c>
      <c r="F2045" s="53">
        <f>_xll.BDP("ALAB US Equity","BEST_EBIT","BEST_FPERIOD_OVERRIDE","26Y")</f>
        <v/>
      </c>
    </row>
    <row r="2046">
      <c r="A2046" t="inlineStr">
        <is>
          <t>ALAB</t>
        </is>
      </c>
      <c r="B2046" t="inlineStr">
        <is>
          <t>ALAB US Equity</t>
        </is>
      </c>
      <c r="C2046" t="inlineStr">
        <is>
          <t>BEST_EPS</t>
        </is>
      </c>
      <c r="D2046" t="inlineStr">
        <is>
          <t>27Y</t>
        </is>
      </c>
      <c r="E2046" t="inlineStr">
        <is>
          <t>EPS estimate FY2027</t>
        </is>
      </c>
      <c r="F2046" s="53">
        <f>_xll.BDP("ALAB US Equity","BEST_EPS","BEST_FPERIOD_OVERRIDE","27Y")</f>
        <v/>
      </c>
    </row>
    <row r="2047">
      <c r="A2047" t="inlineStr">
        <is>
          <t>ALAB</t>
        </is>
      </c>
      <c r="B2047" t="inlineStr">
        <is>
          <t>ALAB US Equity</t>
        </is>
      </c>
      <c r="C2047" t="inlineStr">
        <is>
          <t>BEST_SALES</t>
        </is>
      </c>
      <c r="D2047" t="inlineStr">
        <is>
          <t>27Y</t>
        </is>
      </c>
      <c r="E2047" t="inlineStr">
        <is>
          <t>Revenue estimate FY2027</t>
        </is>
      </c>
      <c r="F2047" s="53">
        <f>_xll.BDP("ALAB US Equity","BEST_SALES","BEST_FPERIOD_OVERRIDE","27Y")</f>
        <v/>
      </c>
    </row>
    <row r="2048">
      <c r="A2048" t="inlineStr">
        <is>
          <t>ALAB</t>
        </is>
      </c>
      <c r="B2048" t="inlineStr">
        <is>
          <t>ALAB US Equity</t>
        </is>
      </c>
      <c r="C2048" t="inlineStr">
        <is>
          <t>BEST_EBIT</t>
        </is>
      </c>
      <c r="D2048" t="inlineStr">
        <is>
          <t>27Y</t>
        </is>
      </c>
      <c r="E2048" t="inlineStr">
        <is>
          <t>EBIT estimate FY2027</t>
        </is>
      </c>
      <c r="F2048" s="53">
        <f>_xll.BDP("ALAB US Equity","BEST_EBIT","BEST_FPERIOD_OVERRIDE","27Y")</f>
        <v/>
      </c>
    </row>
    <row r="2049">
      <c r="A2049" t="inlineStr">
        <is>
          <t>ALAB</t>
        </is>
      </c>
      <c r="B2049" t="inlineStr">
        <is>
          <t>ALAB US Equity</t>
        </is>
      </c>
      <c r="C2049" t="inlineStr">
        <is>
          <t>BEST_EPS</t>
        </is>
      </c>
      <c r="D2049" t="inlineStr">
        <is>
          <t>28Y</t>
        </is>
      </c>
      <c r="E2049" t="inlineStr">
        <is>
          <t>EPS estimate FY2028</t>
        </is>
      </c>
      <c r="F2049" s="53">
        <f>_xll.BDP("ALAB US Equity","BEST_EPS","BEST_FPERIOD_OVERRIDE","28Y")</f>
        <v/>
      </c>
    </row>
    <row r="2050">
      <c r="A2050" t="inlineStr">
        <is>
          <t>ALAB</t>
        </is>
      </c>
      <c r="B2050" t="inlineStr">
        <is>
          <t>ALAB US Equity</t>
        </is>
      </c>
      <c r="C2050" t="inlineStr">
        <is>
          <t>BEST_SALES</t>
        </is>
      </c>
      <c r="D2050" t="inlineStr">
        <is>
          <t>28Y</t>
        </is>
      </c>
      <c r="E2050" t="inlineStr">
        <is>
          <t>Revenue estimate FY2028</t>
        </is>
      </c>
      <c r="F2050" s="53">
        <f>_xll.BDP("ALAB US Equity","BEST_SALES","BEST_FPERIOD_OVERRIDE","28Y")</f>
        <v/>
      </c>
    </row>
    <row r="2051">
      <c r="A2051" t="inlineStr">
        <is>
          <t>ALAB</t>
        </is>
      </c>
      <c r="B2051" t="inlineStr">
        <is>
          <t>ALAB US Equity</t>
        </is>
      </c>
      <c r="C2051" t="inlineStr">
        <is>
          <t>BEST_EBIT</t>
        </is>
      </c>
      <c r="D2051" t="inlineStr">
        <is>
          <t>28Y</t>
        </is>
      </c>
      <c r="E2051" t="inlineStr">
        <is>
          <t>EBIT estimate FY2028</t>
        </is>
      </c>
      <c r="F2051" s="53">
        <f>_xll.BDP("ALAB US Equity","BEST_EBIT","BEST_FPERIOD_OVERRIDE","28Y")</f>
        <v/>
      </c>
    </row>
    <row r="2052">
      <c r="A2052" t="inlineStr">
        <is>
          <t>NVDA</t>
        </is>
      </c>
      <c r="B2052" t="inlineStr">
        <is>
          <t>NVDA UW Equity</t>
        </is>
      </c>
      <c r="C2052" t="inlineStr">
        <is>
          <t>PX_LAST</t>
        </is>
      </c>
      <c r="E2052" t="inlineStr">
        <is>
          <t>Last price</t>
        </is>
      </c>
      <c r="F2052" s="53">
        <f>_xll.BDP("NVDA UW Equity","PX_LAST")</f>
        <v/>
      </c>
    </row>
    <row r="2053">
      <c r="A2053" t="inlineStr">
        <is>
          <t>NVDA</t>
        </is>
      </c>
      <c r="B2053" t="inlineStr">
        <is>
          <t>NVDA UW Equity</t>
        </is>
      </c>
      <c r="C2053" t="inlineStr">
        <is>
          <t>CUR_MKT_CAP</t>
        </is>
      </c>
      <c r="E2053" t="inlineStr">
        <is>
          <t>Market cap (raw)</t>
        </is>
      </c>
      <c r="F2053" s="53">
        <f>_xll.BDP("NVDA UW Equity","CUR_MKT_CAP")</f>
        <v/>
      </c>
    </row>
    <row r="2054">
      <c r="A2054" t="inlineStr">
        <is>
          <t>NVDA</t>
        </is>
      </c>
      <c r="B2054" t="inlineStr">
        <is>
          <t>NVDA UW Equity</t>
        </is>
      </c>
      <c r="C2054" t="inlineStr">
        <is>
          <t>CHG_PCT_YTD</t>
        </is>
      </c>
      <c r="E2054" t="inlineStr">
        <is>
          <t>YTD price change %</t>
        </is>
      </c>
      <c r="F2054" s="53">
        <f>_xll.BDP("NVDA UW Equity","CHG_PCT_YTD")</f>
        <v/>
      </c>
    </row>
    <row r="2055">
      <c r="A2055" t="inlineStr">
        <is>
          <t>NVDA</t>
        </is>
      </c>
      <c r="B2055" t="inlineStr">
        <is>
          <t>NVDA UW Equity</t>
        </is>
      </c>
      <c r="C2055" t="inlineStr">
        <is>
          <t>NET_DEBT_TO_EBITDA</t>
        </is>
      </c>
      <c r="E2055" t="inlineStr">
        <is>
          <t>Net debt / EBITDA</t>
        </is>
      </c>
      <c r="F2055" s="53">
        <f>_xll.BDP("NVDA UW Equity","NET_DEBT_TO_EBITDA")</f>
        <v/>
      </c>
    </row>
    <row r="2056">
      <c r="A2056" t="inlineStr">
        <is>
          <t>NVDA</t>
        </is>
      </c>
      <c r="B2056" t="inlineStr">
        <is>
          <t>NVDA UW Equity</t>
        </is>
      </c>
      <c r="C2056" t="inlineStr">
        <is>
          <t>RETURN_ON_INV_CAPITAL</t>
        </is>
      </c>
      <c r="E2056" t="inlineStr">
        <is>
          <t>ROIC (LTM)</t>
        </is>
      </c>
      <c r="F2056" s="53">
        <f>_xll.BDP("NVDA UW Equity","RETURN_ON_INV_CAPITAL")</f>
        <v/>
      </c>
    </row>
    <row r="2057">
      <c r="A2057" t="inlineStr">
        <is>
          <t>NVDA</t>
        </is>
      </c>
      <c r="B2057" t="inlineStr">
        <is>
          <t>NVDA UW Equity</t>
        </is>
      </c>
      <c r="C2057" t="inlineStr">
        <is>
          <t>TRAIL_12M_OPER_INC</t>
        </is>
      </c>
      <c r="E2057" t="inlineStr">
        <is>
          <t>LTM operating income</t>
        </is>
      </c>
      <c r="F2057" s="53">
        <f>_xll.BDP("NVDA UW Equity","TRAIL_12M_OPER_INC")</f>
        <v/>
      </c>
    </row>
    <row r="2058">
      <c r="A2058" t="inlineStr">
        <is>
          <t>NVDA</t>
        </is>
      </c>
      <c r="B2058" t="inlineStr">
        <is>
          <t>NVDA UW Equity</t>
        </is>
      </c>
      <c r="C2058" t="inlineStr">
        <is>
          <t>TRAIL_12M_EBITDA</t>
        </is>
      </c>
      <c r="E2058" t="inlineStr">
        <is>
          <t>LTM EBITDA</t>
        </is>
      </c>
      <c r="F2058" s="53">
        <f>_xll.BDP("NVDA UW Equity","TRAIL_12M_EBITDA")</f>
        <v/>
      </c>
    </row>
    <row r="2059">
      <c r="A2059" t="inlineStr">
        <is>
          <t>NVDA</t>
        </is>
      </c>
      <c r="B2059" t="inlineStr">
        <is>
          <t>NVDA UW Equity</t>
        </is>
      </c>
      <c r="C2059" t="inlineStr">
        <is>
          <t>SHORT_AND_LONG_TERM_DEBT</t>
        </is>
      </c>
      <c r="E2059" t="inlineStr">
        <is>
          <t>Total debt</t>
        </is>
      </c>
      <c r="F2059" s="53">
        <f>_xll.BDP("NVDA UW Equity","SHORT_AND_LONG_TERM_DEBT")</f>
        <v/>
      </c>
    </row>
    <row r="2060">
      <c r="A2060" t="inlineStr">
        <is>
          <t>NVDA</t>
        </is>
      </c>
      <c r="B2060" t="inlineStr">
        <is>
          <t>NVDA UW Equity</t>
        </is>
      </c>
      <c r="C2060" t="inlineStr">
        <is>
          <t>TOTAL_EQUITY</t>
        </is>
      </c>
      <c r="E2060" t="inlineStr">
        <is>
          <t>Total equity</t>
        </is>
      </c>
      <c r="F2060" s="53">
        <f>_xll.BDP("NVDA UW Equity","TOTAL_EQUITY")</f>
        <v/>
      </c>
    </row>
    <row r="2061">
      <c r="A2061" t="inlineStr">
        <is>
          <t>NVDA</t>
        </is>
      </c>
      <c r="B2061" t="inlineStr">
        <is>
          <t>NVDA UW Equity</t>
        </is>
      </c>
      <c r="C2061" t="inlineStr">
        <is>
          <t>BS_CASH_NEAR_CASH_ITEM</t>
        </is>
      </c>
      <c r="E2061" t="inlineStr">
        <is>
          <t>Cash &amp; equivalents</t>
        </is>
      </c>
      <c r="F2061" s="53">
        <f>_xll.BDP("NVDA UW Equity","BS_CASH_NEAR_CASH_ITEM")</f>
        <v/>
      </c>
    </row>
    <row r="2062">
      <c r="A2062" t="inlineStr">
        <is>
          <t>NVDA</t>
        </is>
      </c>
      <c r="B2062" t="inlineStr">
        <is>
          <t>NVDA UW Equity</t>
        </is>
      </c>
      <c r="C2062" t="inlineStr">
        <is>
          <t>BEST_EPS</t>
        </is>
      </c>
      <c r="D2062" t="inlineStr">
        <is>
          <t>24Y</t>
        </is>
      </c>
      <c r="E2062" t="inlineStr">
        <is>
          <t>EPS estimate FY2024</t>
        </is>
      </c>
      <c r="F2062" s="53">
        <f>_xll.BDP("NVDA UW Equity","BEST_EPS","BEST_FPERIOD_OVERRIDE","24Y")</f>
        <v/>
      </c>
    </row>
    <row r="2063">
      <c r="A2063" t="inlineStr">
        <is>
          <t>NVDA</t>
        </is>
      </c>
      <c r="B2063" t="inlineStr">
        <is>
          <t>NVDA UW Equity</t>
        </is>
      </c>
      <c r="C2063" t="inlineStr">
        <is>
          <t>BEST_SALES</t>
        </is>
      </c>
      <c r="D2063" t="inlineStr">
        <is>
          <t>24Y</t>
        </is>
      </c>
      <c r="E2063" t="inlineStr">
        <is>
          <t>Revenue estimate FY2024</t>
        </is>
      </c>
      <c r="F2063" s="53">
        <f>_xll.BDP("NVDA UW Equity","BEST_SALES","BEST_FPERIOD_OVERRIDE","24Y")</f>
        <v/>
      </c>
    </row>
    <row r="2064">
      <c r="A2064" t="inlineStr">
        <is>
          <t>NVDA</t>
        </is>
      </c>
      <c r="B2064" t="inlineStr">
        <is>
          <t>NVDA UW Equity</t>
        </is>
      </c>
      <c r="C2064" t="inlineStr">
        <is>
          <t>BEST_EBIT</t>
        </is>
      </c>
      <c r="D2064" t="inlineStr">
        <is>
          <t>24Y</t>
        </is>
      </c>
      <c r="E2064" t="inlineStr">
        <is>
          <t>EBIT estimate FY2024</t>
        </is>
      </c>
      <c r="F2064" s="53">
        <f>_xll.BDP("NVDA UW Equity","BEST_EBIT","BEST_FPERIOD_OVERRIDE","24Y")</f>
        <v/>
      </c>
    </row>
    <row r="2065">
      <c r="A2065" t="inlineStr">
        <is>
          <t>NVDA</t>
        </is>
      </c>
      <c r="B2065" t="inlineStr">
        <is>
          <t>NVDA UW Equity</t>
        </is>
      </c>
      <c r="C2065" t="inlineStr">
        <is>
          <t>BEST_EPS</t>
        </is>
      </c>
      <c r="D2065" t="inlineStr">
        <is>
          <t>25Y</t>
        </is>
      </c>
      <c r="E2065" t="inlineStr">
        <is>
          <t>EPS estimate FY2025</t>
        </is>
      </c>
      <c r="F2065" s="53">
        <f>_xll.BDP("NVDA UW Equity","BEST_EPS","BEST_FPERIOD_OVERRIDE","25Y")</f>
        <v/>
      </c>
    </row>
    <row r="2066">
      <c r="A2066" t="inlineStr">
        <is>
          <t>NVDA</t>
        </is>
      </c>
      <c r="B2066" t="inlineStr">
        <is>
          <t>NVDA UW Equity</t>
        </is>
      </c>
      <c r="C2066" t="inlineStr">
        <is>
          <t>BEST_SALES</t>
        </is>
      </c>
      <c r="D2066" t="inlineStr">
        <is>
          <t>25Y</t>
        </is>
      </c>
      <c r="E2066" t="inlineStr">
        <is>
          <t>Revenue estimate FY2025</t>
        </is>
      </c>
      <c r="F2066" s="53">
        <f>_xll.BDP("NVDA UW Equity","BEST_SALES","BEST_FPERIOD_OVERRIDE","25Y")</f>
        <v/>
      </c>
    </row>
    <row r="2067">
      <c r="A2067" t="inlineStr">
        <is>
          <t>NVDA</t>
        </is>
      </c>
      <c r="B2067" t="inlineStr">
        <is>
          <t>NVDA UW Equity</t>
        </is>
      </c>
      <c r="C2067" t="inlineStr">
        <is>
          <t>BEST_EBIT</t>
        </is>
      </c>
      <c r="D2067" t="inlineStr">
        <is>
          <t>25Y</t>
        </is>
      </c>
      <c r="E2067" t="inlineStr">
        <is>
          <t>EBIT estimate FY2025</t>
        </is>
      </c>
      <c r="F2067" s="53">
        <f>_xll.BDP("NVDA UW Equity","BEST_EBIT","BEST_FPERIOD_OVERRIDE","25Y")</f>
        <v/>
      </c>
    </row>
    <row r="2068">
      <c r="A2068" t="inlineStr">
        <is>
          <t>NVDA</t>
        </is>
      </c>
      <c r="B2068" t="inlineStr">
        <is>
          <t>NVDA UW Equity</t>
        </is>
      </c>
      <c r="C2068" t="inlineStr">
        <is>
          <t>BEST_EPS</t>
        </is>
      </c>
      <c r="D2068" t="inlineStr">
        <is>
          <t>26Y</t>
        </is>
      </c>
      <c r="E2068" t="inlineStr">
        <is>
          <t>EPS estimate FY2026</t>
        </is>
      </c>
      <c r="F2068" s="53">
        <f>_xll.BDP("NVDA UW Equity","BEST_EPS","BEST_FPERIOD_OVERRIDE","26Y")</f>
        <v/>
      </c>
    </row>
    <row r="2069">
      <c r="A2069" t="inlineStr">
        <is>
          <t>NVDA</t>
        </is>
      </c>
      <c r="B2069" t="inlineStr">
        <is>
          <t>NVDA UW Equity</t>
        </is>
      </c>
      <c r="C2069" t="inlineStr">
        <is>
          <t>BEST_SALES</t>
        </is>
      </c>
      <c r="D2069" t="inlineStr">
        <is>
          <t>26Y</t>
        </is>
      </c>
      <c r="E2069" t="inlineStr">
        <is>
          <t>Revenue estimate FY2026</t>
        </is>
      </c>
      <c r="F2069" s="53">
        <f>_xll.BDP("NVDA UW Equity","BEST_SALES","BEST_FPERIOD_OVERRIDE","26Y")</f>
        <v/>
      </c>
    </row>
    <row r="2070">
      <c r="A2070" t="inlineStr">
        <is>
          <t>NVDA</t>
        </is>
      </c>
      <c r="B2070" t="inlineStr">
        <is>
          <t>NVDA UW Equity</t>
        </is>
      </c>
      <c r="C2070" t="inlineStr">
        <is>
          <t>BEST_EBIT</t>
        </is>
      </c>
      <c r="D2070" t="inlineStr">
        <is>
          <t>26Y</t>
        </is>
      </c>
      <c r="E2070" t="inlineStr">
        <is>
          <t>EBIT estimate FY2026</t>
        </is>
      </c>
      <c r="F2070" s="53">
        <f>_xll.BDP("NVDA UW Equity","BEST_EBIT","BEST_FPERIOD_OVERRIDE","26Y")</f>
        <v/>
      </c>
    </row>
    <row r="2071">
      <c r="A2071" t="inlineStr">
        <is>
          <t>NVDA</t>
        </is>
      </c>
      <c r="B2071" t="inlineStr">
        <is>
          <t>NVDA UW Equity</t>
        </is>
      </c>
      <c r="C2071" t="inlineStr">
        <is>
          <t>BEST_EPS</t>
        </is>
      </c>
      <c r="D2071" t="inlineStr">
        <is>
          <t>27Y</t>
        </is>
      </c>
      <c r="E2071" t="inlineStr">
        <is>
          <t>EPS estimate FY2027</t>
        </is>
      </c>
      <c r="F2071" s="53">
        <f>_xll.BDP("NVDA UW Equity","BEST_EPS","BEST_FPERIOD_OVERRIDE","27Y")</f>
        <v/>
      </c>
    </row>
    <row r="2072">
      <c r="A2072" t="inlineStr">
        <is>
          <t>NVDA</t>
        </is>
      </c>
      <c r="B2072" t="inlineStr">
        <is>
          <t>NVDA UW Equity</t>
        </is>
      </c>
      <c r="C2072" t="inlineStr">
        <is>
          <t>BEST_SALES</t>
        </is>
      </c>
      <c r="D2072" t="inlineStr">
        <is>
          <t>27Y</t>
        </is>
      </c>
      <c r="E2072" t="inlineStr">
        <is>
          <t>Revenue estimate FY2027</t>
        </is>
      </c>
      <c r="F2072" s="53">
        <f>_xll.BDP("NVDA UW Equity","BEST_SALES","BEST_FPERIOD_OVERRIDE","27Y")</f>
        <v/>
      </c>
    </row>
    <row r="2073">
      <c r="A2073" t="inlineStr">
        <is>
          <t>NVDA</t>
        </is>
      </c>
      <c r="B2073" t="inlineStr">
        <is>
          <t>NVDA UW Equity</t>
        </is>
      </c>
      <c r="C2073" t="inlineStr">
        <is>
          <t>BEST_EBIT</t>
        </is>
      </c>
      <c r="D2073" t="inlineStr">
        <is>
          <t>27Y</t>
        </is>
      </c>
      <c r="E2073" t="inlineStr">
        <is>
          <t>EBIT estimate FY2027</t>
        </is>
      </c>
      <c r="F2073" s="53">
        <f>_xll.BDP("NVDA UW Equity","BEST_EBIT","BEST_FPERIOD_OVERRIDE","27Y")</f>
        <v/>
      </c>
    </row>
    <row r="2074">
      <c r="A2074" t="inlineStr">
        <is>
          <t>NVDA</t>
        </is>
      </c>
      <c r="B2074" t="inlineStr">
        <is>
          <t>NVDA UW Equity</t>
        </is>
      </c>
      <c r="C2074" t="inlineStr">
        <is>
          <t>BEST_EPS</t>
        </is>
      </c>
      <c r="D2074" t="inlineStr">
        <is>
          <t>28Y</t>
        </is>
      </c>
      <c r="E2074" t="inlineStr">
        <is>
          <t>EPS estimate FY2028</t>
        </is>
      </c>
      <c r="F2074" s="53">
        <f>_xll.BDP("NVDA UW Equity","BEST_EPS","BEST_FPERIOD_OVERRIDE","28Y")</f>
        <v/>
      </c>
    </row>
    <row r="2075">
      <c r="A2075" t="inlineStr">
        <is>
          <t>NVDA</t>
        </is>
      </c>
      <c r="B2075" t="inlineStr">
        <is>
          <t>NVDA UW Equity</t>
        </is>
      </c>
      <c r="C2075" t="inlineStr">
        <is>
          <t>BEST_SALES</t>
        </is>
      </c>
      <c r="D2075" t="inlineStr">
        <is>
          <t>28Y</t>
        </is>
      </c>
      <c r="E2075" t="inlineStr">
        <is>
          <t>Revenue estimate FY2028</t>
        </is>
      </c>
      <c r="F2075" s="53">
        <f>_xll.BDP("NVDA UW Equity","BEST_SALES","BEST_FPERIOD_OVERRIDE","28Y")</f>
        <v/>
      </c>
    </row>
    <row r="2076">
      <c r="A2076" t="inlineStr">
        <is>
          <t>NVDA</t>
        </is>
      </c>
      <c r="B2076" t="inlineStr">
        <is>
          <t>NVDA UW Equity</t>
        </is>
      </c>
      <c r="C2076" t="inlineStr">
        <is>
          <t>BEST_EBIT</t>
        </is>
      </c>
      <c r="D2076" t="inlineStr">
        <is>
          <t>28Y</t>
        </is>
      </c>
      <c r="E2076" t="inlineStr">
        <is>
          <t>EBIT estimate FY2028</t>
        </is>
      </c>
      <c r="F2076" s="53">
        <f>_xll.BDP("NVDA UW Equity","BEST_EBIT","BEST_FPERIOD_OVERRIDE","28Y")</f>
        <v/>
      </c>
    </row>
    <row r="2077">
      <c r="A2077" t="inlineStr">
        <is>
          <t>AMD</t>
        </is>
      </c>
      <c r="B2077" t="inlineStr">
        <is>
          <t>AMD UW Equity</t>
        </is>
      </c>
      <c r="C2077" t="inlineStr">
        <is>
          <t>PX_LAST</t>
        </is>
      </c>
      <c r="E2077" t="inlineStr">
        <is>
          <t>Last price</t>
        </is>
      </c>
      <c r="F2077" s="53">
        <f>_xll.BDP("AMD UW Equity","PX_LAST")</f>
        <v/>
      </c>
    </row>
    <row r="2078">
      <c r="A2078" t="inlineStr">
        <is>
          <t>AMD</t>
        </is>
      </c>
      <c r="B2078" t="inlineStr">
        <is>
          <t>AMD UW Equity</t>
        </is>
      </c>
      <c r="C2078" t="inlineStr">
        <is>
          <t>CUR_MKT_CAP</t>
        </is>
      </c>
      <c r="E2078" t="inlineStr">
        <is>
          <t>Market cap (raw)</t>
        </is>
      </c>
      <c r="F2078" s="53">
        <f>_xll.BDP("AMD UW Equity","CUR_MKT_CAP")</f>
        <v/>
      </c>
    </row>
    <row r="2079">
      <c r="A2079" t="inlineStr">
        <is>
          <t>AMD</t>
        </is>
      </c>
      <c r="B2079" t="inlineStr">
        <is>
          <t>AMD UW Equity</t>
        </is>
      </c>
      <c r="C2079" t="inlineStr">
        <is>
          <t>CHG_PCT_YTD</t>
        </is>
      </c>
      <c r="E2079" t="inlineStr">
        <is>
          <t>YTD price change %</t>
        </is>
      </c>
      <c r="F2079" s="53">
        <f>_xll.BDP("AMD UW Equity","CHG_PCT_YTD")</f>
        <v/>
      </c>
    </row>
    <row r="2080">
      <c r="A2080" t="inlineStr">
        <is>
          <t>AMD</t>
        </is>
      </c>
      <c r="B2080" t="inlineStr">
        <is>
          <t>AMD UW Equity</t>
        </is>
      </c>
      <c r="C2080" t="inlineStr">
        <is>
          <t>NET_DEBT_TO_EBITDA</t>
        </is>
      </c>
      <c r="E2080" t="inlineStr">
        <is>
          <t>Net debt / EBITDA</t>
        </is>
      </c>
      <c r="F2080" s="53">
        <f>_xll.BDP("AMD UW Equity","NET_DEBT_TO_EBITDA")</f>
        <v/>
      </c>
    </row>
    <row r="2081">
      <c r="A2081" t="inlineStr">
        <is>
          <t>AMD</t>
        </is>
      </c>
      <c r="B2081" t="inlineStr">
        <is>
          <t>AMD UW Equity</t>
        </is>
      </c>
      <c r="C2081" t="inlineStr">
        <is>
          <t>RETURN_ON_INV_CAPITAL</t>
        </is>
      </c>
      <c r="E2081" t="inlineStr">
        <is>
          <t>ROIC (LTM)</t>
        </is>
      </c>
      <c r="F2081" s="53">
        <f>_xll.BDP("AMD UW Equity","RETURN_ON_INV_CAPITAL")</f>
        <v/>
      </c>
    </row>
    <row r="2082">
      <c r="A2082" t="inlineStr">
        <is>
          <t>AMD</t>
        </is>
      </c>
      <c r="B2082" t="inlineStr">
        <is>
          <t>AMD UW Equity</t>
        </is>
      </c>
      <c r="C2082" t="inlineStr">
        <is>
          <t>TRAIL_12M_OPER_INC</t>
        </is>
      </c>
      <c r="E2082" t="inlineStr">
        <is>
          <t>LTM operating income</t>
        </is>
      </c>
      <c r="F2082" s="53">
        <f>_xll.BDP("AMD UW Equity","TRAIL_12M_OPER_INC")</f>
        <v/>
      </c>
    </row>
    <row r="2083">
      <c r="A2083" t="inlineStr">
        <is>
          <t>AMD</t>
        </is>
      </c>
      <c r="B2083" t="inlineStr">
        <is>
          <t>AMD UW Equity</t>
        </is>
      </c>
      <c r="C2083" t="inlineStr">
        <is>
          <t>TRAIL_12M_EBITDA</t>
        </is>
      </c>
      <c r="E2083" t="inlineStr">
        <is>
          <t>LTM EBITDA</t>
        </is>
      </c>
      <c r="F2083" s="53">
        <f>_xll.BDP("AMD UW Equity","TRAIL_12M_EBITDA")</f>
        <v/>
      </c>
    </row>
    <row r="2084">
      <c r="A2084" t="inlineStr">
        <is>
          <t>AMD</t>
        </is>
      </c>
      <c r="B2084" t="inlineStr">
        <is>
          <t>AMD UW Equity</t>
        </is>
      </c>
      <c r="C2084" t="inlineStr">
        <is>
          <t>SHORT_AND_LONG_TERM_DEBT</t>
        </is>
      </c>
      <c r="E2084" t="inlineStr">
        <is>
          <t>Total debt</t>
        </is>
      </c>
      <c r="F2084" s="53">
        <f>_xll.BDP("AMD UW Equity","SHORT_AND_LONG_TERM_DEBT")</f>
        <v/>
      </c>
    </row>
    <row r="2085">
      <c r="A2085" t="inlineStr">
        <is>
          <t>AMD</t>
        </is>
      </c>
      <c r="B2085" t="inlineStr">
        <is>
          <t>AMD UW Equity</t>
        </is>
      </c>
      <c r="C2085" t="inlineStr">
        <is>
          <t>TOTAL_EQUITY</t>
        </is>
      </c>
      <c r="E2085" t="inlineStr">
        <is>
          <t>Total equity</t>
        </is>
      </c>
      <c r="F2085" s="53">
        <f>_xll.BDP("AMD UW Equity","TOTAL_EQUITY")</f>
        <v/>
      </c>
    </row>
    <row r="2086">
      <c r="A2086" t="inlineStr">
        <is>
          <t>AMD</t>
        </is>
      </c>
      <c r="B2086" t="inlineStr">
        <is>
          <t>AMD UW Equity</t>
        </is>
      </c>
      <c r="C2086" t="inlineStr">
        <is>
          <t>BS_CASH_NEAR_CASH_ITEM</t>
        </is>
      </c>
      <c r="E2086" t="inlineStr">
        <is>
          <t>Cash &amp; equivalents</t>
        </is>
      </c>
      <c r="F2086" s="53">
        <f>_xll.BDP("AMD UW Equity","BS_CASH_NEAR_CASH_ITEM")</f>
        <v/>
      </c>
    </row>
    <row r="2087">
      <c r="A2087" t="inlineStr">
        <is>
          <t>AMD</t>
        </is>
      </c>
      <c r="B2087" t="inlineStr">
        <is>
          <t>AMD UW Equity</t>
        </is>
      </c>
      <c r="C2087" t="inlineStr">
        <is>
          <t>BEST_EPS</t>
        </is>
      </c>
      <c r="D2087" t="inlineStr">
        <is>
          <t>24Y</t>
        </is>
      </c>
      <c r="E2087" t="inlineStr">
        <is>
          <t>EPS estimate FY2024</t>
        </is>
      </c>
      <c r="F2087" s="53">
        <f>_xll.BDP("AMD UW Equity","BEST_EPS","BEST_FPERIOD_OVERRIDE","24Y")</f>
        <v/>
      </c>
    </row>
    <row r="2088">
      <c r="A2088" t="inlineStr">
        <is>
          <t>AMD</t>
        </is>
      </c>
      <c r="B2088" t="inlineStr">
        <is>
          <t>AMD UW Equity</t>
        </is>
      </c>
      <c r="C2088" t="inlineStr">
        <is>
          <t>BEST_SALES</t>
        </is>
      </c>
      <c r="D2088" t="inlineStr">
        <is>
          <t>24Y</t>
        </is>
      </c>
      <c r="E2088" t="inlineStr">
        <is>
          <t>Revenue estimate FY2024</t>
        </is>
      </c>
      <c r="F2088" s="53">
        <f>_xll.BDP("AMD UW Equity","BEST_SALES","BEST_FPERIOD_OVERRIDE","24Y")</f>
        <v/>
      </c>
    </row>
    <row r="2089">
      <c r="A2089" t="inlineStr">
        <is>
          <t>AMD</t>
        </is>
      </c>
      <c r="B2089" t="inlineStr">
        <is>
          <t>AMD UW Equity</t>
        </is>
      </c>
      <c r="C2089" t="inlineStr">
        <is>
          <t>BEST_EBIT</t>
        </is>
      </c>
      <c r="D2089" t="inlineStr">
        <is>
          <t>24Y</t>
        </is>
      </c>
      <c r="E2089" t="inlineStr">
        <is>
          <t>EBIT estimate FY2024</t>
        </is>
      </c>
      <c r="F2089" s="53">
        <f>_xll.BDP("AMD UW Equity","BEST_EBIT","BEST_FPERIOD_OVERRIDE","24Y")</f>
        <v/>
      </c>
    </row>
    <row r="2090">
      <c r="A2090" t="inlineStr">
        <is>
          <t>AMD</t>
        </is>
      </c>
      <c r="B2090" t="inlineStr">
        <is>
          <t>AMD UW Equity</t>
        </is>
      </c>
      <c r="C2090" t="inlineStr">
        <is>
          <t>BEST_EPS</t>
        </is>
      </c>
      <c r="D2090" t="inlineStr">
        <is>
          <t>25Y</t>
        </is>
      </c>
      <c r="E2090" t="inlineStr">
        <is>
          <t>EPS estimate FY2025</t>
        </is>
      </c>
      <c r="F2090" s="53">
        <f>_xll.BDP("AMD UW Equity","BEST_EPS","BEST_FPERIOD_OVERRIDE","25Y")</f>
        <v/>
      </c>
    </row>
    <row r="2091">
      <c r="A2091" t="inlineStr">
        <is>
          <t>AMD</t>
        </is>
      </c>
      <c r="B2091" t="inlineStr">
        <is>
          <t>AMD UW Equity</t>
        </is>
      </c>
      <c r="C2091" t="inlineStr">
        <is>
          <t>BEST_SALES</t>
        </is>
      </c>
      <c r="D2091" t="inlineStr">
        <is>
          <t>25Y</t>
        </is>
      </c>
      <c r="E2091" t="inlineStr">
        <is>
          <t>Revenue estimate FY2025</t>
        </is>
      </c>
      <c r="F2091" s="53">
        <f>_xll.BDP("AMD UW Equity","BEST_SALES","BEST_FPERIOD_OVERRIDE","25Y")</f>
        <v/>
      </c>
    </row>
    <row r="2092">
      <c r="A2092" t="inlineStr">
        <is>
          <t>AMD</t>
        </is>
      </c>
      <c r="B2092" t="inlineStr">
        <is>
          <t>AMD UW Equity</t>
        </is>
      </c>
      <c r="C2092" t="inlineStr">
        <is>
          <t>BEST_EBIT</t>
        </is>
      </c>
      <c r="D2092" t="inlineStr">
        <is>
          <t>25Y</t>
        </is>
      </c>
      <c r="E2092" t="inlineStr">
        <is>
          <t>EBIT estimate FY2025</t>
        </is>
      </c>
      <c r="F2092" s="53">
        <f>_xll.BDP("AMD UW Equity","BEST_EBIT","BEST_FPERIOD_OVERRIDE","25Y")</f>
        <v/>
      </c>
    </row>
    <row r="2093">
      <c r="A2093" t="inlineStr">
        <is>
          <t>AMD</t>
        </is>
      </c>
      <c r="B2093" t="inlineStr">
        <is>
          <t>AMD UW Equity</t>
        </is>
      </c>
      <c r="C2093" t="inlineStr">
        <is>
          <t>BEST_EPS</t>
        </is>
      </c>
      <c r="D2093" t="inlineStr">
        <is>
          <t>26Y</t>
        </is>
      </c>
      <c r="E2093" t="inlineStr">
        <is>
          <t>EPS estimate FY2026</t>
        </is>
      </c>
      <c r="F2093" s="53">
        <f>_xll.BDP("AMD UW Equity","BEST_EPS","BEST_FPERIOD_OVERRIDE","26Y")</f>
        <v/>
      </c>
    </row>
    <row r="2094">
      <c r="A2094" t="inlineStr">
        <is>
          <t>AMD</t>
        </is>
      </c>
      <c r="B2094" t="inlineStr">
        <is>
          <t>AMD UW Equity</t>
        </is>
      </c>
      <c r="C2094" t="inlineStr">
        <is>
          <t>BEST_SALES</t>
        </is>
      </c>
      <c r="D2094" t="inlineStr">
        <is>
          <t>26Y</t>
        </is>
      </c>
      <c r="E2094" t="inlineStr">
        <is>
          <t>Revenue estimate FY2026</t>
        </is>
      </c>
      <c r="F2094" s="53">
        <f>_xll.BDP("AMD UW Equity","BEST_SALES","BEST_FPERIOD_OVERRIDE","26Y")</f>
        <v/>
      </c>
    </row>
    <row r="2095">
      <c r="A2095" t="inlineStr">
        <is>
          <t>AMD</t>
        </is>
      </c>
      <c r="B2095" t="inlineStr">
        <is>
          <t>AMD UW Equity</t>
        </is>
      </c>
      <c r="C2095" t="inlineStr">
        <is>
          <t>BEST_EBIT</t>
        </is>
      </c>
      <c r="D2095" t="inlineStr">
        <is>
          <t>26Y</t>
        </is>
      </c>
      <c r="E2095" t="inlineStr">
        <is>
          <t>EBIT estimate FY2026</t>
        </is>
      </c>
      <c r="F2095" s="53">
        <f>_xll.BDP("AMD UW Equity","BEST_EBIT","BEST_FPERIOD_OVERRIDE","26Y")</f>
        <v/>
      </c>
    </row>
    <row r="2096">
      <c r="A2096" t="inlineStr">
        <is>
          <t>AMD</t>
        </is>
      </c>
      <c r="B2096" t="inlineStr">
        <is>
          <t>AMD UW Equity</t>
        </is>
      </c>
      <c r="C2096" t="inlineStr">
        <is>
          <t>BEST_EPS</t>
        </is>
      </c>
      <c r="D2096" t="inlineStr">
        <is>
          <t>27Y</t>
        </is>
      </c>
      <c r="E2096" t="inlineStr">
        <is>
          <t>EPS estimate FY2027</t>
        </is>
      </c>
      <c r="F2096" s="53">
        <f>_xll.BDP("AMD UW Equity","BEST_EPS","BEST_FPERIOD_OVERRIDE","27Y")</f>
        <v/>
      </c>
    </row>
    <row r="2097">
      <c r="A2097" t="inlineStr">
        <is>
          <t>AMD</t>
        </is>
      </c>
      <c r="B2097" t="inlineStr">
        <is>
          <t>AMD UW Equity</t>
        </is>
      </c>
      <c r="C2097" t="inlineStr">
        <is>
          <t>BEST_SALES</t>
        </is>
      </c>
      <c r="D2097" t="inlineStr">
        <is>
          <t>27Y</t>
        </is>
      </c>
      <c r="E2097" t="inlineStr">
        <is>
          <t>Revenue estimate FY2027</t>
        </is>
      </c>
      <c r="F2097" s="53">
        <f>_xll.BDP("AMD UW Equity","BEST_SALES","BEST_FPERIOD_OVERRIDE","27Y")</f>
        <v/>
      </c>
    </row>
    <row r="2098">
      <c r="A2098" t="inlineStr">
        <is>
          <t>AMD</t>
        </is>
      </c>
      <c r="B2098" t="inlineStr">
        <is>
          <t>AMD UW Equity</t>
        </is>
      </c>
      <c r="C2098" t="inlineStr">
        <is>
          <t>BEST_EBIT</t>
        </is>
      </c>
      <c r="D2098" t="inlineStr">
        <is>
          <t>27Y</t>
        </is>
      </c>
      <c r="E2098" t="inlineStr">
        <is>
          <t>EBIT estimate FY2027</t>
        </is>
      </c>
      <c r="F2098" s="53">
        <f>_xll.BDP("AMD UW Equity","BEST_EBIT","BEST_FPERIOD_OVERRIDE","27Y")</f>
        <v/>
      </c>
    </row>
    <row r="2099">
      <c r="A2099" t="inlineStr">
        <is>
          <t>AMD</t>
        </is>
      </c>
      <c r="B2099" t="inlineStr">
        <is>
          <t>AMD UW Equity</t>
        </is>
      </c>
      <c r="C2099" t="inlineStr">
        <is>
          <t>BEST_EPS</t>
        </is>
      </c>
      <c r="D2099" t="inlineStr">
        <is>
          <t>28Y</t>
        </is>
      </c>
      <c r="E2099" t="inlineStr">
        <is>
          <t>EPS estimate FY2028</t>
        </is>
      </c>
      <c r="F2099" s="53">
        <f>_xll.BDP("AMD UW Equity","BEST_EPS","BEST_FPERIOD_OVERRIDE","28Y")</f>
        <v/>
      </c>
    </row>
    <row r="2100">
      <c r="A2100" t="inlineStr">
        <is>
          <t>AMD</t>
        </is>
      </c>
      <c r="B2100" t="inlineStr">
        <is>
          <t>AMD UW Equity</t>
        </is>
      </c>
      <c r="C2100" t="inlineStr">
        <is>
          <t>BEST_SALES</t>
        </is>
      </c>
      <c r="D2100" t="inlineStr">
        <is>
          <t>28Y</t>
        </is>
      </c>
      <c r="E2100" t="inlineStr">
        <is>
          <t>Revenue estimate FY2028</t>
        </is>
      </c>
      <c r="F2100" s="53">
        <f>_xll.BDP("AMD UW Equity","BEST_SALES","BEST_FPERIOD_OVERRIDE","28Y")</f>
        <v/>
      </c>
    </row>
    <row r="2101">
      <c r="A2101" t="inlineStr">
        <is>
          <t>AMD</t>
        </is>
      </c>
      <c r="B2101" t="inlineStr">
        <is>
          <t>AMD UW Equity</t>
        </is>
      </c>
      <c r="C2101" t="inlineStr">
        <is>
          <t>BEST_EBIT</t>
        </is>
      </c>
      <c r="D2101" t="inlineStr">
        <is>
          <t>28Y</t>
        </is>
      </c>
      <c r="E2101" t="inlineStr">
        <is>
          <t>EBIT estimate FY2028</t>
        </is>
      </c>
      <c r="F2101" s="53">
        <f>_xll.BDP("AMD UW Equity","BEST_EBIT","BEST_FPERIOD_OVERRIDE","28Y")</f>
        <v/>
      </c>
    </row>
    <row r="2102">
      <c r="A2102" t="inlineStr">
        <is>
          <t>QCOM</t>
        </is>
      </c>
      <c r="B2102" t="inlineStr">
        <is>
          <t>QCOM UW Equity</t>
        </is>
      </c>
      <c r="C2102" t="inlineStr">
        <is>
          <t>PX_LAST</t>
        </is>
      </c>
      <c r="E2102" t="inlineStr">
        <is>
          <t>Last price</t>
        </is>
      </c>
      <c r="F2102" s="53">
        <f>_xll.BDP("QCOM UW Equity","PX_LAST")</f>
        <v/>
      </c>
    </row>
    <row r="2103">
      <c r="A2103" t="inlineStr">
        <is>
          <t>QCOM</t>
        </is>
      </c>
      <c r="B2103" t="inlineStr">
        <is>
          <t>QCOM UW Equity</t>
        </is>
      </c>
      <c r="C2103" t="inlineStr">
        <is>
          <t>CUR_MKT_CAP</t>
        </is>
      </c>
      <c r="E2103" t="inlineStr">
        <is>
          <t>Market cap (raw)</t>
        </is>
      </c>
      <c r="F2103" s="53">
        <f>_xll.BDP("QCOM UW Equity","CUR_MKT_CAP")</f>
        <v/>
      </c>
    </row>
    <row r="2104">
      <c r="A2104" t="inlineStr">
        <is>
          <t>QCOM</t>
        </is>
      </c>
      <c r="B2104" t="inlineStr">
        <is>
          <t>QCOM UW Equity</t>
        </is>
      </c>
      <c r="C2104" t="inlineStr">
        <is>
          <t>CHG_PCT_YTD</t>
        </is>
      </c>
      <c r="E2104" t="inlineStr">
        <is>
          <t>YTD price change %</t>
        </is>
      </c>
      <c r="F2104" s="53">
        <f>_xll.BDP("QCOM UW Equity","CHG_PCT_YTD")</f>
        <v/>
      </c>
    </row>
    <row r="2105">
      <c r="A2105" t="inlineStr">
        <is>
          <t>QCOM</t>
        </is>
      </c>
      <c r="B2105" t="inlineStr">
        <is>
          <t>QCOM UW Equity</t>
        </is>
      </c>
      <c r="C2105" t="inlineStr">
        <is>
          <t>NET_DEBT_TO_EBITDA</t>
        </is>
      </c>
      <c r="E2105" t="inlineStr">
        <is>
          <t>Net debt / EBITDA</t>
        </is>
      </c>
      <c r="F2105" s="53">
        <f>_xll.BDP("QCOM UW Equity","NET_DEBT_TO_EBITDA")</f>
        <v/>
      </c>
    </row>
    <row r="2106">
      <c r="A2106" t="inlineStr">
        <is>
          <t>QCOM</t>
        </is>
      </c>
      <c r="B2106" t="inlineStr">
        <is>
          <t>QCOM UW Equity</t>
        </is>
      </c>
      <c r="C2106" t="inlineStr">
        <is>
          <t>RETURN_ON_INV_CAPITAL</t>
        </is>
      </c>
      <c r="E2106" t="inlineStr">
        <is>
          <t>ROIC (LTM)</t>
        </is>
      </c>
      <c r="F2106" s="53">
        <f>_xll.BDP("QCOM UW Equity","RETURN_ON_INV_CAPITAL")</f>
        <v/>
      </c>
    </row>
    <row r="2107">
      <c r="A2107" t="inlineStr">
        <is>
          <t>QCOM</t>
        </is>
      </c>
      <c r="B2107" t="inlineStr">
        <is>
          <t>QCOM UW Equity</t>
        </is>
      </c>
      <c r="C2107" t="inlineStr">
        <is>
          <t>TRAIL_12M_OPER_INC</t>
        </is>
      </c>
      <c r="E2107" t="inlineStr">
        <is>
          <t>LTM operating income</t>
        </is>
      </c>
      <c r="F2107" s="53">
        <f>_xll.BDP("QCOM UW Equity","TRAIL_12M_OPER_INC")</f>
        <v/>
      </c>
    </row>
    <row r="2108">
      <c r="A2108" t="inlineStr">
        <is>
          <t>QCOM</t>
        </is>
      </c>
      <c r="B2108" t="inlineStr">
        <is>
          <t>QCOM UW Equity</t>
        </is>
      </c>
      <c r="C2108" t="inlineStr">
        <is>
          <t>TRAIL_12M_EBITDA</t>
        </is>
      </c>
      <c r="E2108" t="inlineStr">
        <is>
          <t>LTM EBITDA</t>
        </is>
      </c>
      <c r="F2108" s="53">
        <f>_xll.BDP("QCOM UW Equity","TRAIL_12M_EBITDA")</f>
        <v/>
      </c>
    </row>
    <row r="2109">
      <c r="A2109" t="inlineStr">
        <is>
          <t>QCOM</t>
        </is>
      </c>
      <c r="B2109" t="inlineStr">
        <is>
          <t>QCOM UW Equity</t>
        </is>
      </c>
      <c r="C2109" t="inlineStr">
        <is>
          <t>SHORT_AND_LONG_TERM_DEBT</t>
        </is>
      </c>
      <c r="E2109" t="inlineStr">
        <is>
          <t>Total debt</t>
        </is>
      </c>
      <c r="F2109" s="53">
        <f>_xll.BDP("QCOM UW Equity","SHORT_AND_LONG_TERM_DEBT")</f>
        <v/>
      </c>
    </row>
    <row r="2110">
      <c r="A2110" t="inlineStr">
        <is>
          <t>QCOM</t>
        </is>
      </c>
      <c r="B2110" t="inlineStr">
        <is>
          <t>QCOM UW Equity</t>
        </is>
      </c>
      <c r="C2110" t="inlineStr">
        <is>
          <t>TOTAL_EQUITY</t>
        </is>
      </c>
      <c r="E2110" t="inlineStr">
        <is>
          <t>Total equity</t>
        </is>
      </c>
      <c r="F2110" s="53">
        <f>_xll.BDP("QCOM UW Equity","TOTAL_EQUITY")</f>
        <v/>
      </c>
    </row>
    <row r="2111">
      <c r="A2111" t="inlineStr">
        <is>
          <t>QCOM</t>
        </is>
      </c>
      <c r="B2111" t="inlineStr">
        <is>
          <t>QCOM UW Equity</t>
        </is>
      </c>
      <c r="C2111" t="inlineStr">
        <is>
          <t>BS_CASH_NEAR_CASH_ITEM</t>
        </is>
      </c>
      <c r="E2111" t="inlineStr">
        <is>
          <t>Cash &amp; equivalents</t>
        </is>
      </c>
      <c r="F2111" s="53">
        <f>_xll.BDP("QCOM UW Equity","BS_CASH_NEAR_CASH_ITEM")</f>
        <v/>
      </c>
    </row>
    <row r="2112">
      <c r="A2112" t="inlineStr">
        <is>
          <t>QCOM</t>
        </is>
      </c>
      <c r="B2112" t="inlineStr">
        <is>
          <t>QCOM UW Equity</t>
        </is>
      </c>
      <c r="C2112" t="inlineStr">
        <is>
          <t>BEST_EPS</t>
        </is>
      </c>
      <c r="D2112" t="inlineStr">
        <is>
          <t>24Y</t>
        </is>
      </c>
      <c r="E2112" t="inlineStr">
        <is>
          <t>EPS estimate FY2024</t>
        </is>
      </c>
      <c r="F2112" s="53">
        <f>_xll.BDP("QCOM UW Equity","BEST_EPS","BEST_FPERIOD_OVERRIDE","24Y")</f>
        <v/>
      </c>
    </row>
    <row r="2113">
      <c r="A2113" t="inlineStr">
        <is>
          <t>QCOM</t>
        </is>
      </c>
      <c r="B2113" t="inlineStr">
        <is>
          <t>QCOM UW Equity</t>
        </is>
      </c>
      <c r="C2113" t="inlineStr">
        <is>
          <t>BEST_SALES</t>
        </is>
      </c>
      <c r="D2113" t="inlineStr">
        <is>
          <t>24Y</t>
        </is>
      </c>
      <c r="E2113" t="inlineStr">
        <is>
          <t>Revenue estimate FY2024</t>
        </is>
      </c>
      <c r="F2113" s="53">
        <f>_xll.BDP("QCOM UW Equity","BEST_SALES","BEST_FPERIOD_OVERRIDE","24Y")</f>
        <v/>
      </c>
    </row>
    <row r="2114">
      <c r="A2114" t="inlineStr">
        <is>
          <t>QCOM</t>
        </is>
      </c>
      <c r="B2114" t="inlineStr">
        <is>
          <t>QCOM UW Equity</t>
        </is>
      </c>
      <c r="C2114" t="inlineStr">
        <is>
          <t>BEST_EBIT</t>
        </is>
      </c>
      <c r="D2114" t="inlineStr">
        <is>
          <t>24Y</t>
        </is>
      </c>
      <c r="E2114" t="inlineStr">
        <is>
          <t>EBIT estimate FY2024</t>
        </is>
      </c>
      <c r="F2114" s="53">
        <f>_xll.BDP("QCOM UW Equity","BEST_EBIT","BEST_FPERIOD_OVERRIDE","24Y")</f>
        <v/>
      </c>
    </row>
    <row r="2115">
      <c r="A2115" t="inlineStr">
        <is>
          <t>QCOM</t>
        </is>
      </c>
      <c r="B2115" t="inlineStr">
        <is>
          <t>QCOM UW Equity</t>
        </is>
      </c>
      <c r="C2115" t="inlineStr">
        <is>
          <t>BEST_EPS</t>
        </is>
      </c>
      <c r="D2115" t="inlineStr">
        <is>
          <t>25Y</t>
        </is>
      </c>
      <c r="E2115" t="inlineStr">
        <is>
          <t>EPS estimate FY2025</t>
        </is>
      </c>
      <c r="F2115" s="53">
        <f>_xll.BDP("QCOM UW Equity","BEST_EPS","BEST_FPERIOD_OVERRIDE","25Y")</f>
        <v/>
      </c>
    </row>
    <row r="2116">
      <c r="A2116" t="inlineStr">
        <is>
          <t>QCOM</t>
        </is>
      </c>
      <c r="B2116" t="inlineStr">
        <is>
          <t>QCOM UW Equity</t>
        </is>
      </c>
      <c r="C2116" t="inlineStr">
        <is>
          <t>BEST_SALES</t>
        </is>
      </c>
      <c r="D2116" t="inlineStr">
        <is>
          <t>25Y</t>
        </is>
      </c>
      <c r="E2116" t="inlineStr">
        <is>
          <t>Revenue estimate FY2025</t>
        </is>
      </c>
      <c r="F2116" s="53">
        <f>_xll.BDP("QCOM UW Equity","BEST_SALES","BEST_FPERIOD_OVERRIDE","25Y")</f>
        <v/>
      </c>
    </row>
    <row r="2117">
      <c r="A2117" t="inlineStr">
        <is>
          <t>QCOM</t>
        </is>
      </c>
      <c r="B2117" t="inlineStr">
        <is>
          <t>QCOM UW Equity</t>
        </is>
      </c>
      <c r="C2117" t="inlineStr">
        <is>
          <t>BEST_EBIT</t>
        </is>
      </c>
      <c r="D2117" t="inlineStr">
        <is>
          <t>25Y</t>
        </is>
      </c>
      <c r="E2117" t="inlineStr">
        <is>
          <t>EBIT estimate FY2025</t>
        </is>
      </c>
      <c r="F2117" s="53">
        <f>_xll.BDP("QCOM UW Equity","BEST_EBIT","BEST_FPERIOD_OVERRIDE","25Y")</f>
        <v/>
      </c>
    </row>
    <row r="2118">
      <c r="A2118" t="inlineStr">
        <is>
          <t>QCOM</t>
        </is>
      </c>
      <c r="B2118" t="inlineStr">
        <is>
          <t>QCOM UW Equity</t>
        </is>
      </c>
      <c r="C2118" t="inlineStr">
        <is>
          <t>BEST_EPS</t>
        </is>
      </c>
      <c r="D2118" t="inlineStr">
        <is>
          <t>26Y</t>
        </is>
      </c>
      <c r="E2118" t="inlineStr">
        <is>
          <t>EPS estimate FY2026</t>
        </is>
      </c>
      <c r="F2118" s="53">
        <f>_xll.BDP("QCOM UW Equity","BEST_EPS","BEST_FPERIOD_OVERRIDE","26Y")</f>
        <v/>
      </c>
    </row>
    <row r="2119">
      <c r="A2119" t="inlineStr">
        <is>
          <t>QCOM</t>
        </is>
      </c>
      <c r="B2119" t="inlineStr">
        <is>
          <t>QCOM UW Equity</t>
        </is>
      </c>
      <c r="C2119" t="inlineStr">
        <is>
          <t>BEST_SALES</t>
        </is>
      </c>
      <c r="D2119" t="inlineStr">
        <is>
          <t>26Y</t>
        </is>
      </c>
      <c r="E2119" t="inlineStr">
        <is>
          <t>Revenue estimate FY2026</t>
        </is>
      </c>
      <c r="F2119" s="53">
        <f>_xll.BDP("QCOM UW Equity","BEST_SALES","BEST_FPERIOD_OVERRIDE","26Y")</f>
        <v/>
      </c>
    </row>
    <row r="2120">
      <c r="A2120" t="inlineStr">
        <is>
          <t>QCOM</t>
        </is>
      </c>
      <c r="B2120" t="inlineStr">
        <is>
          <t>QCOM UW Equity</t>
        </is>
      </c>
      <c r="C2120" t="inlineStr">
        <is>
          <t>BEST_EBIT</t>
        </is>
      </c>
      <c r="D2120" t="inlineStr">
        <is>
          <t>26Y</t>
        </is>
      </c>
      <c r="E2120" t="inlineStr">
        <is>
          <t>EBIT estimate FY2026</t>
        </is>
      </c>
      <c r="F2120" s="53">
        <f>_xll.BDP("QCOM UW Equity","BEST_EBIT","BEST_FPERIOD_OVERRIDE","26Y")</f>
        <v/>
      </c>
    </row>
    <row r="2121">
      <c r="A2121" t="inlineStr">
        <is>
          <t>QCOM</t>
        </is>
      </c>
      <c r="B2121" t="inlineStr">
        <is>
          <t>QCOM UW Equity</t>
        </is>
      </c>
      <c r="C2121" t="inlineStr">
        <is>
          <t>BEST_EPS</t>
        </is>
      </c>
      <c r="D2121" t="inlineStr">
        <is>
          <t>27Y</t>
        </is>
      </c>
      <c r="E2121" t="inlineStr">
        <is>
          <t>EPS estimate FY2027</t>
        </is>
      </c>
      <c r="F2121" s="53">
        <f>_xll.BDP("QCOM UW Equity","BEST_EPS","BEST_FPERIOD_OVERRIDE","27Y")</f>
        <v/>
      </c>
    </row>
    <row r="2122">
      <c r="A2122" t="inlineStr">
        <is>
          <t>QCOM</t>
        </is>
      </c>
      <c r="B2122" t="inlineStr">
        <is>
          <t>QCOM UW Equity</t>
        </is>
      </c>
      <c r="C2122" t="inlineStr">
        <is>
          <t>BEST_SALES</t>
        </is>
      </c>
      <c r="D2122" t="inlineStr">
        <is>
          <t>27Y</t>
        </is>
      </c>
      <c r="E2122" t="inlineStr">
        <is>
          <t>Revenue estimate FY2027</t>
        </is>
      </c>
      <c r="F2122" s="53">
        <f>_xll.BDP("QCOM UW Equity","BEST_SALES","BEST_FPERIOD_OVERRIDE","27Y")</f>
        <v/>
      </c>
    </row>
    <row r="2123">
      <c r="A2123" t="inlineStr">
        <is>
          <t>QCOM</t>
        </is>
      </c>
      <c r="B2123" t="inlineStr">
        <is>
          <t>QCOM UW Equity</t>
        </is>
      </c>
      <c r="C2123" t="inlineStr">
        <is>
          <t>BEST_EBIT</t>
        </is>
      </c>
      <c r="D2123" t="inlineStr">
        <is>
          <t>27Y</t>
        </is>
      </c>
      <c r="E2123" t="inlineStr">
        <is>
          <t>EBIT estimate FY2027</t>
        </is>
      </c>
      <c r="F2123" s="53">
        <f>_xll.BDP("QCOM UW Equity","BEST_EBIT","BEST_FPERIOD_OVERRIDE","27Y")</f>
        <v/>
      </c>
    </row>
    <row r="2124">
      <c r="A2124" t="inlineStr">
        <is>
          <t>QCOM</t>
        </is>
      </c>
      <c r="B2124" t="inlineStr">
        <is>
          <t>QCOM UW Equity</t>
        </is>
      </c>
      <c r="C2124" t="inlineStr">
        <is>
          <t>BEST_EPS</t>
        </is>
      </c>
      <c r="D2124" t="inlineStr">
        <is>
          <t>28Y</t>
        </is>
      </c>
      <c r="E2124" t="inlineStr">
        <is>
          <t>EPS estimate FY2028</t>
        </is>
      </c>
      <c r="F2124" s="53">
        <f>_xll.BDP("QCOM UW Equity","BEST_EPS","BEST_FPERIOD_OVERRIDE","28Y")</f>
        <v/>
      </c>
    </row>
    <row r="2125">
      <c r="A2125" t="inlineStr">
        <is>
          <t>QCOM</t>
        </is>
      </c>
      <c r="B2125" t="inlineStr">
        <is>
          <t>QCOM UW Equity</t>
        </is>
      </c>
      <c r="C2125" t="inlineStr">
        <is>
          <t>BEST_SALES</t>
        </is>
      </c>
      <c r="D2125" t="inlineStr">
        <is>
          <t>28Y</t>
        </is>
      </c>
      <c r="E2125" t="inlineStr">
        <is>
          <t>Revenue estimate FY2028</t>
        </is>
      </c>
      <c r="F2125" s="53">
        <f>_xll.BDP("QCOM UW Equity","BEST_SALES","BEST_FPERIOD_OVERRIDE","28Y")</f>
        <v/>
      </c>
    </row>
    <row r="2126">
      <c r="A2126" t="inlineStr">
        <is>
          <t>QCOM</t>
        </is>
      </c>
      <c r="B2126" t="inlineStr">
        <is>
          <t>QCOM UW Equity</t>
        </is>
      </c>
      <c r="C2126" t="inlineStr">
        <is>
          <t>BEST_EBIT</t>
        </is>
      </c>
      <c r="D2126" t="inlineStr">
        <is>
          <t>28Y</t>
        </is>
      </c>
      <c r="E2126" t="inlineStr">
        <is>
          <t>EBIT estimate FY2028</t>
        </is>
      </c>
      <c r="F2126" s="53">
        <f>_xll.BDP("QCOM UW Equity","BEST_EBIT","BEST_FPERIOD_OVERRIDE","28Y")</f>
        <v/>
      </c>
    </row>
    <row r="2127">
      <c r="A2127" t="inlineStr">
        <is>
          <t>ARM</t>
        </is>
      </c>
      <c r="B2127" t="inlineStr">
        <is>
          <t>ARM UW Equity</t>
        </is>
      </c>
      <c r="C2127" t="inlineStr">
        <is>
          <t>PX_LAST</t>
        </is>
      </c>
      <c r="E2127" t="inlineStr">
        <is>
          <t>Last price</t>
        </is>
      </c>
      <c r="F2127" s="53">
        <f>_xll.BDP("ARM UW Equity","PX_LAST")</f>
        <v/>
      </c>
    </row>
    <row r="2128">
      <c r="A2128" t="inlineStr">
        <is>
          <t>ARM</t>
        </is>
      </c>
      <c r="B2128" t="inlineStr">
        <is>
          <t>ARM UW Equity</t>
        </is>
      </c>
      <c r="C2128" t="inlineStr">
        <is>
          <t>CUR_MKT_CAP</t>
        </is>
      </c>
      <c r="E2128" t="inlineStr">
        <is>
          <t>Market cap (raw)</t>
        </is>
      </c>
      <c r="F2128" s="53">
        <f>_xll.BDP("ARM UW Equity","CUR_MKT_CAP")</f>
        <v/>
      </c>
    </row>
    <row r="2129">
      <c r="A2129" t="inlineStr">
        <is>
          <t>ARM</t>
        </is>
      </c>
      <c r="B2129" t="inlineStr">
        <is>
          <t>ARM UW Equity</t>
        </is>
      </c>
      <c r="C2129" t="inlineStr">
        <is>
          <t>CHG_PCT_YTD</t>
        </is>
      </c>
      <c r="E2129" t="inlineStr">
        <is>
          <t>YTD price change %</t>
        </is>
      </c>
      <c r="F2129" s="53">
        <f>_xll.BDP("ARM UW Equity","CHG_PCT_YTD")</f>
        <v/>
      </c>
    </row>
    <row r="2130">
      <c r="A2130" t="inlineStr">
        <is>
          <t>ARM</t>
        </is>
      </c>
      <c r="B2130" t="inlineStr">
        <is>
          <t>ARM UW Equity</t>
        </is>
      </c>
      <c r="C2130" t="inlineStr">
        <is>
          <t>NET_DEBT_TO_EBITDA</t>
        </is>
      </c>
      <c r="E2130" t="inlineStr">
        <is>
          <t>Net debt / EBITDA</t>
        </is>
      </c>
      <c r="F2130" s="53">
        <f>_xll.BDP("ARM UW Equity","NET_DEBT_TO_EBITDA")</f>
        <v/>
      </c>
    </row>
    <row r="2131">
      <c r="A2131" t="inlineStr">
        <is>
          <t>ARM</t>
        </is>
      </c>
      <c r="B2131" t="inlineStr">
        <is>
          <t>ARM UW Equity</t>
        </is>
      </c>
      <c r="C2131" t="inlineStr">
        <is>
          <t>RETURN_ON_INV_CAPITAL</t>
        </is>
      </c>
      <c r="E2131" t="inlineStr">
        <is>
          <t>ROIC (LTM)</t>
        </is>
      </c>
      <c r="F2131" s="53">
        <f>_xll.BDP("ARM UW Equity","RETURN_ON_INV_CAPITAL")</f>
        <v/>
      </c>
    </row>
    <row r="2132">
      <c r="A2132" t="inlineStr">
        <is>
          <t>ARM</t>
        </is>
      </c>
      <c r="B2132" t="inlineStr">
        <is>
          <t>ARM UW Equity</t>
        </is>
      </c>
      <c r="C2132" t="inlineStr">
        <is>
          <t>TRAIL_12M_OPER_INC</t>
        </is>
      </c>
      <c r="E2132" t="inlineStr">
        <is>
          <t>LTM operating income</t>
        </is>
      </c>
      <c r="F2132" s="53">
        <f>_xll.BDP("ARM UW Equity","TRAIL_12M_OPER_INC")</f>
        <v/>
      </c>
    </row>
    <row r="2133">
      <c r="A2133" t="inlineStr">
        <is>
          <t>ARM</t>
        </is>
      </c>
      <c r="B2133" t="inlineStr">
        <is>
          <t>ARM UW Equity</t>
        </is>
      </c>
      <c r="C2133" t="inlineStr">
        <is>
          <t>TRAIL_12M_EBITDA</t>
        </is>
      </c>
      <c r="E2133" t="inlineStr">
        <is>
          <t>LTM EBITDA</t>
        </is>
      </c>
      <c r="F2133" s="53">
        <f>_xll.BDP("ARM UW Equity","TRAIL_12M_EBITDA")</f>
        <v/>
      </c>
    </row>
    <row r="2134">
      <c r="A2134" t="inlineStr">
        <is>
          <t>ARM</t>
        </is>
      </c>
      <c r="B2134" t="inlineStr">
        <is>
          <t>ARM UW Equity</t>
        </is>
      </c>
      <c r="C2134" t="inlineStr">
        <is>
          <t>SHORT_AND_LONG_TERM_DEBT</t>
        </is>
      </c>
      <c r="E2134" t="inlineStr">
        <is>
          <t>Total debt</t>
        </is>
      </c>
      <c r="F2134" s="53">
        <f>_xll.BDP("ARM UW Equity","SHORT_AND_LONG_TERM_DEBT")</f>
        <v/>
      </c>
    </row>
    <row r="2135">
      <c r="A2135" t="inlineStr">
        <is>
          <t>ARM</t>
        </is>
      </c>
      <c r="B2135" t="inlineStr">
        <is>
          <t>ARM UW Equity</t>
        </is>
      </c>
      <c r="C2135" t="inlineStr">
        <is>
          <t>TOTAL_EQUITY</t>
        </is>
      </c>
      <c r="E2135" t="inlineStr">
        <is>
          <t>Total equity</t>
        </is>
      </c>
      <c r="F2135" s="53">
        <f>_xll.BDP("ARM UW Equity","TOTAL_EQUITY")</f>
        <v/>
      </c>
    </row>
    <row r="2136">
      <c r="A2136" t="inlineStr">
        <is>
          <t>ARM</t>
        </is>
      </c>
      <c r="B2136" t="inlineStr">
        <is>
          <t>ARM UW Equity</t>
        </is>
      </c>
      <c r="C2136" t="inlineStr">
        <is>
          <t>BS_CASH_NEAR_CASH_ITEM</t>
        </is>
      </c>
      <c r="E2136" t="inlineStr">
        <is>
          <t>Cash &amp; equivalents</t>
        </is>
      </c>
      <c r="F2136" s="53">
        <f>_xll.BDP("ARM UW Equity","BS_CASH_NEAR_CASH_ITEM")</f>
        <v/>
      </c>
    </row>
    <row r="2137">
      <c r="A2137" t="inlineStr">
        <is>
          <t>ARM</t>
        </is>
      </c>
      <c r="B2137" t="inlineStr">
        <is>
          <t>ARM UW Equity</t>
        </is>
      </c>
      <c r="C2137" t="inlineStr">
        <is>
          <t>BEST_EPS</t>
        </is>
      </c>
      <c r="D2137" t="inlineStr">
        <is>
          <t>24Y</t>
        </is>
      </c>
      <c r="E2137" t="inlineStr">
        <is>
          <t>EPS estimate FY2024</t>
        </is>
      </c>
      <c r="F2137" s="53">
        <f>_xll.BDP("ARM UW Equity","BEST_EPS","BEST_FPERIOD_OVERRIDE","24Y")</f>
        <v/>
      </c>
    </row>
    <row r="2138">
      <c r="A2138" t="inlineStr">
        <is>
          <t>ARM</t>
        </is>
      </c>
      <c r="B2138" t="inlineStr">
        <is>
          <t>ARM UW Equity</t>
        </is>
      </c>
      <c r="C2138" t="inlineStr">
        <is>
          <t>BEST_SALES</t>
        </is>
      </c>
      <c r="D2138" t="inlineStr">
        <is>
          <t>24Y</t>
        </is>
      </c>
      <c r="E2138" t="inlineStr">
        <is>
          <t>Revenue estimate FY2024</t>
        </is>
      </c>
      <c r="F2138" s="53">
        <f>_xll.BDP("ARM UW Equity","BEST_SALES","BEST_FPERIOD_OVERRIDE","24Y")</f>
        <v/>
      </c>
    </row>
    <row r="2139">
      <c r="A2139" t="inlineStr">
        <is>
          <t>ARM</t>
        </is>
      </c>
      <c r="B2139" t="inlineStr">
        <is>
          <t>ARM UW Equity</t>
        </is>
      </c>
      <c r="C2139" t="inlineStr">
        <is>
          <t>BEST_EBIT</t>
        </is>
      </c>
      <c r="D2139" t="inlineStr">
        <is>
          <t>24Y</t>
        </is>
      </c>
      <c r="E2139" t="inlineStr">
        <is>
          <t>EBIT estimate FY2024</t>
        </is>
      </c>
      <c r="F2139" s="53">
        <f>_xll.BDP("ARM UW Equity","BEST_EBIT","BEST_FPERIOD_OVERRIDE","24Y")</f>
        <v/>
      </c>
    </row>
    <row r="2140">
      <c r="A2140" t="inlineStr">
        <is>
          <t>ARM</t>
        </is>
      </c>
      <c r="B2140" t="inlineStr">
        <is>
          <t>ARM UW Equity</t>
        </is>
      </c>
      <c r="C2140" t="inlineStr">
        <is>
          <t>BEST_EPS</t>
        </is>
      </c>
      <c r="D2140" t="inlineStr">
        <is>
          <t>25Y</t>
        </is>
      </c>
      <c r="E2140" t="inlineStr">
        <is>
          <t>EPS estimate FY2025</t>
        </is>
      </c>
      <c r="F2140" s="53">
        <f>_xll.BDP("ARM UW Equity","BEST_EPS","BEST_FPERIOD_OVERRIDE","25Y")</f>
        <v/>
      </c>
    </row>
    <row r="2141">
      <c r="A2141" t="inlineStr">
        <is>
          <t>ARM</t>
        </is>
      </c>
      <c r="B2141" t="inlineStr">
        <is>
          <t>ARM UW Equity</t>
        </is>
      </c>
      <c r="C2141" t="inlineStr">
        <is>
          <t>BEST_SALES</t>
        </is>
      </c>
      <c r="D2141" t="inlineStr">
        <is>
          <t>25Y</t>
        </is>
      </c>
      <c r="E2141" t="inlineStr">
        <is>
          <t>Revenue estimate FY2025</t>
        </is>
      </c>
      <c r="F2141" s="53">
        <f>_xll.BDP("ARM UW Equity","BEST_SALES","BEST_FPERIOD_OVERRIDE","25Y")</f>
        <v/>
      </c>
    </row>
    <row r="2142">
      <c r="A2142" t="inlineStr">
        <is>
          <t>ARM</t>
        </is>
      </c>
      <c r="B2142" t="inlineStr">
        <is>
          <t>ARM UW Equity</t>
        </is>
      </c>
      <c r="C2142" t="inlineStr">
        <is>
          <t>BEST_EBIT</t>
        </is>
      </c>
      <c r="D2142" t="inlineStr">
        <is>
          <t>25Y</t>
        </is>
      </c>
      <c r="E2142" t="inlineStr">
        <is>
          <t>EBIT estimate FY2025</t>
        </is>
      </c>
      <c r="F2142" s="53">
        <f>_xll.BDP("ARM UW Equity","BEST_EBIT","BEST_FPERIOD_OVERRIDE","25Y")</f>
        <v/>
      </c>
    </row>
    <row r="2143">
      <c r="A2143" t="inlineStr">
        <is>
          <t>ARM</t>
        </is>
      </c>
      <c r="B2143" t="inlineStr">
        <is>
          <t>ARM UW Equity</t>
        </is>
      </c>
      <c r="C2143" t="inlineStr">
        <is>
          <t>BEST_EPS</t>
        </is>
      </c>
      <c r="D2143" t="inlineStr">
        <is>
          <t>26Y</t>
        </is>
      </c>
      <c r="E2143" t="inlineStr">
        <is>
          <t>EPS estimate FY2026</t>
        </is>
      </c>
      <c r="F2143" s="53">
        <f>_xll.BDP("ARM UW Equity","BEST_EPS","BEST_FPERIOD_OVERRIDE","26Y")</f>
        <v/>
      </c>
    </row>
    <row r="2144">
      <c r="A2144" t="inlineStr">
        <is>
          <t>ARM</t>
        </is>
      </c>
      <c r="B2144" t="inlineStr">
        <is>
          <t>ARM UW Equity</t>
        </is>
      </c>
      <c r="C2144" t="inlineStr">
        <is>
          <t>BEST_SALES</t>
        </is>
      </c>
      <c r="D2144" t="inlineStr">
        <is>
          <t>26Y</t>
        </is>
      </c>
      <c r="E2144" t="inlineStr">
        <is>
          <t>Revenue estimate FY2026</t>
        </is>
      </c>
      <c r="F2144" s="53">
        <f>_xll.BDP("ARM UW Equity","BEST_SALES","BEST_FPERIOD_OVERRIDE","26Y")</f>
        <v/>
      </c>
    </row>
    <row r="2145">
      <c r="A2145" t="inlineStr">
        <is>
          <t>ARM</t>
        </is>
      </c>
      <c r="B2145" t="inlineStr">
        <is>
          <t>ARM UW Equity</t>
        </is>
      </c>
      <c r="C2145" t="inlineStr">
        <is>
          <t>BEST_EBIT</t>
        </is>
      </c>
      <c r="D2145" t="inlineStr">
        <is>
          <t>26Y</t>
        </is>
      </c>
      <c r="E2145" t="inlineStr">
        <is>
          <t>EBIT estimate FY2026</t>
        </is>
      </c>
      <c r="F2145" s="53">
        <f>_xll.BDP("ARM UW Equity","BEST_EBIT","BEST_FPERIOD_OVERRIDE","26Y")</f>
        <v/>
      </c>
    </row>
    <row r="2146">
      <c r="A2146" t="inlineStr">
        <is>
          <t>ARM</t>
        </is>
      </c>
      <c r="B2146" t="inlineStr">
        <is>
          <t>ARM UW Equity</t>
        </is>
      </c>
      <c r="C2146" t="inlineStr">
        <is>
          <t>BEST_EPS</t>
        </is>
      </c>
      <c r="D2146" t="inlineStr">
        <is>
          <t>27Y</t>
        </is>
      </c>
      <c r="E2146" t="inlineStr">
        <is>
          <t>EPS estimate FY2027</t>
        </is>
      </c>
      <c r="F2146" s="53">
        <f>_xll.BDP("ARM UW Equity","BEST_EPS","BEST_FPERIOD_OVERRIDE","27Y")</f>
        <v/>
      </c>
    </row>
    <row r="2147">
      <c r="A2147" t="inlineStr">
        <is>
          <t>ARM</t>
        </is>
      </c>
      <c r="B2147" t="inlineStr">
        <is>
          <t>ARM UW Equity</t>
        </is>
      </c>
      <c r="C2147" t="inlineStr">
        <is>
          <t>BEST_SALES</t>
        </is>
      </c>
      <c r="D2147" t="inlineStr">
        <is>
          <t>27Y</t>
        </is>
      </c>
      <c r="E2147" t="inlineStr">
        <is>
          <t>Revenue estimate FY2027</t>
        </is>
      </c>
      <c r="F2147" s="53">
        <f>_xll.BDP("ARM UW Equity","BEST_SALES","BEST_FPERIOD_OVERRIDE","27Y")</f>
        <v/>
      </c>
    </row>
    <row r="2148">
      <c r="A2148" t="inlineStr">
        <is>
          <t>ARM</t>
        </is>
      </c>
      <c r="B2148" t="inlineStr">
        <is>
          <t>ARM UW Equity</t>
        </is>
      </c>
      <c r="C2148" t="inlineStr">
        <is>
          <t>BEST_EBIT</t>
        </is>
      </c>
      <c r="D2148" t="inlineStr">
        <is>
          <t>27Y</t>
        </is>
      </c>
      <c r="E2148" t="inlineStr">
        <is>
          <t>EBIT estimate FY2027</t>
        </is>
      </c>
      <c r="F2148" s="53">
        <f>_xll.BDP("ARM UW Equity","BEST_EBIT","BEST_FPERIOD_OVERRIDE","27Y")</f>
        <v/>
      </c>
    </row>
    <row r="2149">
      <c r="A2149" t="inlineStr">
        <is>
          <t>ARM</t>
        </is>
      </c>
      <c r="B2149" t="inlineStr">
        <is>
          <t>ARM UW Equity</t>
        </is>
      </c>
      <c r="C2149" t="inlineStr">
        <is>
          <t>BEST_EPS</t>
        </is>
      </c>
      <c r="D2149" t="inlineStr">
        <is>
          <t>28Y</t>
        </is>
      </c>
      <c r="E2149" t="inlineStr">
        <is>
          <t>EPS estimate FY2028</t>
        </is>
      </c>
      <c r="F2149" s="53">
        <f>_xll.BDP("ARM UW Equity","BEST_EPS","BEST_FPERIOD_OVERRIDE","28Y")</f>
        <v/>
      </c>
    </row>
    <row r="2150">
      <c r="A2150" t="inlineStr">
        <is>
          <t>ARM</t>
        </is>
      </c>
      <c r="B2150" t="inlineStr">
        <is>
          <t>ARM UW Equity</t>
        </is>
      </c>
      <c r="C2150" t="inlineStr">
        <is>
          <t>BEST_SALES</t>
        </is>
      </c>
      <c r="D2150" t="inlineStr">
        <is>
          <t>28Y</t>
        </is>
      </c>
      <c r="E2150" t="inlineStr">
        <is>
          <t>Revenue estimate FY2028</t>
        </is>
      </c>
      <c r="F2150" s="53">
        <f>_xll.BDP("ARM UW Equity","BEST_SALES","BEST_FPERIOD_OVERRIDE","28Y")</f>
        <v/>
      </c>
    </row>
    <row r="2151">
      <c r="A2151" t="inlineStr">
        <is>
          <t>ARM</t>
        </is>
      </c>
      <c r="B2151" t="inlineStr">
        <is>
          <t>ARM UW Equity</t>
        </is>
      </c>
      <c r="C2151" t="inlineStr">
        <is>
          <t>BEST_EBIT</t>
        </is>
      </c>
      <c r="D2151" t="inlineStr">
        <is>
          <t>28Y</t>
        </is>
      </c>
      <c r="E2151" t="inlineStr">
        <is>
          <t>EBIT estimate FY2028</t>
        </is>
      </c>
      <c r="F2151" s="53">
        <f>_xll.BDP("ARM UW Equity","BEST_EBIT","BEST_FPERIOD_OVERRIDE","28Y")</f>
        <v/>
      </c>
    </row>
    <row r="2152">
      <c r="A2152" t="inlineStr">
        <is>
          <t>INTC</t>
        </is>
      </c>
      <c r="B2152" t="inlineStr">
        <is>
          <t>INTC UW Equity</t>
        </is>
      </c>
      <c r="C2152" t="inlineStr">
        <is>
          <t>PX_LAST</t>
        </is>
      </c>
      <c r="E2152" t="inlineStr">
        <is>
          <t>Last price</t>
        </is>
      </c>
      <c r="F2152" s="53">
        <f>_xll.BDP("INTC UW Equity","PX_LAST")</f>
        <v/>
      </c>
    </row>
    <row r="2153">
      <c r="A2153" t="inlineStr">
        <is>
          <t>INTC</t>
        </is>
      </c>
      <c r="B2153" t="inlineStr">
        <is>
          <t>INTC UW Equity</t>
        </is>
      </c>
      <c r="C2153" t="inlineStr">
        <is>
          <t>CUR_MKT_CAP</t>
        </is>
      </c>
      <c r="E2153" t="inlineStr">
        <is>
          <t>Market cap (raw)</t>
        </is>
      </c>
      <c r="F2153" s="53">
        <f>_xll.BDP("INTC UW Equity","CUR_MKT_CAP")</f>
        <v/>
      </c>
    </row>
    <row r="2154">
      <c r="A2154" t="inlineStr">
        <is>
          <t>INTC</t>
        </is>
      </c>
      <c r="B2154" t="inlineStr">
        <is>
          <t>INTC UW Equity</t>
        </is>
      </c>
      <c r="C2154" t="inlineStr">
        <is>
          <t>CHG_PCT_YTD</t>
        </is>
      </c>
      <c r="E2154" t="inlineStr">
        <is>
          <t>YTD price change %</t>
        </is>
      </c>
      <c r="F2154" s="53">
        <f>_xll.BDP("INTC UW Equity","CHG_PCT_YTD")</f>
        <v/>
      </c>
    </row>
    <row r="2155">
      <c r="A2155" t="inlineStr">
        <is>
          <t>INTC</t>
        </is>
      </c>
      <c r="B2155" t="inlineStr">
        <is>
          <t>INTC UW Equity</t>
        </is>
      </c>
      <c r="C2155" t="inlineStr">
        <is>
          <t>NET_DEBT_TO_EBITDA</t>
        </is>
      </c>
      <c r="E2155" t="inlineStr">
        <is>
          <t>Net debt / EBITDA</t>
        </is>
      </c>
      <c r="F2155" s="53">
        <f>_xll.BDP("INTC UW Equity","NET_DEBT_TO_EBITDA")</f>
        <v/>
      </c>
    </row>
    <row r="2156">
      <c r="A2156" t="inlineStr">
        <is>
          <t>INTC</t>
        </is>
      </c>
      <c r="B2156" t="inlineStr">
        <is>
          <t>INTC UW Equity</t>
        </is>
      </c>
      <c r="C2156" t="inlineStr">
        <is>
          <t>RETURN_ON_INV_CAPITAL</t>
        </is>
      </c>
      <c r="E2156" t="inlineStr">
        <is>
          <t>ROIC (LTM)</t>
        </is>
      </c>
      <c r="F2156" s="53">
        <f>_xll.BDP("INTC UW Equity","RETURN_ON_INV_CAPITAL")</f>
        <v/>
      </c>
    </row>
    <row r="2157">
      <c r="A2157" t="inlineStr">
        <is>
          <t>INTC</t>
        </is>
      </c>
      <c r="B2157" t="inlineStr">
        <is>
          <t>INTC UW Equity</t>
        </is>
      </c>
      <c r="C2157" t="inlineStr">
        <is>
          <t>TRAIL_12M_OPER_INC</t>
        </is>
      </c>
      <c r="E2157" t="inlineStr">
        <is>
          <t>LTM operating income</t>
        </is>
      </c>
      <c r="F2157" s="53">
        <f>_xll.BDP("INTC UW Equity","TRAIL_12M_OPER_INC")</f>
        <v/>
      </c>
    </row>
    <row r="2158">
      <c r="A2158" t="inlineStr">
        <is>
          <t>INTC</t>
        </is>
      </c>
      <c r="B2158" t="inlineStr">
        <is>
          <t>INTC UW Equity</t>
        </is>
      </c>
      <c r="C2158" t="inlineStr">
        <is>
          <t>TRAIL_12M_EBITDA</t>
        </is>
      </c>
      <c r="E2158" t="inlineStr">
        <is>
          <t>LTM EBITDA</t>
        </is>
      </c>
      <c r="F2158" s="53">
        <f>_xll.BDP("INTC UW Equity","TRAIL_12M_EBITDA")</f>
        <v/>
      </c>
    </row>
    <row r="2159">
      <c r="A2159" t="inlineStr">
        <is>
          <t>INTC</t>
        </is>
      </c>
      <c r="B2159" t="inlineStr">
        <is>
          <t>INTC UW Equity</t>
        </is>
      </c>
      <c r="C2159" t="inlineStr">
        <is>
          <t>SHORT_AND_LONG_TERM_DEBT</t>
        </is>
      </c>
      <c r="E2159" t="inlineStr">
        <is>
          <t>Total debt</t>
        </is>
      </c>
      <c r="F2159" s="53">
        <f>_xll.BDP("INTC UW Equity","SHORT_AND_LONG_TERM_DEBT")</f>
        <v/>
      </c>
    </row>
    <row r="2160">
      <c r="A2160" t="inlineStr">
        <is>
          <t>INTC</t>
        </is>
      </c>
      <c r="B2160" t="inlineStr">
        <is>
          <t>INTC UW Equity</t>
        </is>
      </c>
      <c r="C2160" t="inlineStr">
        <is>
          <t>TOTAL_EQUITY</t>
        </is>
      </c>
      <c r="E2160" t="inlineStr">
        <is>
          <t>Total equity</t>
        </is>
      </c>
      <c r="F2160" s="53">
        <f>_xll.BDP("INTC UW Equity","TOTAL_EQUITY")</f>
        <v/>
      </c>
    </row>
    <row r="2161">
      <c r="A2161" t="inlineStr">
        <is>
          <t>INTC</t>
        </is>
      </c>
      <c r="B2161" t="inlineStr">
        <is>
          <t>INTC UW Equity</t>
        </is>
      </c>
      <c r="C2161" t="inlineStr">
        <is>
          <t>BS_CASH_NEAR_CASH_ITEM</t>
        </is>
      </c>
      <c r="E2161" t="inlineStr">
        <is>
          <t>Cash &amp; equivalents</t>
        </is>
      </c>
      <c r="F2161" s="53">
        <f>_xll.BDP("INTC UW Equity","BS_CASH_NEAR_CASH_ITEM")</f>
        <v/>
      </c>
    </row>
    <row r="2162">
      <c r="A2162" t="inlineStr">
        <is>
          <t>INTC</t>
        </is>
      </c>
      <c r="B2162" t="inlineStr">
        <is>
          <t>INTC UW Equity</t>
        </is>
      </c>
      <c r="C2162" t="inlineStr">
        <is>
          <t>BEST_EPS</t>
        </is>
      </c>
      <c r="D2162" t="inlineStr">
        <is>
          <t>24Y</t>
        </is>
      </c>
      <c r="E2162" t="inlineStr">
        <is>
          <t>EPS estimate FY2024</t>
        </is>
      </c>
      <c r="F2162" s="53">
        <f>_xll.BDP("INTC UW Equity","BEST_EPS","BEST_FPERIOD_OVERRIDE","24Y")</f>
        <v/>
      </c>
    </row>
    <row r="2163">
      <c r="A2163" t="inlineStr">
        <is>
          <t>INTC</t>
        </is>
      </c>
      <c r="B2163" t="inlineStr">
        <is>
          <t>INTC UW Equity</t>
        </is>
      </c>
      <c r="C2163" t="inlineStr">
        <is>
          <t>BEST_SALES</t>
        </is>
      </c>
      <c r="D2163" t="inlineStr">
        <is>
          <t>24Y</t>
        </is>
      </c>
      <c r="E2163" t="inlineStr">
        <is>
          <t>Revenue estimate FY2024</t>
        </is>
      </c>
      <c r="F2163" s="53">
        <f>_xll.BDP("INTC UW Equity","BEST_SALES","BEST_FPERIOD_OVERRIDE","24Y")</f>
        <v/>
      </c>
    </row>
    <row r="2164">
      <c r="A2164" t="inlineStr">
        <is>
          <t>INTC</t>
        </is>
      </c>
      <c r="B2164" t="inlineStr">
        <is>
          <t>INTC UW Equity</t>
        </is>
      </c>
      <c r="C2164" t="inlineStr">
        <is>
          <t>BEST_EBIT</t>
        </is>
      </c>
      <c r="D2164" t="inlineStr">
        <is>
          <t>24Y</t>
        </is>
      </c>
      <c r="E2164" t="inlineStr">
        <is>
          <t>EBIT estimate FY2024</t>
        </is>
      </c>
      <c r="F2164" s="53">
        <f>_xll.BDP("INTC UW Equity","BEST_EBIT","BEST_FPERIOD_OVERRIDE","24Y")</f>
        <v/>
      </c>
    </row>
    <row r="2165">
      <c r="A2165" t="inlineStr">
        <is>
          <t>INTC</t>
        </is>
      </c>
      <c r="B2165" t="inlineStr">
        <is>
          <t>INTC UW Equity</t>
        </is>
      </c>
      <c r="C2165" t="inlineStr">
        <is>
          <t>BEST_EPS</t>
        </is>
      </c>
      <c r="D2165" t="inlineStr">
        <is>
          <t>25Y</t>
        </is>
      </c>
      <c r="E2165" t="inlineStr">
        <is>
          <t>EPS estimate FY2025</t>
        </is>
      </c>
      <c r="F2165" s="53">
        <f>_xll.BDP("INTC UW Equity","BEST_EPS","BEST_FPERIOD_OVERRIDE","25Y")</f>
        <v/>
      </c>
    </row>
    <row r="2166">
      <c r="A2166" t="inlineStr">
        <is>
          <t>INTC</t>
        </is>
      </c>
      <c r="B2166" t="inlineStr">
        <is>
          <t>INTC UW Equity</t>
        </is>
      </c>
      <c r="C2166" t="inlineStr">
        <is>
          <t>BEST_SALES</t>
        </is>
      </c>
      <c r="D2166" t="inlineStr">
        <is>
          <t>25Y</t>
        </is>
      </c>
      <c r="E2166" t="inlineStr">
        <is>
          <t>Revenue estimate FY2025</t>
        </is>
      </c>
      <c r="F2166" s="53">
        <f>_xll.BDP("INTC UW Equity","BEST_SALES","BEST_FPERIOD_OVERRIDE","25Y")</f>
        <v/>
      </c>
    </row>
    <row r="2167">
      <c r="A2167" t="inlineStr">
        <is>
          <t>INTC</t>
        </is>
      </c>
      <c r="B2167" t="inlineStr">
        <is>
          <t>INTC UW Equity</t>
        </is>
      </c>
      <c r="C2167" t="inlineStr">
        <is>
          <t>BEST_EBIT</t>
        </is>
      </c>
      <c r="D2167" t="inlineStr">
        <is>
          <t>25Y</t>
        </is>
      </c>
      <c r="E2167" t="inlineStr">
        <is>
          <t>EBIT estimate FY2025</t>
        </is>
      </c>
      <c r="F2167" s="53">
        <f>_xll.BDP("INTC UW Equity","BEST_EBIT","BEST_FPERIOD_OVERRIDE","25Y")</f>
        <v/>
      </c>
    </row>
    <row r="2168">
      <c r="A2168" t="inlineStr">
        <is>
          <t>INTC</t>
        </is>
      </c>
      <c r="B2168" t="inlineStr">
        <is>
          <t>INTC UW Equity</t>
        </is>
      </c>
      <c r="C2168" t="inlineStr">
        <is>
          <t>BEST_EPS</t>
        </is>
      </c>
      <c r="D2168" t="inlineStr">
        <is>
          <t>26Y</t>
        </is>
      </c>
      <c r="E2168" t="inlineStr">
        <is>
          <t>EPS estimate FY2026</t>
        </is>
      </c>
      <c r="F2168" s="53">
        <f>_xll.BDP("INTC UW Equity","BEST_EPS","BEST_FPERIOD_OVERRIDE","26Y")</f>
        <v/>
      </c>
    </row>
    <row r="2169">
      <c r="A2169" t="inlineStr">
        <is>
          <t>INTC</t>
        </is>
      </c>
      <c r="B2169" t="inlineStr">
        <is>
          <t>INTC UW Equity</t>
        </is>
      </c>
      <c r="C2169" t="inlineStr">
        <is>
          <t>BEST_SALES</t>
        </is>
      </c>
      <c r="D2169" t="inlineStr">
        <is>
          <t>26Y</t>
        </is>
      </c>
      <c r="E2169" t="inlineStr">
        <is>
          <t>Revenue estimate FY2026</t>
        </is>
      </c>
      <c r="F2169" s="53">
        <f>_xll.BDP("INTC UW Equity","BEST_SALES","BEST_FPERIOD_OVERRIDE","26Y")</f>
        <v/>
      </c>
    </row>
    <row r="2170">
      <c r="A2170" t="inlineStr">
        <is>
          <t>INTC</t>
        </is>
      </c>
      <c r="B2170" t="inlineStr">
        <is>
          <t>INTC UW Equity</t>
        </is>
      </c>
      <c r="C2170" t="inlineStr">
        <is>
          <t>BEST_EBIT</t>
        </is>
      </c>
      <c r="D2170" t="inlineStr">
        <is>
          <t>26Y</t>
        </is>
      </c>
      <c r="E2170" t="inlineStr">
        <is>
          <t>EBIT estimate FY2026</t>
        </is>
      </c>
      <c r="F2170" s="53">
        <f>_xll.BDP("INTC UW Equity","BEST_EBIT","BEST_FPERIOD_OVERRIDE","26Y")</f>
        <v/>
      </c>
    </row>
    <row r="2171">
      <c r="A2171" t="inlineStr">
        <is>
          <t>INTC</t>
        </is>
      </c>
      <c r="B2171" t="inlineStr">
        <is>
          <t>INTC UW Equity</t>
        </is>
      </c>
      <c r="C2171" t="inlineStr">
        <is>
          <t>BEST_EPS</t>
        </is>
      </c>
      <c r="D2171" t="inlineStr">
        <is>
          <t>27Y</t>
        </is>
      </c>
      <c r="E2171" t="inlineStr">
        <is>
          <t>EPS estimate FY2027</t>
        </is>
      </c>
      <c r="F2171" s="53">
        <f>_xll.BDP("INTC UW Equity","BEST_EPS","BEST_FPERIOD_OVERRIDE","27Y")</f>
        <v/>
      </c>
    </row>
    <row r="2172">
      <c r="A2172" t="inlineStr">
        <is>
          <t>INTC</t>
        </is>
      </c>
      <c r="B2172" t="inlineStr">
        <is>
          <t>INTC UW Equity</t>
        </is>
      </c>
      <c r="C2172" t="inlineStr">
        <is>
          <t>BEST_SALES</t>
        </is>
      </c>
      <c r="D2172" t="inlineStr">
        <is>
          <t>27Y</t>
        </is>
      </c>
      <c r="E2172" t="inlineStr">
        <is>
          <t>Revenue estimate FY2027</t>
        </is>
      </c>
      <c r="F2172" s="53">
        <f>_xll.BDP("INTC UW Equity","BEST_SALES","BEST_FPERIOD_OVERRIDE","27Y")</f>
        <v/>
      </c>
    </row>
    <row r="2173">
      <c r="A2173" t="inlineStr">
        <is>
          <t>INTC</t>
        </is>
      </c>
      <c r="B2173" t="inlineStr">
        <is>
          <t>INTC UW Equity</t>
        </is>
      </c>
      <c r="C2173" t="inlineStr">
        <is>
          <t>BEST_EBIT</t>
        </is>
      </c>
      <c r="D2173" t="inlineStr">
        <is>
          <t>27Y</t>
        </is>
      </c>
      <c r="E2173" t="inlineStr">
        <is>
          <t>EBIT estimate FY2027</t>
        </is>
      </c>
      <c r="F2173" s="53">
        <f>_xll.BDP("INTC UW Equity","BEST_EBIT","BEST_FPERIOD_OVERRIDE","27Y")</f>
        <v/>
      </c>
    </row>
    <row r="2174">
      <c r="A2174" t="inlineStr">
        <is>
          <t>INTC</t>
        </is>
      </c>
      <c r="B2174" t="inlineStr">
        <is>
          <t>INTC UW Equity</t>
        </is>
      </c>
      <c r="C2174" t="inlineStr">
        <is>
          <t>BEST_EPS</t>
        </is>
      </c>
      <c r="D2174" t="inlineStr">
        <is>
          <t>28Y</t>
        </is>
      </c>
      <c r="E2174" t="inlineStr">
        <is>
          <t>EPS estimate FY2028</t>
        </is>
      </c>
      <c r="F2174" s="53">
        <f>_xll.BDP("INTC UW Equity","BEST_EPS","BEST_FPERIOD_OVERRIDE","28Y")</f>
        <v/>
      </c>
    </row>
    <row r="2175">
      <c r="A2175" t="inlineStr">
        <is>
          <t>INTC</t>
        </is>
      </c>
      <c r="B2175" t="inlineStr">
        <is>
          <t>INTC UW Equity</t>
        </is>
      </c>
      <c r="C2175" t="inlineStr">
        <is>
          <t>BEST_SALES</t>
        </is>
      </c>
      <c r="D2175" t="inlineStr">
        <is>
          <t>28Y</t>
        </is>
      </c>
      <c r="E2175" t="inlineStr">
        <is>
          <t>Revenue estimate FY2028</t>
        </is>
      </c>
      <c r="F2175" s="53">
        <f>_xll.BDP("INTC UW Equity","BEST_SALES","BEST_FPERIOD_OVERRIDE","28Y")</f>
        <v/>
      </c>
    </row>
    <row r="2176">
      <c r="A2176" t="inlineStr">
        <is>
          <t>INTC</t>
        </is>
      </c>
      <c r="B2176" t="inlineStr">
        <is>
          <t>INTC UW Equity</t>
        </is>
      </c>
      <c r="C2176" t="inlineStr">
        <is>
          <t>BEST_EBIT</t>
        </is>
      </c>
      <c r="D2176" t="inlineStr">
        <is>
          <t>28Y</t>
        </is>
      </c>
      <c r="E2176" t="inlineStr">
        <is>
          <t>EBIT estimate FY2028</t>
        </is>
      </c>
      <c r="F2176" s="53">
        <f>_xll.BDP("INTC UW Equity","BEST_EBIT","BEST_FPERIOD_OVERRIDE","28Y")</f>
        <v/>
      </c>
    </row>
    <row r="2177">
      <c r="A2177" t="inlineStr">
        <is>
          <t>TSMC</t>
        </is>
      </c>
      <c r="B2177" t="inlineStr">
        <is>
          <t>TSM UN Equity</t>
        </is>
      </c>
      <c r="C2177" t="inlineStr">
        <is>
          <t>PX_LAST</t>
        </is>
      </c>
      <c r="E2177" t="inlineStr">
        <is>
          <t>Last price</t>
        </is>
      </c>
      <c r="F2177" s="53">
        <f>_xll.BDP("TSM UN Equity","PX_LAST")</f>
        <v/>
      </c>
    </row>
    <row r="2178">
      <c r="A2178" t="inlineStr">
        <is>
          <t>TSMC</t>
        </is>
      </c>
      <c r="B2178" t="inlineStr">
        <is>
          <t>TSM UN Equity</t>
        </is>
      </c>
      <c r="C2178" t="inlineStr">
        <is>
          <t>CUR_MKT_CAP</t>
        </is>
      </c>
      <c r="E2178" t="inlineStr">
        <is>
          <t>Market cap (raw)</t>
        </is>
      </c>
      <c r="F2178" s="53">
        <f>_xll.BDP("TSM UN Equity","CUR_MKT_CAP")</f>
        <v/>
      </c>
    </row>
    <row r="2179">
      <c r="A2179" t="inlineStr">
        <is>
          <t>TSMC</t>
        </is>
      </c>
      <c r="B2179" t="inlineStr">
        <is>
          <t>TSM UN Equity</t>
        </is>
      </c>
      <c r="C2179" t="inlineStr">
        <is>
          <t>CHG_PCT_YTD</t>
        </is>
      </c>
      <c r="E2179" t="inlineStr">
        <is>
          <t>YTD price change %</t>
        </is>
      </c>
      <c r="F2179" s="53">
        <f>_xll.BDP("TSM UN Equity","CHG_PCT_YTD")</f>
        <v/>
      </c>
    </row>
    <row r="2180">
      <c r="A2180" t="inlineStr">
        <is>
          <t>TSMC</t>
        </is>
      </c>
      <c r="B2180" t="inlineStr">
        <is>
          <t>TSM UN Equity</t>
        </is>
      </c>
      <c r="C2180" t="inlineStr">
        <is>
          <t>NET_DEBT_TO_EBITDA</t>
        </is>
      </c>
      <c r="E2180" t="inlineStr">
        <is>
          <t>Net debt / EBITDA</t>
        </is>
      </c>
      <c r="F2180" s="53">
        <f>_xll.BDP("TSM UN Equity","NET_DEBT_TO_EBITDA")</f>
        <v/>
      </c>
    </row>
    <row r="2181">
      <c r="A2181" t="inlineStr">
        <is>
          <t>TSMC</t>
        </is>
      </c>
      <c r="B2181" t="inlineStr">
        <is>
          <t>TSM UN Equity</t>
        </is>
      </c>
      <c r="C2181" t="inlineStr">
        <is>
          <t>RETURN_ON_INV_CAPITAL</t>
        </is>
      </c>
      <c r="E2181" t="inlineStr">
        <is>
          <t>ROIC (LTM)</t>
        </is>
      </c>
      <c r="F2181" s="53">
        <f>_xll.BDP("TSM UN Equity","RETURN_ON_INV_CAPITAL")</f>
        <v/>
      </c>
    </row>
    <row r="2182">
      <c r="A2182" t="inlineStr">
        <is>
          <t>TSMC</t>
        </is>
      </c>
      <c r="B2182" t="inlineStr">
        <is>
          <t>TSM UN Equity</t>
        </is>
      </c>
      <c r="C2182" t="inlineStr">
        <is>
          <t>TRAIL_12M_OPER_INC</t>
        </is>
      </c>
      <c r="E2182" t="inlineStr">
        <is>
          <t>LTM operating income</t>
        </is>
      </c>
      <c r="F2182" s="53">
        <f>_xll.BDP("TSM UN Equity","TRAIL_12M_OPER_INC")</f>
        <v/>
      </c>
    </row>
    <row r="2183">
      <c r="A2183" t="inlineStr">
        <is>
          <t>TSMC</t>
        </is>
      </c>
      <c r="B2183" t="inlineStr">
        <is>
          <t>TSM UN Equity</t>
        </is>
      </c>
      <c r="C2183" t="inlineStr">
        <is>
          <t>TRAIL_12M_EBITDA</t>
        </is>
      </c>
      <c r="E2183" t="inlineStr">
        <is>
          <t>LTM EBITDA</t>
        </is>
      </c>
      <c r="F2183" s="53">
        <f>_xll.BDP("TSM UN Equity","TRAIL_12M_EBITDA")</f>
        <v/>
      </c>
    </row>
    <row r="2184">
      <c r="A2184" t="inlineStr">
        <is>
          <t>TSMC</t>
        </is>
      </c>
      <c r="B2184" t="inlineStr">
        <is>
          <t>TSM UN Equity</t>
        </is>
      </c>
      <c r="C2184" t="inlineStr">
        <is>
          <t>SHORT_AND_LONG_TERM_DEBT</t>
        </is>
      </c>
      <c r="E2184" t="inlineStr">
        <is>
          <t>Total debt</t>
        </is>
      </c>
      <c r="F2184" s="53">
        <f>_xll.BDP("TSM UN Equity","SHORT_AND_LONG_TERM_DEBT")</f>
        <v/>
      </c>
    </row>
    <row r="2185">
      <c r="A2185" t="inlineStr">
        <is>
          <t>TSMC</t>
        </is>
      </c>
      <c r="B2185" t="inlineStr">
        <is>
          <t>TSM UN Equity</t>
        </is>
      </c>
      <c r="C2185" t="inlineStr">
        <is>
          <t>TOTAL_EQUITY</t>
        </is>
      </c>
      <c r="E2185" t="inlineStr">
        <is>
          <t>Total equity</t>
        </is>
      </c>
      <c r="F2185" s="53">
        <f>_xll.BDP("TSM UN Equity","TOTAL_EQUITY")</f>
        <v/>
      </c>
    </row>
    <row r="2186">
      <c r="A2186" t="inlineStr">
        <is>
          <t>TSMC</t>
        </is>
      </c>
      <c r="B2186" t="inlineStr">
        <is>
          <t>TSM UN Equity</t>
        </is>
      </c>
      <c r="C2186" t="inlineStr">
        <is>
          <t>BS_CASH_NEAR_CASH_ITEM</t>
        </is>
      </c>
      <c r="E2186" t="inlineStr">
        <is>
          <t>Cash &amp; equivalents</t>
        </is>
      </c>
      <c r="F2186" s="53">
        <f>_xll.BDP("TSM UN Equity","BS_CASH_NEAR_CASH_ITEM")</f>
        <v/>
      </c>
    </row>
    <row r="2187">
      <c r="A2187" t="inlineStr">
        <is>
          <t>TSMC</t>
        </is>
      </c>
      <c r="B2187" t="inlineStr">
        <is>
          <t>TSM UN Equity</t>
        </is>
      </c>
      <c r="C2187" t="inlineStr">
        <is>
          <t>BEST_EPS</t>
        </is>
      </c>
      <c r="D2187" t="inlineStr">
        <is>
          <t>24Y</t>
        </is>
      </c>
      <c r="E2187" t="inlineStr">
        <is>
          <t>EPS estimate FY2024</t>
        </is>
      </c>
      <c r="F2187" s="53">
        <f>_xll.BDP("TSM UN Equity","BEST_EPS","BEST_FPERIOD_OVERRIDE","24Y")</f>
        <v/>
      </c>
    </row>
    <row r="2188">
      <c r="A2188" t="inlineStr">
        <is>
          <t>TSMC</t>
        </is>
      </c>
      <c r="B2188" t="inlineStr">
        <is>
          <t>TSM UN Equity</t>
        </is>
      </c>
      <c r="C2188" t="inlineStr">
        <is>
          <t>BEST_SALES</t>
        </is>
      </c>
      <c r="D2188" t="inlineStr">
        <is>
          <t>24Y</t>
        </is>
      </c>
      <c r="E2188" t="inlineStr">
        <is>
          <t>Revenue estimate FY2024</t>
        </is>
      </c>
      <c r="F2188" s="53">
        <f>_xll.BDP("TSM UN Equity","BEST_SALES","BEST_FPERIOD_OVERRIDE","24Y")</f>
        <v/>
      </c>
    </row>
    <row r="2189">
      <c r="A2189" t="inlineStr">
        <is>
          <t>TSMC</t>
        </is>
      </c>
      <c r="B2189" t="inlineStr">
        <is>
          <t>TSM UN Equity</t>
        </is>
      </c>
      <c r="C2189" t="inlineStr">
        <is>
          <t>BEST_EBIT</t>
        </is>
      </c>
      <c r="D2189" t="inlineStr">
        <is>
          <t>24Y</t>
        </is>
      </c>
      <c r="E2189" t="inlineStr">
        <is>
          <t>EBIT estimate FY2024</t>
        </is>
      </c>
      <c r="F2189" s="53">
        <f>_xll.BDP("TSM UN Equity","BEST_EBIT","BEST_FPERIOD_OVERRIDE","24Y")</f>
        <v/>
      </c>
    </row>
    <row r="2190">
      <c r="A2190" t="inlineStr">
        <is>
          <t>TSMC</t>
        </is>
      </c>
      <c r="B2190" t="inlineStr">
        <is>
          <t>TSM UN Equity</t>
        </is>
      </c>
      <c r="C2190" t="inlineStr">
        <is>
          <t>BEST_EPS</t>
        </is>
      </c>
      <c r="D2190" t="inlineStr">
        <is>
          <t>25Y</t>
        </is>
      </c>
      <c r="E2190" t="inlineStr">
        <is>
          <t>EPS estimate FY2025</t>
        </is>
      </c>
      <c r="F2190" s="53">
        <f>_xll.BDP("TSM UN Equity","BEST_EPS","BEST_FPERIOD_OVERRIDE","25Y")</f>
        <v/>
      </c>
    </row>
    <row r="2191">
      <c r="A2191" t="inlineStr">
        <is>
          <t>TSMC</t>
        </is>
      </c>
      <c r="B2191" t="inlineStr">
        <is>
          <t>TSM UN Equity</t>
        </is>
      </c>
      <c r="C2191" t="inlineStr">
        <is>
          <t>BEST_SALES</t>
        </is>
      </c>
      <c r="D2191" t="inlineStr">
        <is>
          <t>25Y</t>
        </is>
      </c>
      <c r="E2191" t="inlineStr">
        <is>
          <t>Revenue estimate FY2025</t>
        </is>
      </c>
      <c r="F2191" s="53">
        <f>_xll.BDP("TSM UN Equity","BEST_SALES","BEST_FPERIOD_OVERRIDE","25Y")</f>
        <v/>
      </c>
    </row>
    <row r="2192">
      <c r="A2192" t="inlineStr">
        <is>
          <t>TSMC</t>
        </is>
      </c>
      <c r="B2192" t="inlineStr">
        <is>
          <t>TSM UN Equity</t>
        </is>
      </c>
      <c r="C2192" t="inlineStr">
        <is>
          <t>BEST_EBIT</t>
        </is>
      </c>
      <c r="D2192" t="inlineStr">
        <is>
          <t>25Y</t>
        </is>
      </c>
      <c r="E2192" t="inlineStr">
        <is>
          <t>EBIT estimate FY2025</t>
        </is>
      </c>
      <c r="F2192" s="53">
        <f>_xll.BDP("TSM UN Equity","BEST_EBIT","BEST_FPERIOD_OVERRIDE","25Y")</f>
        <v/>
      </c>
    </row>
    <row r="2193">
      <c r="A2193" t="inlineStr">
        <is>
          <t>TSMC</t>
        </is>
      </c>
      <c r="B2193" t="inlineStr">
        <is>
          <t>TSM UN Equity</t>
        </is>
      </c>
      <c r="C2193" t="inlineStr">
        <is>
          <t>BEST_EPS</t>
        </is>
      </c>
      <c r="D2193" t="inlineStr">
        <is>
          <t>26Y</t>
        </is>
      </c>
      <c r="E2193" t="inlineStr">
        <is>
          <t>EPS estimate FY2026</t>
        </is>
      </c>
      <c r="F2193" s="53">
        <f>_xll.BDP("TSM UN Equity","BEST_EPS","BEST_FPERIOD_OVERRIDE","26Y")</f>
        <v/>
      </c>
    </row>
    <row r="2194">
      <c r="A2194" t="inlineStr">
        <is>
          <t>TSMC</t>
        </is>
      </c>
      <c r="B2194" t="inlineStr">
        <is>
          <t>TSM UN Equity</t>
        </is>
      </c>
      <c r="C2194" t="inlineStr">
        <is>
          <t>BEST_SALES</t>
        </is>
      </c>
      <c r="D2194" t="inlineStr">
        <is>
          <t>26Y</t>
        </is>
      </c>
      <c r="E2194" t="inlineStr">
        <is>
          <t>Revenue estimate FY2026</t>
        </is>
      </c>
      <c r="F2194" s="53">
        <f>_xll.BDP("TSM UN Equity","BEST_SALES","BEST_FPERIOD_OVERRIDE","26Y")</f>
        <v/>
      </c>
    </row>
    <row r="2195">
      <c r="A2195" t="inlineStr">
        <is>
          <t>TSMC</t>
        </is>
      </c>
      <c r="B2195" t="inlineStr">
        <is>
          <t>TSM UN Equity</t>
        </is>
      </c>
      <c r="C2195" t="inlineStr">
        <is>
          <t>BEST_EBIT</t>
        </is>
      </c>
      <c r="D2195" t="inlineStr">
        <is>
          <t>26Y</t>
        </is>
      </c>
      <c r="E2195" t="inlineStr">
        <is>
          <t>EBIT estimate FY2026</t>
        </is>
      </c>
      <c r="F2195" s="53">
        <f>_xll.BDP("TSM UN Equity","BEST_EBIT","BEST_FPERIOD_OVERRIDE","26Y")</f>
        <v/>
      </c>
    </row>
    <row r="2196">
      <c r="A2196" t="inlineStr">
        <is>
          <t>TSMC</t>
        </is>
      </c>
      <c r="B2196" t="inlineStr">
        <is>
          <t>TSM UN Equity</t>
        </is>
      </c>
      <c r="C2196" t="inlineStr">
        <is>
          <t>BEST_EPS</t>
        </is>
      </c>
      <c r="D2196" t="inlineStr">
        <is>
          <t>27Y</t>
        </is>
      </c>
      <c r="E2196" t="inlineStr">
        <is>
          <t>EPS estimate FY2027</t>
        </is>
      </c>
      <c r="F2196" s="53">
        <f>_xll.BDP("TSM UN Equity","BEST_EPS","BEST_FPERIOD_OVERRIDE","27Y")</f>
        <v/>
      </c>
    </row>
    <row r="2197">
      <c r="A2197" t="inlineStr">
        <is>
          <t>TSMC</t>
        </is>
      </c>
      <c r="B2197" t="inlineStr">
        <is>
          <t>TSM UN Equity</t>
        </is>
      </c>
      <c r="C2197" t="inlineStr">
        <is>
          <t>BEST_SALES</t>
        </is>
      </c>
      <c r="D2197" t="inlineStr">
        <is>
          <t>27Y</t>
        </is>
      </c>
      <c r="E2197" t="inlineStr">
        <is>
          <t>Revenue estimate FY2027</t>
        </is>
      </c>
      <c r="F2197" s="53">
        <f>_xll.BDP("TSM UN Equity","BEST_SALES","BEST_FPERIOD_OVERRIDE","27Y")</f>
        <v/>
      </c>
    </row>
    <row r="2198">
      <c r="A2198" t="inlineStr">
        <is>
          <t>TSMC</t>
        </is>
      </c>
      <c r="B2198" t="inlineStr">
        <is>
          <t>TSM UN Equity</t>
        </is>
      </c>
      <c r="C2198" t="inlineStr">
        <is>
          <t>BEST_EBIT</t>
        </is>
      </c>
      <c r="D2198" t="inlineStr">
        <is>
          <t>27Y</t>
        </is>
      </c>
      <c r="E2198" t="inlineStr">
        <is>
          <t>EBIT estimate FY2027</t>
        </is>
      </c>
      <c r="F2198" s="53">
        <f>_xll.BDP("TSM UN Equity","BEST_EBIT","BEST_FPERIOD_OVERRIDE","27Y")</f>
        <v/>
      </c>
    </row>
    <row r="2199">
      <c r="A2199" t="inlineStr">
        <is>
          <t>TSMC</t>
        </is>
      </c>
      <c r="B2199" t="inlineStr">
        <is>
          <t>TSM UN Equity</t>
        </is>
      </c>
      <c r="C2199" t="inlineStr">
        <is>
          <t>BEST_EPS</t>
        </is>
      </c>
      <c r="D2199" t="inlineStr">
        <is>
          <t>28Y</t>
        </is>
      </c>
      <c r="E2199" t="inlineStr">
        <is>
          <t>EPS estimate FY2028</t>
        </is>
      </c>
      <c r="F2199" s="53">
        <f>_xll.BDP("TSM UN Equity","BEST_EPS","BEST_FPERIOD_OVERRIDE","28Y")</f>
        <v/>
      </c>
    </row>
    <row r="2200">
      <c r="A2200" t="inlineStr">
        <is>
          <t>TSMC</t>
        </is>
      </c>
      <c r="B2200" t="inlineStr">
        <is>
          <t>TSM UN Equity</t>
        </is>
      </c>
      <c r="C2200" t="inlineStr">
        <is>
          <t>BEST_SALES</t>
        </is>
      </c>
      <c r="D2200" t="inlineStr">
        <is>
          <t>28Y</t>
        </is>
      </c>
      <c r="E2200" t="inlineStr">
        <is>
          <t>Revenue estimate FY2028</t>
        </is>
      </c>
      <c r="F2200" s="53">
        <f>_xll.BDP("TSM UN Equity","BEST_SALES","BEST_FPERIOD_OVERRIDE","28Y")</f>
        <v/>
      </c>
    </row>
    <row r="2201">
      <c r="A2201" t="inlineStr">
        <is>
          <t>TSMC</t>
        </is>
      </c>
      <c r="B2201" t="inlineStr">
        <is>
          <t>TSM UN Equity</t>
        </is>
      </c>
      <c r="C2201" t="inlineStr">
        <is>
          <t>BEST_EBIT</t>
        </is>
      </c>
      <c r="D2201" t="inlineStr">
        <is>
          <t>28Y</t>
        </is>
      </c>
      <c r="E2201" t="inlineStr">
        <is>
          <t>EBIT estimate FY2028</t>
        </is>
      </c>
      <c r="F2201" s="53">
        <f>_xll.BDP("TSM UN Equity","BEST_EBIT","BEST_FPERIOD_OVERRIDE","28Y")</f>
        <v/>
      </c>
    </row>
    <row r="2202">
      <c r="A2202" t="inlineStr">
        <is>
          <t>GFS</t>
        </is>
      </c>
      <c r="B2202" t="inlineStr">
        <is>
          <t>GFS UW Equity</t>
        </is>
      </c>
      <c r="C2202" t="inlineStr">
        <is>
          <t>PX_LAST</t>
        </is>
      </c>
      <c r="E2202" t="inlineStr">
        <is>
          <t>Last price</t>
        </is>
      </c>
      <c r="F2202" s="53">
        <f>_xll.BDP("GFS UW Equity","PX_LAST")</f>
        <v/>
      </c>
    </row>
    <row r="2203">
      <c r="A2203" t="inlineStr">
        <is>
          <t>GFS</t>
        </is>
      </c>
      <c r="B2203" t="inlineStr">
        <is>
          <t>GFS UW Equity</t>
        </is>
      </c>
      <c r="C2203" t="inlineStr">
        <is>
          <t>CUR_MKT_CAP</t>
        </is>
      </c>
      <c r="E2203" t="inlineStr">
        <is>
          <t>Market cap (raw)</t>
        </is>
      </c>
      <c r="F2203" s="53">
        <f>_xll.BDP("GFS UW Equity","CUR_MKT_CAP")</f>
        <v/>
      </c>
    </row>
    <row r="2204">
      <c r="A2204" t="inlineStr">
        <is>
          <t>GFS</t>
        </is>
      </c>
      <c r="B2204" t="inlineStr">
        <is>
          <t>GFS UW Equity</t>
        </is>
      </c>
      <c r="C2204" t="inlineStr">
        <is>
          <t>CHG_PCT_YTD</t>
        </is>
      </c>
      <c r="E2204" t="inlineStr">
        <is>
          <t>YTD price change %</t>
        </is>
      </c>
      <c r="F2204" s="53">
        <f>_xll.BDP("GFS UW Equity","CHG_PCT_YTD")</f>
        <v/>
      </c>
    </row>
    <row r="2205">
      <c r="A2205" t="inlineStr">
        <is>
          <t>GFS</t>
        </is>
      </c>
      <c r="B2205" t="inlineStr">
        <is>
          <t>GFS UW Equity</t>
        </is>
      </c>
      <c r="C2205" t="inlineStr">
        <is>
          <t>NET_DEBT_TO_EBITDA</t>
        </is>
      </c>
      <c r="E2205" t="inlineStr">
        <is>
          <t>Net debt / EBITDA</t>
        </is>
      </c>
      <c r="F2205" s="53">
        <f>_xll.BDP("GFS UW Equity","NET_DEBT_TO_EBITDA")</f>
        <v/>
      </c>
    </row>
    <row r="2206">
      <c r="A2206" t="inlineStr">
        <is>
          <t>GFS</t>
        </is>
      </c>
      <c r="B2206" t="inlineStr">
        <is>
          <t>GFS UW Equity</t>
        </is>
      </c>
      <c r="C2206" t="inlineStr">
        <is>
          <t>RETURN_ON_INV_CAPITAL</t>
        </is>
      </c>
      <c r="E2206" t="inlineStr">
        <is>
          <t>ROIC (LTM)</t>
        </is>
      </c>
      <c r="F2206" s="53">
        <f>_xll.BDP("GFS UW Equity","RETURN_ON_INV_CAPITAL")</f>
        <v/>
      </c>
    </row>
    <row r="2207">
      <c r="A2207" t="inlineStr">
        <is>
          <t>GFS</t>
        </is>
      </c>
      <c r="B2207" t="inlineStr">
        <is>
          <t>GFS UW Equity</t>
        </is>
      </c>
      <c r="C2207" t="inlineStr">
        <is>
          <t>TRAIL_12M_OPER_INC</t>
        </is>
      </c>
      <c r="E2207" t="inlineStr">
        <is>
          <t>LTM operating income</t>
        </is>
      </c>
      <c r="F2207" s="53">
        <f>_xll.BDP("GFS UW Equity","TRAIL_12M_OPER_INC")</f>
        <v/>
      </c>
    </row>
    <row r="2208">
      <c r="A2208" t="inlineStr">
        <is>
          <t>GFS</t>
        </is>
      </c>
      <c r="B2208" t="inlineStr">
        <is>
          <t>GFS UW Equity</t>
        </is>
      </c>
      <c r="C2208" t="inlineStr">
        <is>
          <t>TRAIL_12M_EBITDA</t>
        </is>
      </c>
      <c r="E2208" t="inlineStr">
        <is>
          <t>LTM EBITDA</t>
        </is>
      </c>
      <c r="F2208" s="53">
        <f>_xll.BDP("GFS UW Equity","TRAIL_12M_EBITDA")</f>
        <v/>
      </c>
    </row>
    <row r="2209">
      <c r="A2209" t="inlineStr">
        <is>
          <t>GFS</t>
        </is>
      </c>
      <c r="B2209" t="inlineStr">
        <is>
          <t>GFS UW Equity</t>
        </is>
      </c>
      <c r="C2209" t="inlineStr">
        <is>
          <t>SHORT_AND_LONG_TERM_DEBT</t>
        </is>
      </c>
      <c r="E2209" t="inlineStr">
        <is>
          <t>Total debt</t>
        </is>
      </c>
      <c r="F2209" s="53">
        <f>_xll.BDP("GFS UW Equity","SHORT_AND_LONG_TERM_DEBT")</f>
        <v/>
      </c>
    </row>
    <row r="2210">
      <c r="A2210" t="inlineStr">
        <is>
          <t>GFS</t>
        </is>
      </c>
      <c r="B2210" t="inlineStr">
        <is>
          <t>GFS UW Equity</t>
        </is>
      </c>
      <c r="C2210" t="inlineStr">
        <is>
          <t>TOTAL_EQUITY</t>
        </is>
      </c>
      <c r="E2210" t="inlineStr">
        <is>
          <t>Total equity</t>
        </is>
      </c>
      <c r="F2210" s="53">
        <f>_xll.BDP("GFS UW Equity","TOTAL_EQUITY")</f>
        <v/>
      </c>
    </row>
    <row r="2211">
      <c r="A2211" t="inlineStr">
        <is>
          <t>GFS</t>
        </is>
      </c>
      <c r="B2211" t="inlineStr">
        <is>
          <t>GFS UW Equity</t>
        </is>
      </c>
      <c r="C2211" t="inlineStr">
        <is>
          <t>BS_CASH_NEAR_CASH_ITEM</t>
        </is>
      </c>
      <c r="E2211" t="inlineStr">
        <is>
          <t>Cash &amp; equivalents</t>
        </is>
      </c>
      <c r="F2211" s="53">
        <f>_xll.BDP("GFS UW Equity","BS_CASH_NEAR_CASH_ITEM")</f>
        <v/>
      </c>
    </row>
    <row r="2212">
      <c r="A2212" t="inlineStr">
        <is>
          <t>GFS</t>
        </is>
      </c>
      <c r="B2212" t="inlineStr">
        <is>
          <t>GFS UW Equity</t>
        </is>
      </c>
      <c r="C2212" t="inlineStr">
        <is>
          <t>BEST_EPS</t>
        </is>
      </c>
      <c r="D2212" t="inlineStr">
        <is>
          <t>24Y</t>
        </is>
      </c>
      <c r="E2212" t="inlineStr">
        <is>
          <t>EPS estimate FY2024</t>
        </is>
      </c>
      <c r="F2212" s="53">
        <f>_xll.BDP("GFS UW Equity","BEST_EPS","BEST_FPERIOD_OVERRIDE","24Y")</f>
        <v/>
      </c>
    </row>
    <row r="2213">
      <c r="A2213" t="inlineStr">
        <is>
          <t>GFS</t>
        </is>
      </c>
      <c r="B2213" t="inlineStr">
        <is>
          <t>GFS UW Equity</t>
        </is>
      </c>
      <c r="C2213" t="inlineStr">
        <is>
          <t>BEST_SALES</t>
        </is>
      </c>
      <c r="D2213" t="inlineStr">
        <is>
          <t>24Y</t>
        </is>
      </c>
      <c r="E2213" t="inlineStr">
        <is>
          <t>Revenue estimate FY2024</t>
        </is>
      </c>
      <c r="F2213" s="53">
        <f>_xll.BDP("GFS UW Equity","BEST_SALES","BEST_FPERIOD_OVERRIDE","24Y")</f>
        <v/>
      </c>
    </row>
    <row r="2214">
      <c r="A2214" t="inlineStr">
        <is>
          <t>GFS</t>
        </is>
      </c>
      <c r="B2214" t="inlineStr">
        <is>
          <t>GFS UW Equity</t>
        </is>
      </c>
      <c r="C2214" t="inlineStr">
        <is>
          <t>BEST_EBIT</t>
        </is>
      </c>
      <c r="D2214" t="inlineStr">
        <is>
          <t>24Y</t>
        </is>
      </c>
      <c r="E2214" t="inlineStr">
        <is>
          <t>EBIT estimate FY2024</t>
        </is>
      </c>
      <c r="F2214" s="53">
        <f>_xll.BDP("GFS UW Equity","BEST_EBIT","BEST_FPERIOD_OVERRIDE","24Y")</f>
        <v/>
      </c>
    </row>
    <row r="2215">
      <c r="A2215" t="inlineStr">
        <is>
          <t>GFS</t>
        </is>
      </c>
      <c r="B2215" t="inlineStr">
        <is>
          <t>GFS UW Equity</t>
        </is>
      </c>
      <c r="C2215" t="inlineStr">
        <is>
          <t>BEST_EPS</t>
        </is>
      </c>
      <c r="D2215" t="inlineStr">
        <is>
          <t>25Y</t>
        </is>
      </c>
      <c r="E2215" t="inlineStr">
        <is>
          <t>EPS estimate FY2025</t>
        </is>
      </c>
      <c r="F2215" s="53">
        <f>_xll.BDP("GFS UW Equity","BEST_EPS","BEST_FPERIOD_OVERRIDE","25Y")</f>
        <v/>
      </c>
    </row>
    <row r="2216">
      <c r="A2216" t="inlineStr">
        <is>
          <t>GFS</t>
        </is>
      </c>
      <c r="B2216" t="inlineStr">
        <is>
          <t>GFS UW Equity</t>
        </is>
      </c>
      <c r="C2216" t="inlineStr">
        <is>
          <t>BEST_SALES</t>
        </is>
      </c>
      <c r="D2216" t="inlineStr">
        <is>
          <t>25Y</t>
        </is>
      </c>
      <c r="E2216" t="inlineStr">
        <is>
          <t>Revenue estimate FY2025</t>
        </is>
      </c>
      <c r="F2216" s="53">
        <f>_xll.BDP("GFS UW Equity","BEST_SALES","BEST_FPERIOD_OVERRIDE","25Y")</f>
        <v/>
      </c>
    </row>
    <row r="2217">
      <c r="A2217" t="inlineStr">
        <is>
          <t>GFS</t>
        </is>
      </c>
      <c r="B2217" t="inlineStr">
        <is>
          <t>GFS UW Equity</t>
        </is>
      </c>
      <c r="C2217" t="inlineStr">
        <is>
          <t>BEST_EBIT</t>
        </is>
      </c>
      <c r="D2217" t="inlineStr">
        <is>
          <t>25Y</t>
        </is>
      </c>
      <c r="E2217" t="inlineStr">
        <is>
          <t>EBIT estimate FY2025</t>
        </is>
      </c>
      <c r="F2217" s="53">
        <f>_xll.BDP("GFS UW Equity","BEST_EBIT","BEST_FPERIOD_OVERRIDE","25Y")</f>
        <v/>
      </c>
    </row>
    <row r="2218">
      <c r="A2218" t="inlineStr">
        <is>
          <t>GFS</t>
        </is>
      </c>
      <c r="B2218" t="inlineStr">
        <is>
          <t>GFS UW Equity</t>
        </is>
      </c>
      <c r="C2218" t="inlineStr">
        <is>
          <t>BEST_EPS</t>
        </is>
      </c>
      <c r="D2218" t="inlineStr">
        <is>
          <t>26Y</t>
        </is>
      </c>
      <c r="E2218" t="inlineStr">
        <is>
          <t>EPS estimate FY2026</t>
        </is>
      </c>
      <c r="F2218" s="53">
        <f>_xll.BDP("GFS UW Equity","BEST_EPS","BEST_FPERIOD_OVERRIDE","26Y")</f>
        <v/>
      </c>
    </row>
    <row r="2219">
      <c r="A2219" t="inlineStr">
        <is>
          <t>GFS</t>
        </is>
      </c>
      <c r="B2219" t="inlineStr">
        <is>
          <t>GFS UW Equity</t>
        </is>
      </c>
      <c r="C2219" t="inlineStr">
        <is>
          <t>BEST_SALES</t>
        </is>
      </c>
      <c r="D2219" t="inlineStr">
        <is>
          <t>26Y</t>
        </is>
      </c>
      <c r="E2219" t="inlineStr">
        <is>
          <t>Revenue estimate FY2026</t>
        </is>
      </c>
      <c r="F2219" s="53">
        <f>_xll.BDP("GFS UW Equity","BEST_SALES","BEST_FPERIOD_OVERRIDE","26Y")</f>
        <v/>
      </c>
    </row>
    <row r="2220">
      <c r="A2220" t="inlineStr">
        <is>
          <t>GFS</t>
        </is>
      </c>
      <c r="B2220" t="inlineStr">
        <is>
          <t>GFS UW Equity</t>
        </is>
      </c>
      <c r="C2220" t="inlineStr">
        <is>
          <t>BEST_EBIT</t>
        </is>
      </c>
      <c r="D2220" t="inlineStr">
        <is>
          <t>26Y</t>
        </is>
      </c>
      <c r="E2220" t="inlineStr">
        <is>
          <t>EBIT estimate FY2026</t>
        </is>
      </c>
      <c r="F2220" s="53">
        <f>_xll.BDP("GFS UW Equity","BEST_EBIT","BEST_FPERIOD_OVERRIDE","26Y")</f>
        <v/>
      </c>
    </row>
    <row r="2221">
      <c r="A2221" t="inlineStr">
        <is>
          <t>GFS</t>
        </is>
      </c>
      <c r="B2221" t="inlineStr">
        <is>
          <t>GFS UW Equity</t>
        </is>
      </c>
      <c r="C2221" t="inlineStr">
        <is>
          <t>BEST_EPS</t>
        </is>
      </c>
      <c r="D2221" t="inlineStr">
        <is>
          <t>27Y</t>
        </is>
      </c>
      <c r="E2221" t="inlineStr">
        <is>
          <t>EPS estimate FY2027</t>
        </is>
      </c>
      <c r="F2221" s="53">
        <f>_xll.BDP("GFS UW Equity","BEST_EPS","BEST_FPERIOD_OVERRIDE","27Y")</f>
        <v/>
      </c>
    </row>
    <row r="2222">
      <c r="A2222" t="inlineStr">
        <is>
          <t>GFS</t>
        </is>
      </c>
      <c r="B2222" t="inlineStr">
        <is>
          <t>GFS UW Equity</t>
        </is>
      </c>
      <c r="C2222" t="inlineStr">
        <is>
          <t>BEST_SALES</t>
        </is>
      </c>
      <c r="D2222" t="inlineStr">
        <is>
          <t>27Y</t>
        </is>
      </c>
      <c r="E2222" t="inlineStr">
        <is>
          <t>Revenue estimate FY2027</t>
        </is>
      </c>
      <c r="F2222" s="53">
        <f>_xll.BDP("GFS UW Equity","BEST_SALES","BEST_FPERIOD_OVERRIDE","27Y")</f>
        <v/>
      </c>
    </row>
    <row r="2223">
      <c r="A2223" t="inlineStr">
        <is>
          <t>GFS</t>
        </is>
      </c>
      <c r="B2223" t="inlineStr">
        <is>
          <t>GFS UW Equity</t>
        </is>
      </c>
      <c r="C2223" t="inlineStr">
        <is>
          <t>BEST_EBIT</t>
        </is>
      </c>
      <c r="D2223" t="inlineStr">
        <is>
          <t>27Y</t>
        </is>
      </c>
      <c r="E2223" t="inlineStr">
        <is>
          <t>EBIT estimate FY2027</t>
        </is>
      </c>
      <c r="F2223" s="53">
        <f>_xll.BDP("GFS UW Equity","BEST_EBIT","BEST_FPERIOD_OVERRIDE","27Y")</f>
        <v/>
      </c>
    </row>
    <row r="2224">
      <c r="A2224" t="inlineStr">
        <is>
          <t>GFS</t>
        </is>
      </c>
      <c r="B2224" t="inlineStr">
        <is>
          <t>GFS UW Equity</t>
        </is>
      </c>
      <c r="C2224" t="inlineStr">
        <is>
          <t>BEST_EPS</t>
        </is>
      </c>
      <c r="D2224" t="inlineStr">
        <is>
          <t>28Y</t>
        </is>
      </c>
      <c r="E2224" t="inlineStr">
        <is>
          <t>EPS estimate FY2028</t>
        </is>
      </c>
      <c r="F2224" s="53">
        <f>_xll.BDP("GFS UW Equity","BEST_EPS","BEST_FPERIOD_OVERRIDE","28Y")</f>
        <v/>
      </c>
    </row>
    <row r="2225">
      <c r="A2225" t="inlineStr">
        <is>
          <t>GFS</t>
        </is>
      </c>
      <c r="B2225" t="inlineStr">
        <is>
          <t>GFS UW Equity</t>
        </is>
      </c>
      <c r="C2225" t="inlineStr">
        <is>
          <t>BEST_SALES</t>
        </is>
      </c>
      <c r="D2225" t="inlineStr">
        <is>
          <t>28Y</t>
        </is>
      </c>
      <c r="E2225" t="inlineStr">
        <is>
          <t>Revenue estimate FY2028</t>
        </is>
      </c>
      <c r="F2225" s="53">
        <f>_xll.BDP("GFS UW Equity","BEST_SALES","BEST_FPERIOD_OVERRIDE","28Y")</f>
        <v/>
      </c>
    </row>
    <row r="2226">
      <c r="A2226" t="inlineStr">
        <is>
          <t>GFS</t>
        </is>
      </c>
      <c r="B2226" t="inlineStr">
        <is>
          <t>GFS UW Equity</t>
        </is>
      </c>
      <c r="C2226" t="inlineStr">
        <is>
          <t>BEST_EBIT</t>
        </is>
      </c>
      <c r="D2226" t="inlineStr">
        <is>
          <t>28Y</t>
        </is>
      </c>
      <c r="E2226" t="inlineStr">
        <is>
          <t>EBIT estimate FY2028</t>
        </is>
      </c>
      <c r="F2226" s="53">
        <f>_xll.BDP("GFS UW Equity","BEST_EBIT","BEST_FPERIOD_OVERRIDE","28Y")</f>
        <v/>
      </c>
    </row>
    <row r="2227">
      <c r="A2227" t="inlineStr">
        <is>
          <t>ASML</t>
        </is>
      </c>
      <c r="B2227" t="inlineStr">
        <is>
          <t>ASML UW Equity</t>
        </is>
      </c>
      <c r="C2227" t="inlineStr">
        <is>
          <t>PX_LAST</t>
        </is>
      </c>
      <c r="E2227" t="inlineStr">
        <is>
          <t>Last price</t>
        </is>
      </c>
      <c r="F2227" s="53">
        <f>_xll.BDP("ASML UW Equity","PX_LAST")</f>
        <v/>
      </c>
    </row>
    <row r="2228">
      <c r="A2228" t="inlineStr">
        <is>
          <t>ASML</t>
        </is>
      </c>
      <c r="B2228" t="inlineStr">
        <is>
          <t>ASML UW Equity</t>
        </is>
      </c>
      <c r="C2228" t="inlineStr">
        <is>
          <t>CUR_MKT_CAP</t>
        </is>
      </c>
      <c r="E2228" t="inlineStr">
        <is>
          <t>Market cap (raw)</t>
        </is>
      </c>
      <c r="F2228" s="53">
        <f>_xll.BDP("ASML UW Equity","CUR_MKT_CAP")</f>
        <v/>
      </c>
    </row>
    <row r="2229">
      <c r="A2229" t="inlineStr">
        <is>
          <t>ASML</t>
        </is>
      </c>
      <c r="B2229" t="inlineStr">
        <is>
          <t>ASML UW Equity</t>
        </is>
      </c>
      <c r="C2229" t="inlineStr">
        <is>
          <t>CHG_PCT_YTD</t>
        </is>
      </c>
      <c r="E2229" t="inlineStr">
        <is>
          <t>YTD price change %</t>
        </is>
      </c>
      <c r="F2229" s="53">
        <f>_xll.BDP("ASML UW Equity","CHG_PCT_YTD")</f>
        <v/>
      </c>
    </row>
    <row r="2230">
      <c r="A2230" t="inlineStr">
        <is>
          <t>ASML</t>
        </is>
      </c>
      <c r="B2230" t="inlineStr">
        <is>
          <t>ASML UW Equity</t>
        </is>
      </c>
      <c r="C2230" t="inlineStr">
        <is>
          <t>NET_DEBT_TO_EBITDA</t>
        </is>
      </c>
      <c r="E2230" t="inlineStr">
        <is>
          <t>Net debt / EBITDA</t>
        </is>
      </c>
      <c r="F2230" s="53">
        <f>_xll.BDP("ASML UW Equity","NET_DEBT_TO_EBITDA")</f>
        <v/>
      </c>
    </row>
    <row r="2231">
      <c r="A2231" t="inlineStr">
        <is>
          <t>ASML</t>
        </is>
      </c>
      <c r="B2231" t="inlineStr">
        <is>
          <t>ASML UW Equity</t>
        </is>
      </c>
      <c r="C2231" t="inlineStr">
        <is>
          <t>RETURN_ON_INV_CAPITAL</t>
        </is>
      </c>
      <c r="E2231" t="inlineStr">
        <is>
          <t>ROIC (LTM)</t>
        </is>
      </c>
      <c r="F2231" s="53">
        <f>_xll.BDP("ASML UW Equity","RETURN_ON_INV_CAPITAL")</f>
        <v/>
      </c>
    </row>
    <row r="2232">
      <c r="A2232" t="inlineStr">
        <is>
          <t>ASML</t>
        </is>
      </c>
      <c r="B2232" t="inlineStr">
        <is>
          <t>ASML UW Equity</t>
        </is>
      </c>
      <c r="C2232" t="inlineStr">
        <is>
          <t>TRAIL_12M_OPER_INC</t>
        </is>
      </c>
      <c r="E2232" t="inlineStr">
        <is>
          <t>LTM operating income</t>
        </is>
      </c>
      <c r="F2232" s="53">
        <f>_xll.BDP("ASML UW Equity","TRAIL_12M_OPER_INC")</f>
        <v/>
      </c>
    </row>
    <row r="2233">
      <c r="A2233" t="inlineStr">
        <is>
          <t>ASML</t>
        </is>
      </c>
      <c r="B2233" t="inlineStr">
        <is>
          <t>ASML UW Equity</t>
        </is>
      </c>
      <c r="C2233" t="inlineStr">
        <is>
          <t>TRAIL_12M_EBITDA</t>
        </is>
      </c>
      <c r="E2233" t="inlineStr">
        <is>
          <t>LTM EBITDA</t>
        </is>
      </c>
      <c r="F2233" s="53">
        <f>_xll.BDP("ASML UW Equity","TRAIL_12M_EBITDA")</f>
        <v/>
      </c>
    </row>
    <row r="2234">
      <c r="A2234" t="inlineStr">
        <is>
          <t>ASML</t>
        </is>
      </c>
      <c r="B2234" t="inlineStr">
        <is>
          <t>ASML UW Equity</t>
        </is>
      </c>
      <c r="C2234" t="inlineStr">
        <is>
          <t>SHORT_AND_LONG_TERM_DEBT</t>
        </is>
      </c>
      <c r="E2234" t="inlineStr">
        <is>
          <t>Total debt</t>
        </is>
      </c>
      <c r="F2234" s="53">
        <f>_xll.BDP("ASML UW Equity","SHORT_AND_LONG_TERM_DEBT")</f>
        <v/>
      </c>
    </row>
    <row r="2235">
      <c r="A2235" t="inlineStr">
        <is>
          <t>ASML</t>
        </is>
      </c>
      <c r="B2235" t="inlineStr">
        <is>
          <t>ASML UW Equity</t>
        </is>
      </c>
      <c r="C2235" t="inlineStr">
        <is>
          <t>TOTAL_EQUITY</t>
        </is>
      </c>
      <c r="E2235" t="inlineStr">
        <is>
          <t>Total equity</t>
        </is>
      </c>
      <c r="F2235" s="53">
        <f>_xll.BDP("ASML UW Equity","TOTAL_EQUITY")</f>
        <v/>
      </c>
    </row>
    <row r="2236">
      <c r="A2236" t="inlineStr">
        <is>
          <t>ASML</t>
        </is>
      </c>
      <c r="B2236" t="inlineStr">
        <is>
          <t>ASML UW Equity</t>
        </is>
      </c>
      <c r="C2236" t="inlineStr">
        <is>
          <t>BS_CASH_NEAR_CASH_ITEM</t>
        </is>
      </c>
      <c r="E2236" t="inlineStr">
        <is>
          <t>Cash &amp; equivalents</t>
        </is>
      </c>
      <c r="F2236" s="53">
        <f>_xll.BDP("ASML UW Equity","BS_CASH_NEAR_CASH_ITEM")</f>
        <v/>
      </c>
    </row>
    <row r="2237">
      <c r="A2237" t="inlineStr">
        <is>
          <t>ASML</t>
        </is>
      </c>
      <c r="B2237" t="inlineStr">
        <is>
          <t>ASML UW Equity</t>
        </is>
      </c>
      <c r="C2237" t="inlineStr">
        <is>
          <t>BEST_EPS</t>
        </is>
      </c>
      <c r="D2237" t="inlineStr">
        <is>
          <t>24Y</t>
        </is>
      </c>
      <c r="E2237" t="inlineStr">
        <is>
          <t>EPS estimate FY2024</t>
        </is>
      </c>
      <c r="F2237" s="53">
        <f>_xll.BDP("ASML UW Equity","BEST_EPS","BEST_FPERIOD_OVERRIDE","24Y")</f>
        <v/>
      </c>
    </row>
    <row r="2238">
      <c r="A2238" t="inlineStr">
        <is>
          <t>ASML</t>
        </is>
      </c>
      <c r="B2238" t="inlineStr">
        <is>
          <t>ASML UW Equity</t>
        </is>
      </c>
      <c r="C2238" t="inlineStr">
        <is>
          <t>BEST_SALES</t>
        </is>
      </c>
      <c r="D2238" t="inlineStr">
        <is>
          <t>24Y</t>
        </is>
      </c>
      <c r="E2238" t="inlineStr">
        <is>
          <t>Revenue estimate FY2024</t>
        </is>
      </c>
      <c r="F2238" s="53">
        <f>_xll.BDP("ASML UW Equity","BEST_SALES","BEST_FPERIOD_OVERRIDE","24Y")</f>
        <v/>
      </c>
    </row>
    <row r="2239">
      <c r="A2239" t="inlineStr">
        <is>
          <t>ASML</t>
        </is>
      </c>
      <c r="B2239" t="inlineStr">
        <is>
          <t>ASML UW Equity</t>
        </is>
      </c>
      <c r="C2239" t="inlineStr">
        <is>
          <t>BEST_EBIT</t>
        </is>
      </c>
      <c r="D2239" t="inlineStr">
        <is>
          <t>24Y</t>
        </is>
      </c>
      <c r="E2239" t="inlineStr">
        <is>
          <t>EBIT estimate FY2024</t>
        </is>
      </c>
      <c r="F2239" s="53">
        <f>_xll.BDP("ASML UW Equity","BEST_EBIT","BEST_FPERIOD_OVERRIDE","24Y")</f>
        <v/>
      </c>
    </row>
    <row r="2240">
      <c r="A2240" t="inlineStr">
        <is>
          <t>ASML</t>
        </is>
      </c>
      <c r="B2240" t="inlineStr">
        <is>
          <t>ASML UW Equity</t>
        </is>
      </c>
      <c r="C2240" t="inlineStr">
        <is>
          <t>BEST_EPS</t>
        </is>
      </c>
      <c r="D2240" t="inlineStr">
        <is>
          <t>25Y</t>
        </is>
      </c>
      <c r="E2240" t="inlineStr">
        <is>
          <t>EPS estimate FY2025</t>
        </is>
      </c>
      <c r="F2240" s="53">
        <f>_xll.BDP("ASML UW Equity","BEST_EPS","BEST_FPERIOD_OVERRIDE","25Y")</f>
        <v/>
      </c>
    </row>
    <row r="2241">
      <c r="A2241" t="inlineStr">
        <is>
          <t>ASML</t>
        </is>
      </c>
      <c r="B2241" t="inlineStr">
        <is>
          <t>ASML UW Equity</t>
        </is>
      </c>
      <c r="C2241" t="inlineStr">
        <is>
          <t>BEST_SALES</t>
        </is>
      </c>
      <c r="D2241" t="inlineStr">
        <is>
          <t>25Y</t>
        </is>
      </c>
      <c r="E2241" t="inlineStr">
        <is>
          <t>Revenue estimate FY2025</t>
        </is>
      </c>
      <c r="F2241" s="53">
        <f>_xll.BDP("ASML UW Equity","BEST_SALES","BEST_FPERIOD_OVERRIDE","25Y")</f>
        <v/>
      </c>
    </row>
    <row r="2242">
      <c r="A2242" t="inlineStr">
        <is>
          <t>ASML</t>
        </is>
      </c>
      <c r="B2242" t="inlineStr">
        <is>
          <t>ASML UW Equity</t>
        </is>
      </c>
      <c r="C2242" t="inlineStr">
        <is>
          <t>BEST_EBIT</t>
        </is>
      </c>
      <c r="D2242" t="inlineStr">
        <is>
          <t>25Y</t>
        </is>
      </c>
      <c r="E2242" t="inlineStr">
        <is>
          <t>EBIT estimate FY2025</t>
        </is>
      </c>
      <c r="F2242" s="53">
        <f>_xll.BDP("ASML UW Equity","BEST_EBIT","BEST_FPERIOD_OVERRIDE","25Y")</f>
        <v/>
      </c>
    </row>
    <row r="2243">
      <c r="A2243" t="inlineStr">
        <is>
          <t>ASML</t>
        </is>
      </c>
      <c r="B2243" t="inlineStr">
        <is>
          <t>ASML UW Equity</t>
        </is>
      </c>
      <c r="C2243" t="inlineStr">
        <is>
          <t>BEST_EPS</t>
        </is>
      </c>
      <c r="D2243" t="inlineStr">
        <is>
          <t>26Y</t>
        </is>
      </c>
      <c r="E2243" t="inlineStr">
        <is>
          <t>EPS estimate FY2026</t>
        </is>
      </c>
      <c r="F2243" s="53">
        <f>_xll.BDP("ASML UW Equity","BEST_EPS","BEST_FPERIOD_OVERRIDE","26Y")</f>
        <v/>
      </c>
    </row>
    <row r="2244">
      <c r="A2244" t="inlineStr">
        <is>
          <t>ASML</t>
        </is>
      </c>
      <c r="B2244" t="inlineStr">
        <is>
          <t>ASML UW Equity</t>
        </is>
      </c>
      <c r="C2244" t="inlineStr">
        <is>
          <t>BEST_SALES</t>
        </is>
      </c>
      <c r="D2244" t="inlineStr">
        <is>
          <t>26Y</t>
        </is>
      </c>
      <c r="E2244" t="inlineStr">
        <is>
          <t>Revenue estimate FY2026</t>
        </is>
      </c>
      <c r="F2244" s="53">
        <f>_xll.BDP("ASML UW Equity","BEST_SALES","BEST_FPERIOD_OVERRIDE","26Y")</f>
        <v/>
      </c>
    </row>
    <row r="2245">
      <c r="A2245" t="inlineStr">
        <is>
          <t>ASML</t>
        </is>
      </c>
      <c r="B2245" t="inlineStr">
        <is>
          <t>ASML UW Equity</t>
        </is>
      </c>
      <c r="C2245" t="inlineStr">
        <is>
          <t>BEST_EBIT</t>
        </is>
      </c>
      <c r="D2245" t="inlineStr">
        <is>
          <t>26Y</t>
        </is>
      </c>
      <c r="E2245" t="inlineStr">
        <is>
          <t>EBIT estimate FY2026</t>
        </is>
      </c>
      <c r="F2245" s="53">
        <f>_xll.BDP("ASML UW Equity","BEST_EBIT","BEST_FPERIOD_OVERRIDE","26Y")</f>
        <v/>
      </c>
    </row>
    <row r="2246">
      <c r="A2246" t="inlineStr">
        <is>
          <t>ASML</t>
        </is>
      </c>
      <c r="B2246" t="inlineStr">
        <is>
          <t>ASML UW Equity</t>
        </is>
      </c>
      <c r="C2246" t="inlineStr">
        <is>
          <t>BEST_EPS</t>
        </is>
      </c>
      <c r="D2246" t="inlineStr">
        <is>
          <t>27Y</t>
        </is>
      </c>
      <c r="E2246" t="inlineStr">
        <is>
          <t>EPS estimate FY2027</t>
        </is>
      </c>
      <c r="F2246" s="53">
        <f>_xll.BDP("ASML UW Equity","BEST_EPS","BEST_FPERIOD_OVERRIDE","27Y")</f>
        <v/>
      </c>
    </row>
    <row r="2247">
      <c r="A2247" t="inlineStr">
        <is>
          <t>ASML</t>
        </is>
      </c>
      <c r="B2247" t="inlineStr">
        <is>
          <t>ASML UW Equity</t>
        </is>
      </c>
      <c r="C2247" t="inlineStr">
        <is>
          <t>BEST_SALES</t>
        </is>
      </c>
      <c r="D2247" t="inlineStr">
        <is>
          <t>27Y</t>
        </is>
      </c>
      <c r="E2247" t="inlineStr">
        <is>
          <t>Revenue estimate FY2027</t>
        </is>
      </c>
      <c r="F2247" s="53">
        <f>_xll.BDP("ASML UW Equity","BEST_SALES","BEST_FPERIOD_OVERRIDE","27Y")</f>
        <v/>
      </c>
    </row>
    <row r="2248">
      <c r="A2248" t="inlineStr">
        <is>
          <t>ASML</t>
        </is>
      </c>
      <c r="B2248" t="inlineStr">
        <is>
          <t>ASML UW Equity</t>
        </is>
      </c>
      <c r="C2248" t="inlineStr">
        <is>
          <t>BEST_EBIT</t>
        </is>
      </c>
      <c r="D2248" t="inlineStr">
        <is>
          <t>27Y</t>
        </is>
      </c>
      <c r="E2248" t="inlineStr">
        <is>
          <t>EBIT estimate FY2027</t>
        </is>
      </c>
      <c r="F2248" s="53">
        <f>_xll.BDP("ASML UW Equity","BEST_EBIT","BEST_FPERIOD_OVERRIDE","27Y")</f>
        <v/>
      </c>
    </row>
    <row r="2249">
      <c r="A2249" t="inlineStr">
        <is>
          <t>ASML</t>
        </is>
      </c>
      <c r="B2249" t="inlineStr">
        <is>
          <t>ASML UW Equity</t>
        </is>
      </c>
      <c r="C2249" t="inlineStr">
        <is>
          <t>BEST_EPS</t>
        </is>
      </c>
      <c r="D2249" t="inlineStr">
        <is>
          <t>28Y</t>
        </is>
      </c>
      <c r="E2249" t="inlineStr">
        <is>
          <t>EPS estimate FY2028</t>
        </is>
      </c>
      <c r="F2249" s="53">
        <f>_xll.BDP("ASML UW Equity","BEST_EPS","BEST_FPERIOD_OVERRIDE","28Y")</f>
        <v/>
      </c>
    </row>
    <row r="2250">
      <c r="A2250" t="inlineStr">
        <is>
          <t>ASML</t>
        </is>
      </c>
      <c r="B2250" t="inlineStr">
        <is>
          <t>ASML UW Equity</t>
        </is>
      </c>
      <c r="C2250" t="inlineStr">
        <is>
          <t>BEST_SALES</t>
        </is>
      </c>
      <c r="D2250" t="inlineStr">
        <is>
          <t>28Y</t>
        </is>
      </c>
      <c r="E2250" t="inlineStr">
        <is>
          <t>Revenue estimate FY2028</t>
        </is>
      </c>
      <c r="F2250" s="53">
        <f>_xll.BDP("ASML UW Equity","BEST_SALES","BEST_FPERIOD_OVERRIDE","28Y")</f>
        <v/>
      </c>
    </row>
    <row r="2251">
      <c r="A2251" t="inlineStr">
        <is>
          <t>ASML</t>
        </is>
      </c>
      <c r="B2251" t="inlineStr">
        <is>
          <t>ASML UW Equity</t>
        </is>
      </c>
      <c r="C2251" t="inlineStr">
        <is>
          <t>BEST_EBIT</t>
        </is>
      </c>
      <c r="D2251" t="inlineStr">
        <is>
          <t>28Y</t>
        </is>
      </c>
      <c r="E2251" t="inlineStr">
        <is>
          <t>EBIT estimate FY2028</t>
        </is>
      </c>
      <c r="F2251" s="53">
        <f>_xll.BDP("ASML UW Equity","BEST_EBIT","BEST_FPERIOD_OVERRIDE","28Y")</f>
        <v/>
      </c>
    </row>
    <row r="2252">
      <c r="A2252" t="inlineStr">
        <is>
          <t>AMAT</t>
        </is>
      </c>
      <c r="B2252" t="inlineStr">
        <is>
          <t>AMAT UW Equity</t>
        </is>
      </c>
      <c r="C2252" t="inlineStr">
        <is>
          <t>PX_LAST</t>
        </is>
      </c>
      <c r="E2252" t="inlineStr">
        <is>
          <t>Last price</t>
        </is>
      </c>
      <c r="F2252" s="53">
        <f>_xll.BDP("AMAT UW Equity","PX_LAST")</f>
        <v/>
      </c>
    </row>
    <row r="2253">
      <c r="A2253" t="inlineStr">
        <is>
          <t>AMAT</t>
        </is>
      </c>
      <c r="B2253" t="inlineStr">
        <is>
          <t>AMAT UW Equity</t>
        </is>
      </c>
      <c r="C2253" t="inlineStr">
        <is>
          <t>CUR_MKT_CAP</t>
        </is>
      </c>
      <c r="E2253" t="inlineStr">
        <is>
          <t>Market cap (raw)</t>
        </is>
      </c>
      <c r="F2253" s="53">
        <f>_xll.BDP("AMAT UW Equity","CUR_MKT_CAP")</f>
        <v/>
      </c>
    </row>
    <row r="2254">
      <c r="A2254" t="inlineStr">
        <is>
          <t>AMAT</t>
        </is>
      </c>
      <c r="B2254" t="inlineStr">
        <is>
          <t>AMAT UW Equity</t>
        </is>
      </c>
      <c r="C2254" t="inlineStr">
        <is>
          <t>CHG_PCT_YTD</t>
        </is>
      </c>
      <c r="E2254" t="inlineStr">
        <is>
          <t>YTD price change %</t>
        </is>
      </c>
      <c r="F2254" s="53">
        <f>_xll.BDP("AMAT UW Equity","CHG_PCT_YTD")</f>
        <v/>
      </c>
    </row>
    <row r="2255">
      <c r="A2255" t="inlineStr">
        <is>
          <t>AMAT</t>
        </is>
      </c>
      <c r="B2255" t="inlineStr">
        <is>
          <t>AMAT UW Equity</t>
        </is>
      </c>
      <c r="C2255" t="inlineStr">
        <is>
          <t>NET_DEBT_TO_EBITDA</t>
        </is>
      </c>
      <c r="E2255" t="inlineStr">
        <is>
          <t>Net debt / EBITDA</t>
        </is>
      </c>
      <c r="F2255" s="53">
        <f>_xll.BDP("AMAT UW Equity","NET_DEBT_TO_EBITDA")</f>
        <v/>
      </c>
    </row>
    <row r="2256">
      <c r="A2256" t="inlineStr">
        <is>
          <t>AMAT</t>
        </is>
      </c>
      <c r="B2256" t="inlineStr">
        <is>
          <t>AMAT UW Equity</t>
        </is>
      </c>
      <c r="C2256" t="inlineStr">
        <is>
          <t>RETURN_ON_INV_CAPITAL</t>
        </is>
      </c>
      <c r="E2256" t="inlineStr">
        <is>
          <t>ROIC (LTM)</t>
        </is>
      </c>
      <c r="F2256" s="53">
        <f>_xll.BDP("AMAT UW Equity","RETURN_ON_INV_CAPITAL")</f>
        <v/>
      </c>
    </row>
    <row r="2257">
      <c r="A2257" t="inlineStr">
        <is>
          <t>AMAT</t>
        </is>
      </c>
      <c r="B2257" t="inlineStr">
        <is>
          <t>AMAT UW Equity</t>
        </is>
      </c>
      <c r="C2257" t="inlineStr">
        <is>
          <t>TRAIL_12M_OPER_INC</t>
        </is>
      </c>
      <c r="E2257" t="inlineStr">
        <is>
          <t>LTM operating income</t>
        </is>
      </c>
      <c r="F2257" s="53">
        <f>_xll.BDP("AMAT UW Equity","TRAIL_12M_OPER_INC")</f>
        <v/>
      </c>
    </row>
    <row r="2258">
      <c r="A2258" t="inlineStr">
        <is>
          <t>AMAT</t>
        </is>
      </c>
      <c r="B2258" t="inlineStr">
        <is>
          <t>AMAT UW Equity</t>
        </is>
      </c>
      <c r="C2258" t="inlineStr">
        <is>
          <t>TRAIL_12M_EBITDA</t>
        </is>
      </c>
      <c r="E2258" t="inlineStr">
        <is>
          <t>LTM EBITDA</t>
        </is>
      </c>
      <c r="F2258" s="53">
        <f>_xll.BDP("AMAT UW Equity","TRAIL_12M_EBITDA")</f>
        <v/>
      </c>
    </row>
    <row r="2259">
      <c r="A2259" t="inlineStr">
        <is>
          <t>AMAT</t>
        </is>
      </c>
      <c r="B2259" t="inlineStr">
        <is>
          <t>AMAT UW Equity</t>
        </is>
      </c>
      <c r="C2259" t="inlineStr">
        <is>
          <t>SHORT_AND_LONG_TERM_DEBT</t>
        </is>
      </c>
      <c r="E2259" t="inlineStr">
        <is>
          <t>Total debt</t>
        </is>
      </c>
      <c r="F2259" s="53">
        <f>_xll.BDP("AMAT UW Equity","SHORT_AND_LONG_TERM_DEBT")</f>
        <v/>
      </c>
    </row>
    <row r="2260">
      <c r="A2260" t="inlineStr">
        <is>
          <t>AMAT</t>
        </is>
      </c>
      <c r="B2260" t="inlineStr">
        <is>
          <t>AMAT UW Equity</t>
        </is>
      </c>
      <c r="C2260" t="inlineStr">
        <is>
          <t>TOTAL_EQUITY</t>
        </is>
      </c>
      <c r="E2260" t="inlineStr">
        <is>
          <t>Total equity</t>
        </is>
      </c>
      <c r="F2260" s="53">
        <f>_xll.BDP("AMAT UW Equity","TOTAL_EQUITY")</f>
        <v/>
      </c>
    </row>
    <row r="2261">
      <c r="A2261" t="inlineStr">
        <is>
          <t>AMAT</t>
        </is>
      </c>
      <c r="B2261" t="inlineStr">
        <is>
          <t>AMAT UW Equity</t>
        </is>
      </c>
      <c r="C2261" t="inlineStr">
        <is>
          <t>BS_CASH_NEAR_CASH_ITEM</t>
        </is>
      </c>
      <c r="E2261" t="inlineStr">
        <is>
          <t>Cash &amp; equivalents</t>
        </is>
      </c>
      <c r="F2261" s="53">
        <f>_xll.BDP("AMAT UW Equity","BS_CASH_NEAR_CASH_ITEM")</f>
        <v/>
      </c>
    </row>
    <row r="2262">
      <c r="A2262" t="inlineStr">
        <is>
          <t>AMAT</t>
        </is>
      </c>
      <c r="B2262" t="inlineStr">
        <is>
          <t>AMAT UW Equity</t>
        </is>
      </c>
      <c r="C2262" t="inlineStr">
        <is>
          <t>BEST_EPS</t>
        </is>
      </c>
      <c r="D2262" t="inlineStr">
        <is>
          <t>24Y</t>
        </is>
      </c>
      <c r="E2262" t="inlineStr">
        <is>
          <t>EPS estimate FY2024</t>
        </is>
      </c>
      <c r="F2262" s="53">
        <f>_xll.BDP("AMAT UW Equity","BEST_EPS","BEST_FPERIOD_OVERRIDE","24Y")</f>
        <v/>
      </c>
    </row>
    <row r="2263">
      <c r="A2263" t="inlineStr">
        <is>
          <t>AMAT</t>
        </is>
      </c>
      <c r="B2263" t="inlineStr">
        <is>
          <t>AMAT UW Equity</t>
        </is>
      </c>
      <c r="C2263" t="inlineStr">
        <is>
          <t>BEST_SALES</t>
        </is>
      </c>
      <c r="D2263" t="inlineStr">
        <is>
          <t>24Y</t>
        </is>
      </c>
      <c r="E2263" t="inlineStr">
        <is>
          <t>Revenue estimate FY2024</t>
        </is>
      </c>
      <c r="F2263" s="53">
        <f>_xll.BDP("AMAT UW Equity","BEST_SALES","BEST_FPERIOD_OVERRIDE","24Y")</f>
        <v/>
      </c>
    </row>
    <row r="2264">
      <c r="A2264" t="inlineStr">
        <is>
          <t>AMAT</t>
        </is>
      </c>
      <c r="B2264" t="inlineStr">
        <is>
          <t>AMAT UW Equity</t>
        </is>
      </c>
      <c r="C2264" t="inlineStr">
        <is>
          <t>BEST_EBIT</t>
        </is>
      </c>
      <c r="D2264" t="inlineStr">
        <is>
          <t>24Y</t>
        </is>
      </c>
      <c r="E2264" t="inlineStr">
        <is>
          <t>EBIT estimate FY2024</t>
        </is>
      </c>
      <c r="F2264" s="53">
        <f>_xll.BDP("AMAT UW Equity","BEST_EBIT","BEST_FPERIOD_OVERRIDE","24Y")</f>
        <v/>
      </c>
    </row>
    <row r="2265">
      <c r="A2265" t="inlineStr">
        <is>
          <t>AMAT</t>
        </is>
      </c>
      <c r="B2265" t="inlineStr">
        <is>
          <t>AMAT UW Equity</t>
        </is>
      </c>
      <c r="C2265" t="inlineStr">
        <is>
          <t>BEST_EPS</t>
        </is>
      </c>
      <c r="D2265" t="inlineStr">
        <is>
          <t>25Y</t>
        </is>
      </c>
      <c r="E2265" t="inlineStr">
        <is>
          <t>EPS estimate FY2025</t>
        </is>
      </c>
      <c r="F2265" s="53">
        <f>_xll.BDP("AMAT UW Equity","BEST_EPS","BEST_FPERIOD_OVERRIDE","25Y")</f>
        <v/>
      </c>
    </row>
    <row r="2266">
      <c r="A2266" t="inlineStr">
        <is>
          <t>AMAT</t>
        </is>
      </c>
      <c r="B2266" t="inlineStr">
        <is>
          <t>AMAT UW Equity</t>
        </is>
      </c>
      <c r="C2266" t="inlineStr">
        <is>
          <t>BEST_SALES</t>
        </is>
      </c>
      <c r="D2266" t="inlineStr">
        <is>
          <t>25Y</t>
        </is>
      </c>
      <c r="E2266" t="inlineStr">
        <is>
          <t>Revenue estimate FY2025</t>
        </is>
      </c>
      <c r="F2266" s="53">
        <f>_xll.BDP("AMAT UW Equity","BEST_SALES","BEST_FPERIOD_OVERRIDE","25Y")</f>
        <v/>
      </c>
    </row>
    <row r="2267">
      <c r="A2267" t="inlineStr">
        <is>
          <t>AMAT</t>
        </is>
      </c>
      <c r="B2267" t="inlineStr">
        <is>
          <t>AMAT UW Equity</t>
        </is>
      </c>
      <c r="C2267" t="inlineStr">
        <is>
          <t>BEST_EBIT</t>
        </is>
      </c>
      <c r="D2267" t="inlineStr">
        <is>
          <t>25Y</t>
        </is>
      </c>
      <c r="E2267" t="inlineStr">
        <is>
          <t>EBIT estimate FY2025</t>
        </is>
      </c>
      <c r="F2267" s="53">
        <f>_xll.BDP("AMAT UW Equity","BEST_EBIT","BEST_FPERIOD_OVERRIDE","25Y")</f>
        <v/>
      </c>
    </row>
    <row r="2268">
      <c r="A2268" t="inlineStr">
        <is>
          <t>AMAT</t>
        </is>
      </c>
      <c r="B2268" t="inlineStr">
        <is>
          <t>AMAT UW Equity</t>
        </is>
      </c>
      <c r="C2268" t="inlineStr">
        <is>
          <t>BEST_EPS</t>
        </is>
      </c>
      <c r="D2268" t="inlineStr">
        <is>
          <t>26Y</t>
        </is>
      </c>
      <c r="E2268" t="inlineStr">
        <is>
          <t>EPS estimate FY2026</t>
        </is>
      </c>
      <c r="F2268" s="53">
        <f>_xll.BDP("AMAT UW Equity","BEST_EPS","BEST_FPERIOD_OVERRIDE","26Y")</f>
        <v/>
      </c>
    </row>
    <row r="2269">
      <c r="A2269" t="inlineStr">
        <is>
          <t>AMAT</t>
        </is>
      </c>
      <c r="B2269" t="inlineStr">
        <is>
          <t>AMAT UW Equity</t>
        </is>
      </c>
      <c r="C2269" t="inlineStr">
        <is>
          <t>BEST_SALES</t>
        </is>
      </c>
      <c r="D2269" t="inlineStr">
        <is>
          <t>26Y</t>
        </is>
      </c>
      <c r="E2269" t="inlineStr">
        <is>
          <t>Revenue estimate FY2026</t>
        </is>
      </c>
      <c r="F2269" s="53">
        <f>_xll.BDP("AMAT UW Equity","BEST_SALES","BEST_FPERIOD_OVERRIDE","26Y")</f>
        <v/>
      </c>
    </row>
    <row r="2270">
      <c r="A2270" t="inlineStr">
        <is>
          <t>AMAT</t>
        </is>
      </c>
      <c r="B2270" t="inlineStr">
        <is>
          <t>AMAT UW Equity</t>
        </is>
      </c>
      <c r="C2270" t="inlineStr">
        <is>
          <t>BEST_EBIT</t>
        </is>
      </c>
      <c r="D2270" t="inlineStr">
        <is>
          <t>26Y</t>
        </is>
      </c>
      <c r="E2270" t="inlineStr">
        <is>
          <t>EBIT estimate FY2026</t>
        </is>
      </c>
      <c r="F2270" s="53">
        <f>_xll.BDP("AMAT UW Equity","BEST_EBIT","BEST_FPERIOD_OVERRIDE","26Y")</f>
        <v/>
      </c>
    </row>
    <row r="2271">
      <c r="A2271" t="inlineStr">
        <is>
          <t>AMAT</t>
        </is>
      </c>
      <c r="B2271" t="inlineStr">
        <is>
          <t>AMAT UW Equity</t>
        </is>
      </c>
      <c r="C2271" t="inlineStr">
        <is>
          <t>BEST_EPS</t>
        </is>
      </c>
      <c r="D2271" t="inlineStr">
        <is>
          <t>27Y</t>
        </is>
      </c>
      <c r="E2271" t="inlineStr">
        <is>
          <t>EPS estimate FY2027</t>
        </is>
      </c>
      <c r="F2271" s="53">
        <f>_xll.BDP("AMAT UW Equity","BEST_EPS","BEST_FPERIOD_OVERRIDE","27Y")</f>
        <v/>
      </c>
    </row>
    <row r="2272">
      <c r="A2272" t="inlineStr">
        <is>
          <t>AMAT</t>
        </is>
      </c>
      <c r="B2272" t="inlineStr">
        <is>
          <t>AMAT UW Equity</t>
        </is>
      </c>
      <c r="C2272" t="inlineStr">
        <is>
          <t>BEST_SALES</t>
        </is>
      </c>
      <c r="D2272" t="inlineStr">
        <is>
          <t>27Y</t>
        </is>
      </c>
      <c r="E2272" t="inlineStr">
        <is>
          <t>Revenue estimate FY2027</t>
        </is>
      </c>
      <c r="F2272" s="53">
        <f>_xll.BDP("AMAT UW Equity","BEST_SALES","BEST_FPERIOD_OVERRIDE","27Y")</f>
        <v/>
      </c>
    </row>
    <row r="2273">
      <c r="A2273" t="inlineStr">
        <is>
          <t>AMAT</t>
        </is>
      </c>
      <c r="B2273" t="inlineStr">
        <is>
          <t>AMAT UW Equity</t>
        </is>
      </c>
      <c r="C2273" t="inlineStr">
        <is>
          <t>BEST_EBIT</t>
        </is>
      </c>
      <c r="D2273" t="inlineStr">
        <is>
          <t>27Y</t>
        </is>
      </c>
      <c r="E2273" t="inlineStr">
        <is>
          <t>EBIT estimate FY2027</t>
        </is>
      </c>
      <c r="F2273" s="53">
        <f>_xll.BDP("AMAT UW Equity","BEST_EBIT","BEST_FPERIOD_OVERRIDE","27Y")</f>
        <v/>
      </c>
    </row>
    <row r="2274">
      <c r="A2274" t="inlineStr">
        <is>
          <t>AMAT</t>
        </is>
      </c>
      <c r="B2274" t="inlineStr">
        <is>
          <t>AMAT UW Equity</t>
        </is>
      </c>
      <c r="C2274" t="inlineStr">
        <is>
          <t>BEST_EPS</t>
        </is>
      </c>
      <c r="D2274" t="inlineStr">
        <is>
          <t>28Y</t>
        </is>
      </c>
      <c r="E2274" t="inlineStr">
        <is>
          <t>EPS estimate FY2028</t>
        </is>
      </c>
      <c r="F2274" s="53">
        <f>_xll.BDP("AMAT UW Equity","BEST_EPS","BEST_FPERIOD_OVERRIDE","28Y")</f>
        <v/>
      </c>
    </row>
    <row r="2275">
      <c r="A2275" t="inlineStr">
        <is>
          <t>AMAT</t>
        </is>
      </c>
      <c r="B2275" t="inlineStr">
        <is>
          <t>AMAT UW Equity</t>
        </is>
      </c>
      <c r="C2275" t="inlineStr">
        <is>
          <t>BEST_SALES</t>
        </is>
      </c>
      <c r="D2275" t="inlineStr">
        <is>
          <t>28Y</t>
        </is>
      </c>
      <c r="E2275" t="inlineStr">
        <is>
          <t>Revenue estimate FY2028</t>
        </is>
      </c>
      <c r="F2275" s="53">
        <f>_xll.BDP("AMAT UW Equity","BEST_SALES","BEST_FPERIOD_OVERRIDE","28Y")</f>
        <v/>
      </c>
    </row>
    <row r="2276">
      <c r="A2276" t="inlineStr">
        <is>
          <t>AMAT</t>
        </is>
      </c>
      <c r="B2276" t="inlineStr">
        <is>
          <t>AMAT UW Equity</t>
        </is>
      </c>
      <c r="C2276" t="inlineStr">
        <is>
          <t>BEST_EBIT</t>
        </is>
      </c>
      <c r="D2276" t="inlineStr">
        <is>
          <t>28Y</t>
        </is>
      </c>
      <c r="E2276" t="inlineStr">
        <is>
          <t>EBIT estimate FY2028</t>
        </is>
      </c>
      <c r="F2276" s="53">
        <f>_xll.BDP("AMAT UW Equity","BEST_EBIT","BEST_FPERIOD_OVERRIDE","28Y")</f>
        <v/>
      </c>
    </row>
    <row r="2277">
      <c r="A2277" t="inlineStr">
        <is>
          <t>KLAC</t>
        </is>
      </c>
      <c r="B2277" t="inlineStr">
        <is>
          <t>KLAC UW Equity</t>
        </is>
      </c>
      <c r="C2277" t="inlineStr">
        <is>
          <t>PX_LAST</t>
        </is>
      </c>
      <c r="E2277" t="inlineStr">
        <is>
          <t>Last price</t>
        </is>
      </c>
      <c r="F2277" s="53">
        <f>_xll.BDP("KLAC UW Equity","PX_LAST")</f>
        <v/>
      </c>
    </row>
    <row r="2278">
      <c r="A2278" t="inlineStr">
        <is>
          <t>KLAC</t>
        </is>
      </c>
      <c r="B2278" t="inlineStr">
        <is>
          <t>KLAC UW Equity</t>
        </is>
      </c>
      <c r="C2278" t="inlineStr">
        <is>
          <t>CUR_MKT_CAP</t>
        </is>
      </c>
      <c r="E2278" t="inlineStr">
        <is>
          <t>Market cap (raw)</t>
        </is>
      </c>
      <c r="F2278" s="53">
        <f>_xll.BDP("KLAC UW Equity","CUR_MKT_CAP")</f>
        <v/>
      </c>
    </row>
    <row r="2279">
      <c r="A2279" t="inlineStr">
        <is>
          <t>KLAC</t>
        </is>
      </c>
      <c r="B2279" t="inlineStr">
        <is>
          <t>KLAC UW Equity</t>
        </is>
      </c>
      <c r="C2279" t="inlineStr">
        <is>
          <t>CHG_PCT_YTD</t>
        </is>
      </c>
      <c r="E2279" t="inlineStr">
        <is>
          <t>YTD price change %</t>
        </is>
      </c>
      <c r="F2279" s="53">
        <f>_xll.BDP("KLAC UW Equity","CHG_PCT_YTD")</f>
        <v/>
      </c>
    </row>
    <row r="2280">
      <c r="A2280" t="inlineStr">
        <is>
          <t>KLAC</t>
        </is>
      </c>
      <c r="B2280" t="inlineStr">
        <is>
          <t>KLAC UW Equity</t>
        </is>
      </c>
      <c r="C2280" t="inlineStr">
        <is>
          <t>NET_DEBT_TO_EBITDA</t>
        </is>
      </c>
      <c r="E2280" t="inlineStr">
        <is>
          <t>Net debt / EBITDA</t>
        </is>
      </c>
      <c r="F2280" s="53">
        <f>_xll.BDP("KLAC UW Equity","NET_DEBT_TO_EBITDA")</f>
        <v/>
      </c>
    </row>
    <row r="2281">
      <c r="A2281" t="inlineStr">
        <is>
          <t>KLAC</t>
        </is>
      </c>
      <c r="B2281" t="inlineStr">
        <is>
          <t>KLAC UW Equity</t>
        </is>
      </c>
      <c r="C2281" t="inlineStr">
        <is>
          <t>RETURN_ON_INV_CAPITAL</t>
        </is>
      </c>
      <c r="E2281" t="inlineStr">
        <is>
          <t>ROIC (LTM)</t>
        </is>
      </c>
      <c r="F2281" s="53">
        <f>_xll.BDP("KLAC UW Equity","RETURN_ON_INV_CAPITAL")</f>
        <v/>
      </c>
    </row>
    <row r="2282">
      <c r="A2282" t="inlineStr">
        <is>
          <t>KLAC</t>
        </is>
      </c>
      <c r="B2282" t="inlineStr">
        <is>
          <t>KLAC UW Equity</t>
        </is>
      </c>
      <c r="C2282" t="inlineStr">
        <is>
          <t>TRAIL_12M_OPER_INC</t>
        </is>
      </c>
      <c r="E2282" t="inlineStr">
        <is>
          <t>LTM operating income</t>
        </is>
      </c>
      <c r="F2282" s="53">
        <f>_xll.BDP("KLAC UW Equity","TRAIL_12M_OPER_INC")</f>
        <v/>
      </c>
    </row>
    <row r="2283">
      <c r="A2283" t="inlineStr">
        <is>
          <t>KLAC</t>
        </is>
      </c>
      <c r="B2283" t="inlineStr">
        <is>
          <t>KLAC UW Equity</t>
        </is>
      </c>
      <c r="C2283" t="inlineStr">
        <is>
          <t>TRAIL_12M_EBITDA</t>
        </is>
      </c>
      <c r="E2283" t="inlineStr">
        <is>
          <t>LTM EBITDA</t>
        </is>
      </c>
      <c r="F2283" s="53">
        <f>_xll.BDP("KLAC UW Equity","TRAIL_12M_EBITDA")</f>
        <v/>
      </c>
    </row>
    <row r="2284">
      <c r="A2284" t="inlineStr">
        <is>
          <t>KLAC</t>
        </is>
      </c>
      <c r="B2284" t="inlineStr">
        <is>
          <t>KLAC UW Equity</t>
        </is>
      </c>
      <c r="C2284" t="inlineStr">
        <is>
          <t>SHORT_AND_LONG_TERM_DEBT</t>
        </is>
      </c>
      <c r="E2284" t="inlineStr">
        <is>
          <t>Total debt</t>
        </is>
      </c>
      <c r="F2284" s="53">
        <f>_xll.BDP("KLAC UW Equity","SHORT_AND_LONG_TERM_DEBT")</f>
        <v/>
      </c>
    </row>
    <row r="2285">
      <c r="A2285" t="inlineStr">
        <is>
          <t>KLAC</t>
        </is>
      </c>
      <c r="B2285" t="inlineStr">
        <is>
          <t>KLAC UW Equity</t>
        </is>
      </c>
      <c r="C2285" t="inlineStr">
        <is>
          <t>TOTAL_EQUITY</t>
        </is>
      </c>
      <c r="E2285" t="inlineStr">
        <is>
          <t>Total equity</t>
        </is>
      </c>
      <c r="F2285" s="53">
        <f>_xll.BDP("KLAC UW Equity","TOTAL_EQUITY")</f>
        <v/>
      </c>
    </row>
    <row r="2286">
      <c r="A2286" t="inlineStr">
        <is>
          <t>KLAC</t>
        </is>
      </c>
      <c r="B2286" t="inlineStr">
        <is>
          <t>KLAC UW Equity</t>
        </is>
      </c>
      <c r="C2286" t="inlineStr">
        <is>
          <t>BS_CASH_NEAR_CASH_ITEM</t>
        </is>
      </c>
      <c r="E2286" t="inlineStr">
        <is>
          <t>Cash &amp; equivalents</t>
        </is>
      </c>
      <c r="F2286" s="53">
        <f>_xll.BDP("KLAC UW Equity","BS_CASH_NEAR_CASH_ITEM")</f>
        <v/>
      </c>
    </row>
    <row r="2287">
      <c r="A2287" t="inlineStr">
        <is>
          <t>KLAC</t>
        </is>
      </c>
      <c r="B2287" t="inlineStr">
        <is>
          <t>KLAC UW Equity</t>
        </is>
      </c>
      <c r="C2287" t="inlineStr">
        <is>
          <t>BEST_EPS</t>
        </is>
      </c>
      <c r="D2287" t="inlineStr">
        <is>
          <t>24Y</t>
        </is>
      </c>
      <c r="E2287" t="inlineStr">
        <is>
          <t>EPS estimate FY2024</t>
        </is>
      </c>
      <c r="F2287" s="53">
        <f>_xll.BDP("KLAC UW Equity","BEST_EPS","BEST_FPERIOD_OVERRIDE","24Y")</f>
        <v/>
      </c>
    </row>
    <row r="2288">
      <c r="A2288" t="inlineStr">
        <is>
          <t>KLAC</t>
        </is>
      </c>
      <c r="B2288" t="inlineStr">
        <is>
          <t>KLAC UW Equity</t>
        </is>
      </c>
      <c r="C2288" t="inlineStr">
        <is>
          <t>BEST_SALES</t>
        </is>
      </c>
      <c r="D2288" t="inlineStr">
        <is>
          <t>24Y</t>
        </is>
      </c>
      <c r="E2288" t="inlineStr">
        <is>
          <t>Revenue estimate FY2024</t>
        </is>
      </c>
      <c r="F2288" s="53">
        <f>_xll.BDP("KLAC UW Equity","BEST_SALES","BEST_FPERIOD_OVERRIDE","24Y")</f>
        <v/>
      </c>
    </row>
    <row r="2289">
      <c r="A2289" t="inlineStr">
        <is>
          <t>KLAC</t>
        </is>
      </c>
      <c r="B2289" t="inlineStr">
        <is>
          <t>KLAC UW Equity</t>
        </is>
      </c>
      <c r="C2289" t="inlineStr">
        <is>
          <t>BEST_EBIT</t>
        </is>
      </c>
      <c r="D2289" t="inlineStr">
        <is>
          <t>24Y</t>
        </is>
      </c>
      <c r="E2289" t="inlineStr">
        <is>
          <t>EBIT estimate FY2024</t>
        </is>
      </c>
      <c r="F2289" s="53">
        <f>_xll.BDP("KLAC UW Equity","BEST_EBIT","BEST_FPERIOD_OVERRIDE","24Y")</f>
        <v/>
      </c>
    </row>
    <row r="2290">
      <c r="A2290" t="inlineStr">
        <is>
          <t>KLAC</t>
        </is>
      </c>
      <c r="B2290" t="inlineStr">
        <is>
          <t>KLAC UW Equity</t>
        </is>
      </c>
      <c r="C2290" t="inlineStr">
        <is>
          <t>BEST_EPS</t>
        </is>
      </c>
      <c r="D2290" t="inlineStr">
        <is>
          <t>25Y</t>
        </is>
      </c>
      <c r="E2290" t="inlineStr">
        <is>
          <t>EPS estimate FY2025</t>
        </is>
      </c>
      <c r="F2290" s="53">
        <f>_xll.BDP("KLAC UW Equity","BEST_EPS","BEST_FPERIOD_OVERRIDE","25Y")</f>
        <v/>
      </c>
    </row>
    <row r="2291">
      <c r="A2291" t="inlineStr">
        <is>
          <t>KLAC</t>
        </is>
      </c>
      <c r="B2291" t="inlineStr">
        <is>
          <t>KLAC UW Equity</t>
        </is>
      </c>
      <c r="C2291" t="inlineStr">
        <is>
          <t>BEST_SALES</t>
        </is>
      </c>
      <c r="D2291" t="inlineStr">
        <is>
          <t>25Y</t>
        </is>
      </c>
      <c r="E2291" t="inlineStr">
        <is>
          <t>Revenue estimate FY2025</t>
        </is>
      </c>
      <c r="F2291" s="53">
        <f>_xll.BDP("KLAC UW Equity","BEST_SALES","BEST_FPERIOD_OVERRIDE","25Y")</f>
        <v/>
      </c>
    </row>
    <row r="2292">
      <c r="A2292" t="inlineStr">
        <is>
          <t>KLAC</t>
        </is>
      </c>
      <c r="B2292" t="inlineStr">
        <is>
          <t>KLAC UW Equity</t>
        </is>
      </c>
      <c r="C2292" t="inlineStr">
        <is>
          <t>BEST_EBIT</t>
        </is>
      </c>
      <c r="D2292" t="inlineStr">
        <is>
          <t>25Y</t>
        </is>
      </c>
      <c r="E2292" t="inlineStr">
        <is>
          <t>EBIT estimate FY2025</t>
        </is>
      </c>
      <c r="F2292" s="53">
        <f>_xll.BDP("KLAC UW Equity","BEST_EBIT","BEST_FPERIOD_OVERRIDE","25Y")</f>
        <v/>
      </c>
    </row>
    <row r="2293">
      <c r="A2293" t="inlineStr">
        <is>
          <t>KLAC</t>
        </is>
      </c>
      <c r="B2293" t="inlineStr">
        <is>
          <t>KLAC UW Equity</t>
        </is>
      </c>
      <c r="C2293" t="inlineStr">
        <is>
          <t>BEST_EPS</t>
        </is>
      </c>
      <c r="D2293" t="inlineStr">
        <is>
          <t>26Y</t>
        </is>
      </c>
      <c r="E2293" t="inlineStr">
        <is>
          <t>EPS estimate FY2026</t>
        </is>
      </c>
      <c r="F2293" s="53">
        <f>_xll.BDP("KLAC UW Equity","BEST_EPS","BEST_FPERIOD_OVERRIDE","26Y")</f>
        <v/>
      </c>
    </row>
    <row r="2294">
      <c r="A2294" t="inlineStr">
        <is>
          <t>KLAC</t>
        </is>
      </c>
      <c r="B2294" t="inlineStr">
        <is>
          <t>KLAC UW Equity</t>
        </is>
      </c>
      <c r="C2294" t="inlineStr">
        <is>
          <t>BEST_SALES</t>
        </is>
      </c>
      <c r="D2294" t="inlineStr">
        <is>
          <t>26Y</t>
        </is>
      </c>
      <c r="E2294" t="inlineStr">
        <is>
          <t>Revenue estimate FY2026</t>
        </is>
      </c>
      <c r="F2294" s="53">
        <f>_xll.BDP("KLAC UW Equity","BEST_SALES","BEST_FPERIOD_OVERRIDE","26Y")</f>
        <v/>
      </c>
    </row>
    <row r="2295">
      <c r="A2295" t="inlineStr">
        <is>
          <t>KLAC</t>
        </is>
      </c>
      <c r="B2295" t="inlineStr">
        <is>
          <t>KLAC UW Equity</t>
        </is>
      </c>
      <c r="C2295" t="inlineStr">
        <is>
          <t>BEST_EBIT</t>
        </is>
      </c>
      <c r="D2295" t="inlineStr">
        <is>
          <t>26Y</t>
        </is>
      </c>
      <c r="E2295" t="inlineStr">
        <is>
          <t>EBIT estimate FY2026</t>
        </is>
      </c>
      <c r="F2295" s="53">
        <f>_xll.BDP("KLAC UW Equity","BEST_EBIT","BEST_FPERIOD_OVERRIDE","26Y")</f>
        <v/>
      </c>
    </row>
    <row r="2296">
      <c r="A2296" t="inlineStr">
        <is>
          <t>KLAC</t>
        </is>
      </c>
      <c r="B2296" t="inlineStr">
        <is>
          <t>KLAC UW Equity</t>
        </is>
      </c>
      <c r="C2296" t="inlineStr">
        <is>
          <t>BEST_EPS</t>
        </is>
      </c>
      <c r="D2296" t="inlineStr">
        <is>
          <t>27Y</t>
        </is>
      </c>
      <c r="E2296" t="inlineStr">
        <is>
          <t>EPS estimate FY2027</t>
        </is>
      </c>
      <c r="F2296" s="53">
        <f>_xll.BDP("KLAC UW Equity","BEST_EPS","BEST_FPERIOD_OVERRIDE","27Y")</f>
        <v/>
      </c>
    </row>
    <row r="2297">
      <c r="A2297" t="inlineStr">
        <is>
          <t>KLAC</t>
        </is>
      </c>
      <c r="B2297" t="inlineStr">
        <is>
          <t>KLAC UW Equity</t>
        </is>
      </c>
      <c r="C2297" t="inlineStr">
        <is>
          <t>BEST_SALES</t>
        </is>
      </c>
      <c r="D2297" t="inlineStr">
        <is>
          <t>27Y</t>
        </is>
      </c>
      <c r="E2297" t="inlineStr">
        <is>
          <t>Revenue estimate FY2027</t>
        </is>
      </c>
      <c r="F2297" s="53">
        <f>_xll.BDP("KLAC UW Equity","BEST_SALES","BEST_FPERIOD_OVERRIDE","27Y")</f>
        <v/>
      </c>
    </row>
    <row r="2298">
      <c r="A2298" t="inlineStr">
        <is>
          <t>KLAC</t>
        </is>
      </c>
      <c r="B2298" t="inlineStr">
        <is>
          <t>KLAC UW Equity</t>
        </is>
      </c>
      <c r="C2298" t="inlineStr">
        <is>
          <t>BEST_EBIT</t>
        </is>
      </c>
      <c r="D2298" t="inlineStr">
        <is>
          <t>27Y</t>
        </is>
      </c>
      <c r="E2298" t="inlineStr">
        <is>
          <t>EBIT estimate FY2027</t>
        </is>
      </c>
      <c r="F2298" s="53">
        <f>_xll.BDP("KLAC UW Equity","BEST_EBIT","BEST_FPERIOD_OVERRIDE","27Y")</f>
        <v/>
      </c>
    </row>
    <row r="2299">
      <c r="A2299" t="inlineStr">
        <is>
          <t>KLAC</t>
        </is>
      </c>
      <c r="B2299" t="inlineStr">
        <is>
          <t>KLAC UW Equity</t>
        </is>
      </c>
      <c r="C2299" t="inlineStr">
        <is>
          <t>BEST_EPS</t>
        </is>
      </c>
      <c r="D2299" t="inlineStr">
        <is>
          <t>28Y</t>
        </is>
      </c>
      <c r="E2299" t="inlineStr">
        <is>
          <t>EPS estimate FY2028</t>
        </is>
      </c>
      <c r="F2299" s="53">
        <f>_xll.BDP("KLAC UW Equity","BEST_EPS","BEST_FPERIOD_OVERRIDE","28Y")</f>
        <v/>
      </c>
    </row>
    <row r="2300">
      <c r="A2300" t="inlineStr">
        <is>
          <t>KLAC</t>
        </is>
      </c>
      <c r="B2300" t="inlineStr">
        <is>
          <t>KLAC UW Equity</t>
        </is>
      </c>
      <c r="C2300" t="inlineStr">
        <is>
          <t>BEST_SALES</t>
        </is>
      </c>
      <c r="D2300" t="inlineStr">
        <is>
          <t>28Y</t>
        </is>
      </c>
      <c r="E2300" t="inlineStr">
        <is>
          <t>Revenue estimate FY2028</t>
        </is>
      </c>
      <c r="F2300" s="53">
        <f>_xll.BDP("KLAC UW Equity","BEST_SALES","BEST_FPERIOD_OVERRIDE","28Y")</f>
        <v/>
      </c>
    </row>
    <row r="2301">
      <c r="A2301" t="inlineStr">
        <is>
          <t>KLAC</t>
        </is>
      </c>
      <c r="B2301" t="inlineStr">
        <is>
          <t>KLAC UW Equity</t>
        </is>
      </c>
      <c r="C2301" t="inlineStr">
        <is>
          <t>BEST_EBIT</t>
        </is>
      </c>
      <c r="D2301" t="inlineStr">
        <is>
          <t>28Y</t>
        </is>
      </c>
      <c r="E2301" t="inlineStr">
        <is>
          <t>EBIT estimate FY2028</t>
        </is>
      </c>
      <c r="F2301" s="53">
        <f>_xll.BDP("KLAC UW Equity","BEST_EBIT","BEST_FPERIOD_OVERRIDE","28Y")</f>
        <v/>
      </c>
    </row>
    <row r="2302">
      <c r="A2302" t="inlineStr">
        <is>
          <t>LRCX</t>
        </is>
      </c>
      <c r="B2302" t="inlineStr">
        <is>
          <t>LRCX UW Equity</t>
        </is>
      </c>
      <c r="C2302" t="inlineStr">
        <is>
          <t>PX_LAST</t>
        </is>
      </c>
      <c r="E2302" t="inlineStr">
        <is>
          <t>Last price</t>
        </is>
      </c>
      <c r="F2302" s="53">
        <f>_xll.BDP("LRCX UW Equity","PX_LAST")</f>
        <v/>
      </c>
    </row>
    <row r="2303">
      <c r="A2303" t="inlineStr">
        <is>
          <t>LRCX</t>
        </is>
      </c>
      <c r="B2303" t="inlineStr">
        <is>
          <t>LRCX UW Equity</t>
        </is>
      </c>
      <c r="C2303" t="inlineStr">
        <is>
          <t>CUR_MKT_CAP</t>
        </is>
      </c>
      <c r="E2303" t="inlineStr">
        <is>
          <t>Market cap (raw)</t>
        </is>
      </c>
      <c r="F2303" s="53">
        <f>_xll.BDP("LRCX UW Equity","CUR_MKT_CAP")</f>
        <v/>
      </c>
    </row>
    <row r="2304">
      <c r="A2304" t="inlineStr">
        <is>
          <t>LRCX</t>
        </is>
      </c>
      <c r="B2304" t="inlineStr">
        <is>
          <t>LRCX UW Equity</t>
        </is>
      </c>
      <c r="C2304" t="inlineStr">
        <is>
          <t>CHG_PCT_YTD</t>
        </is>
      </c>
      <c r="E2304" t="inlineStr">
        <is>
          <t>YTD price change %</t>
        </is>
      </c>
      <c r="F2304" s="53">
        <f>_xll.BDP("LRCX UW Equity","CHG_PCT_YTD")</f>
        <v/>
      </c>
    </row>
    <row r="2305">
      <c r="A2305" t="inlineStr">
        <is>
          <t>LRCX</t>
        </is>
      </c>
      <c r="B2305" t="inlineStr">
        <is>
          <t>LRCX UW Equity</t>
        </is>
      </c>
      <c r="C2305" t="inlineStr">
        <is>
          <t>NET_DEBT_TO_EBITDA</t>
        </is>
      </c>
      <c r="E2305" t="inlineStr">
        <is>
          <t>Net debt / EBITDA</t>
        </is>
      </c>
      <c r="F2305" s="53">
        <f>_xll.BDP("LRCX UW Equity","NET_DEBT_TO_EBITDA")</f>
        <v/>
      </c>
    </row>
    <row r="2306">
      <c r="A2306" t="inlineStr">
        <is>
          <t>LRCX</t>
        </is>
      </c>
      <c r="B2306" t="inlineStr">
        <is>
          <t>LRCX UW Equity</t>
        </is>
      </c>
      <c r="C2306" t="inlineStr">
        <is>
          <t>RETURN_ON_INV_CAPITAL</t>
        </is>
      </c>
      <c r="E2306" t="inlineStr">
        <is>
          <t>ROIC (LTM)</t>
        </is>
      </c>
      <c r="F2306" s="53">
        <f>_xll.BDP("LRCX UW Equity","RETURN_ON_INV_CAPITAL")</f>
        <v/>
      </c>
    </row>
    <row r="2307">
      <c r="A2307" t="inlineStr">
        <is>
          <t>LRCX</t>
        </is>
      </c>
      <c r="B2307" t="inlineStr">
        <is>
          <t>LRCX UW Equity</t>
        </is>
      </c>
      <c r="C2307" t="inlineStr">
        <is>
          <t>TRAIL_12M_OPER_INC</t>
        </is>
      </c>
      <c r="E2307" t="inlineStr">
        <is>
          <t>LTM operating income</t>
        </is>
      </c>
      <c r="F2307" s="53">
        <f>_xll.BDP("LRCX UW Equity","TRAIL_12M_OPER_INC")</f>
        <v/>
      </c>
    </row>
    <row r="2308">
      <c r="A2308" t="inlineStr">
        <is>
          <t>LRCX</t>
        </is>
      </c>
      <c r="B2308" t="inlineStr">
        <is>
          <t>LRCX UW Equity</t>
        </is>
      </c>
      <c r="C2308" t="inlineStr">
        <is>
          <t>TRAIL_12M_EBITDA</t>
        </is>
      </c>
      <c r="E2308" t="inlineStr">
        <is>
          <t>LTM EBITDA</t>
        </is>
      </c>
      <c r="F2308" s="53">
        <f>_xll.BDP("LRCX UW Equity","TRAIL_12M_EBITDA")</f>
        <v/>
      </c>
    </row>
    <row r="2309">
      <c r="A2309" t="inlineStr">
        <is>
          <t>LRCX</t>
        </is>
      </c>
      <c r="B2309" t="inlineStr">
        <is>
          <t>LRCX UW Equity</t>
        </is>
      </c>
      <c r="C2309" t="inlineStr">
        <is>
          <t>SHORT_AND_LONG_TERM_DEBT</t>
        </is>
      </c>
      <c r="E2309" t="inlineStr">
        <is>
          <t>Total debt</t>
        </is>
      </c>
      <c r="F2309" s="53">
        <f>_xll.BDP("LRCX UW Equity","SHORT_AND_LONG_TERM_DEBT")</f>
        <v/>
      </c>
    </row>
    <row r="2310">
      <c r="A2310" t="inlineStr">
        <is>
          <t>LRCX</t>
        </is>
      </c>
      <c r="B2310" t="inlineStr">
        <is>
          <t>LRCX UW Equity</t>
        </is>
      </c>
      <c r="C2310" t="inlineStr">
        <is>
          <t>TOTAL_EQUITY</t>
        </is>
      </c>
      <c r="E2310" t="inlineStr">
        <is>
          <t>Total equity</t>
        </is>
      </c>
      <c r="F2310" s="53">
        <f>_xll.BDP("LRCX UW Equity","TOTAL_EQUITY")</f>
        <v/>
      </c>
    </row>
    <row r="2311">
      <c r="A2311" t="inlineStr">
        <is>
          <t>LRCX</t>
        </is>
      </c>
      <c r="B2311" t="inlineStr">
        <is>
          <t>LRCX UW Equity</t>
        </is>
      </c>
      <c r="C2311" t="inlineStr">
        <is>
          <t>BS_CASH_NEAR_CASH_ITEM</t>
        </is>
      </c>
      <c r="E2311" t="inlineStr">
        <is>
          <t>Cash &amp; equivalents</t>
        </is>
      </c>
      <c r="F2311" s="53">
        <f>_xll.BDP("LRCX UW Equity","BS_CASH_NEAR_CASH_ITEM")</f>
        <v/>
      </c>
    </row>
    <row r="2312">
      <c r="A2312" t="inlineStr">
        <is>
          <t>LRCX</t>
        </is>
      </c>
      <c r="B2312" t="inlineStr">
        <is>
          <t>LRCX UW Equity</t>
        </is>
      </c>
      <c r="C2312" t="inlineStr">
        <is>
          <t>BEST_EPS</t>
        </is>
      </c>
      <c r="D2312" t="inlineStr">
        <is>
          <t>24Y</t>
        </is>
      </c>
      <c r="E2312" t="inlineStr">
        <is>
          <t>EPS estimate FY2024</t>
        </is>
      </c>
      <c r="F2312" s="53">
        <f>_xll.BDP("LRCX UW Equity","BEST_EPS","BEST_FPERIOD_OVERRIDE","24Y")</f>
        <v/>
      </c>
    </row>
    <row r="2313">
      <c r="A2313" t="inlineStr">
        <is>
          <t>LRCX</t>
        </is>
      </c>
      <c r="B2313" t="inlineStr">
        <is>
          <t>LRCX UW Equity</t>
        </is>
      </c>
      <c r="C2313" t="inlineStr">
        <is>
          <t>BEST_SALES</t>
        </is>
      </c>
      <c r="D2313" t="inlineStr">
        <is>
          <t>24Y</t>
        </is>
      </c>
      <c r="E2313" t="inlineStr">
        <is>
          <t>Revenue estimate FY2024</t>
        </is>
      </c>
      <c r="F2313" s="53">
        <f>_xll.BDP("LRCX UW Equity","BEST_SALES","BEST_FPERIOD_OVERRIDE","24Y")</f>
        <v/>
      </c>
    </row>
    <row r="2314">
      <c r="A2314" t="inlineStr">
        <is>
          <t>LRCX</t>
        </is>
      </c>
      <c r="B2314" t="inlineStr">
        <is>
          <t>LRCX UW Equity</t>
        </is>
      </c>
      <c r="C2314" t="inlineStr">
        <is>
          <t>BEST_EBIT</t>
        </is>
      </c>
      <c r="D2314" t="inlineStr">
        <is>
          <t>24Y</t>
        </is>
      </c>
      <c r="E2314" t="inlineStr">
        <is>
          <t>EBIT estimate FY2024</t>
        </is>
      </c>
      <c r="F2314" s="53">
        <f>_xll.BDP("LRCX UW Equity","BEST_EBIT","BEST_FPERIOD_OVERRIDE","24Y")</f>
        <v/>
      </c>
    </row>
    <row r="2315">
      <c r="A2315" t="inlineStr">
        <is>
          <t>LRCX</t>
        </is>
      </c>
      <c r="B2315" t="inlineStr">
        <is>
          <t>LRCX UW Equity</t>
        </is>
      </c>
      <c r="C2315" t="inlineStr">
        <is>
          <t>BEST_EPS</t>
        </is>
      </c>
      <c r="D2315" t="inlineStr">
        <is>
          <t>25Y</t>
        </is>
      </c>
      <c r="E2315" t="inlineStr">
        <is>
          <t>EPS estimate FY2025</t>
        </is>
      </c>
      <c r="F2315" s="53">
        <f>_xll.BDP("LRCX UW Equity","BEST_EPS","BEST_FPERIOD_OVERRIDE","25Y")</f>
        <v/>
      </c>
    </row>
    <row r="2316">
      <c r="A2316" t="inlineStr">
        <is>
          <t>LRCX</t>
        </is>
      </c>
      <c r="B2316" t="inlineStr">
        <is>
          <t>LRCX UW Equity</t>
        </is>
      </c>
      <c r="C2316" t="inlineStr">
        <is>
          <t>BEST_SALES</t>
        </is>
      </c>
      <c r="D2316" t="inlineStr">
        <is>
          <t>25Y</t>
        </is>
      </c>
      <c r="E2316" t="inlineStr">
        <is>
          <t>Revenue estimate FY2025</t>
        </is>
      </c>
      <c r="F2316" s="53">
        <f>_xll.BDP("LRCX UW Equity","BEST_SALES","BEST_FPERIOD_OVERRIDE","25Y")</f>
        <v/>
      </c>
    </row>
    <row r="2317">
      <c r="A2317" t="inlineStr">
        <is>
          <t>LRCX</t>
        </is>
      </c>
      <c r="B2317" t="inlineStr">
        <is>
          <t>LRCX UW Equity</t>
        </is>
      </c>
      <c r="C2317" t="inlineStr">
        <is>
          <t>BEST_EBIT</t>
        </is>
      </c>
      <c r="D2317" t="inlineStr">
        <is>
          <t>25Y</t>
        </is>
      </c>
      <c r="E2317" t="inlineStr">
        <is>
          <t>EBIT estimate FY2025</t>
        </is>
      </c>
      <c r="F2317" s="53">
        <f>_xll.BDP("LRCX UW Equity","BEST_EBIT","BEST_FPERIOD_OVERRIDE","25Y")</f>
        <v/>
      </c>
    </row>
    <row r="2318">
      <c r="A2318" t="inlineStr">
        <is>
          <t>LRCX</t>
        </is>
      </c>
      <c r="B2318" t="inlineStr">
        <is>
          <t>LRCX UW Equity</t>
        </is>
      </c>
      <c r="C2318" t="inlineStr">
        <is>
          <t>BEST_EPS</t>
        </is>
      </c>
      <c r="D2318" t="inlineStr">
        <is>
          <t>26Y</t>
        </is>
      </c>
      <c r="E2318" t="inlineStr">
        <is>
          <t>EPS estimate FY2026</t>
        </is>
      </c>
      <c r="F2318" s="53">
        <f>_xll.BDP("LRCX UW Equity","BEST_EPS","BEST_FPERIOD_OVERRIDE","26Y")</f>
        <v/>
      </c>
    </row>
    <row r="2319">
      <c r="A2319" t="inlineStr">
        <is>
          <t>LRCX</t>
        </is>
      </c>
      <c r="B2319" t="inlineStr">
        <is>
          <t>LRCX UW Equity</t>
        </is>
      </c>
      <c r="C2319" t="inlineStr">
        <is>
          <t>BEST_SALES</t>
        </is>
      </c>
      <c r="D2319" t="inlineStr">
        <is>
          <t>26Y</t>
        </is>
      </c>
      <c r="E2319" t="inlineStr">
        <is>
          <t>Revenue estimate FY2026</t>
        </is>
      </c>
      <c r="F2319" s="53">
        <f>_xll.BDP("LRCX UW Equity","BEST_SALES","BEST_FPERIOD_OVERRIDE","26Y")</f>
        <v/>
      </c>
    </row>
    <row r="2320">
      <c r="A2320" t="inlineStr">
        <is>
          <t>LRCX</t>
        </is>
      </c>
      <c r="B2320" t="inlineStr">
        <is>
          <t>LRCX UW Equity</t>
        </is>
      </c>
      <c r="C2320" t="inlineStr">
        <is>
          <t>BEST_EBIT</t>
        </is>
      </c>
      <c r="D2320" t="inlineStr">
        <is>
          <t>26Y</t>
        </is>
      </c>
      <c r="E2320" t="inlineStr">
        <is>
          <t>EBIT estimate FY2026</t>
        </is>
      </c>
      <c r="F2320" s="53">
        <f>_xll.BDP("LRCX UW Equity","BEST_EBIT","BEST_FPERIOD_OVERRIDE","26Y")</f>
        <v/>
      </c>
    </row>
    <row r="2321">
      <c r="A2321" t="inlineStr">
        <is>
          <t>LRCX</t>
        </is>
      </c>
      <c r="B2321" t="inlineStr">
        <is>
          <t>LRCX UW Equity</t>
        </is>
      </c>
      <c r="C2321" t="inlineStr">
        <is>
          <t>BEST_EPS</t>
        </is>
      </c>
      <c r="D2321" t="inlineStr">
        <is>
          <t>27Y</t>
        </is>
      </c>
      <c r="E2321" t="inlineStr">
        <is>
          <t>EPS estimate FY2027</t>
        </is>
      </c>
      <c r="F2321" s="53">
        <f>_xll.BDP("LRCX UW Equity","BEST_EPS","BEST_FPERIOD_OVERRIDE","27Y")</f>
        <v/>
      </c>
    </row>
    <row r="2322">
      <c r="A2322" t="inlineStr">
        <is>
          <t>LRCX</t>
        </is>
      </c>
      <c r="B2322" t="inlineStr">
        <is>
          <t>LRCX UW Equity</t>
        </is>
      </c>
      <c r="C2322" t="inlineStr">
        <is>
          <t>BEST_SALES</t>
        </is>
      </c>
      <c r="D2322" t="inlineStr">
        <is>
          <t>27Y</t>
        </is>
      </c>
      <c r="E2322" t="inlineStr">
        <is>
          <t>Revenue estimate FY2027</t>
        </is>
      </c>
      <c r="F2322" s="53">
        <f>_xll.BDP("LRCX UW Equity","BEST_SALES","BEST_FPERIOD_OVERRIDE","27Y")</f>
        <v/>
      </c>
    </row>
    <row r="2323">
      <c r="A2323" t="inlineStr">
        <is>
          <t>LRCX</t>
        </is>
      </c>
      <c r="B2323" t="inlineStr">
        <is>
          <t>LRCX UW Equity</t>
        </is>
      </c>
      <c r="C2323" t="inlineStr">
        <is>
          <t>BEST_EBIT</t>
        </is>
      </c>
      <c r="D2323" t="inlineStr">
        <is>
          <t>27Y</t>
        </is>
      </c>
      <c r="E2323" t="inlineStr">
        <is>
          <t>EBIT estimate FY2027</t>
        </is>
      </c>
      <c r="F2323" s="53">
        <f>_xll.BDP("LRCX UW Equity","BEST_EBIT","BEST_FPERIOD_OVERRIDE","27Y")</f>
        <v/>
      </c>
    </row>
    <row r="2324">
      <c r="A2324" t="inlineStr">
        <is>
          <t>LRCX</t>
        </is>
      </c>
      <c r="B2324" t="inlineStr">
        <is>
          <t>LRCX UW Equity</t>
        </is>
      </c>
      <c r="C2324" t="inlineStr">
        <is>
          <t>BEST_EPS</t>
        </is>
      </c>
      <c r="D2324" t="inlineStr">
        <is>
          <t>28Y</t>
        </is>
      </c>
      <c r="E2324" t="inlineStr">
        <is>
          <t>EPS estimate FY2028</t>
        </is>
      </c>
      <c r="F2324" s="53">
        <f>_xll.BDP("LRCX UW Equity","BEST_EPS","BEST_FPERIOD_OVERRIDE","28Y")</f>
        <v/>
      </c>
    </row>
    <row r="2325">
      <c r="A2325" t="inlineStr">
        <is>
          <t>LRCX</t>
        </is>
      </c>
      <c r="B2325" t="inlineStr">
        <is>
          <t>LRCX UW Equity</t>
        </is>
      </c>
      <c r="C2325" t="inlineStr">
        <is>
          <t>BEST_SALES</t>
        </is>
      </c>
      <c r="D2325" t="inlineStr">
        <is>
          <t>28Y</t>
        </is>
      </c>
      <c r="E2325" t="inlineStr">
        <is>
          <t>Revenue estimate FY2028</t>
        </is>
      </c>
      <c r="F2325" s="53">
        <f>_xll.BDP("LRCX UW Equity","BEST_SALES","BEST_FPERIOD_OVERRIDE","28Y")</f>
        <v/>
      </c>
    </row>
    <row r="2326">
      <c r="A2326" t="inlineStr">
        <is>
          <t>LRCX</t>
        </is>
      </c>
      <c r="B2326" t="inlineStr">
        <is>
          <t>LRCX UW Equity</t>
        </is>
      </c>
      <c r="C2326" t="inlineStr">
        <is>
          <t>BEST_EBIT</t>
        </is>
      </c>
      <c r="D2326" t="inlineStr">
        <is>
          <t>28Y</t>
        </is>
      </c>
      <c r="E2326" t="inlineStr">
        <is>
          <t>EBIT estimate FY2028</t>
        </is>
      </c>
      <c r="F2326" s="53">
        <f>_xll.BDP("LRCX UW Equity","BEST_EBIT","BEST_FPERIOD_OVERRIDE","28Y")</f>
        <v/>
      </c>
    </row>
    <row r="2327">
      <c r="A2327" t="inlineStr">
        <is>
          <t>ONTO</t>
        </is>
      </c>
      <c r="B2327" t="inlineStr">
        <is>
          <t>ONTO UN Equity</t>
        </is>
      </c>
      <c r="C2327" t="inlineStr">
        <is>
          <t>PX_LAST</t>
        </is>
      </c>
      <c r="E2327" t="inlineStr">
        <is>
          <t>Last price</t>
        </is>
      </c>
      <c r="F2327" s="53">
        <f>_xll.BDP("ONTO UN Equity","PX_LAST")</f>
        <v/>
      </c>
    </row>
    <row r="2328">
      <c r="A2328" t="inlineStr">
        <is>
          <t>ONTO</t>
        </is>
      </c>
      <c r="B2328" t="inlineStr">
        <is>
          <t>ONTO UN Equity</t>
        </is>
      </c>
      <c r="C2328" t="inlineStr">
        <is>
          <t>CUR_MKT_CAP</t>
        </is>
      </c>
      <c r="E2328" t="inlineStr">
        <is>
          <t>Market cap (raw)</t>
        </is>
      </c>
      <c r="F2328" s="53">
        <f>_xll.BDP("ONTO UN Equity","CUR_MKT_CAP")</f>
        <v/>
      </c>
    </row>
    <row r="2329">
      <c r="A2329" t="inlineStr">
        <is>
          <t>ONTO</t>
        </is>
      </c>
      <c r="B2329" t="inlineStr">
        <is>
          <t>ONTO UN Equity</t>
        </is>
      </c>
      <c r="C2329" t="inlineStr">
        <is>
          <t>CHG_PCT_YTD</t>
        </is>
      </c>
      <c r="E2329" t="inlineStr">
        <is>
          <t>YTD price change %</t>
        </is>
      </c>
      <c r="F2329" s="53">
        <f>_xll.BDP("ONTO UN Equity","CHG_PCT_YTD")</f>
        <v/>
      </c>
    </row>
    <row r="2330">
      <c r="A2330" t="inlineStr">
        <is>
          <t>ONTO</t>
        </is>
      </c>
      <c r="B2330" t="inlineStr">
        <is>
          <t>ONTO UN Equity</t>
        </is>
      </c>
      <c r="C2330" t="inlineStr">
        <is>
          <t>NET_DEBT_TO_EBITDA</t>
        </is>
      </c>
      <c r="E2330" t="inlineStr">
        <is>
          <t>Net debt / EBITDA</t>
        </is>
      </c>
      <c r="F2330" s="53">
        <f>_xll.BDP("ONTO UN Equity","NET_DEBT_TO_EBITDA")</f>
        <v/>
      </c>
    </row>
    <row r="2331">
      <c r="A2331" t="inlineStr">
        <is>
          <t>ONTO</t>
        </is>
      </c>
      <c r="B2331" t="inlineStr">
        <is>
          <t>ONTO UN Equity</t>
        </is>
      </c>
      <c r="C2331" t="inlineStr">
        <is>
          <t>RETURN_ON_INV_CAPITAL</t>
        </is>
      </c>
      <c r="E2331" t="inlineStr">
        <is>
          <t>ROIC (LTM)</t>
        </is>
      </c>
      <c r="F2331" s="53">
        <f>_xll.BDP("ONTO UN Equity","RETURN_ON_INV_CAPITAL")</f>
        <v/>
      </c>
    </row>
    <row r="2332">
      <c r="A2332" t="inlineStr">
        <is>
          <t>ONTO</t>
        </is>
      </c>
      <c r="B2332" t="inlineStr">
        <is>
          <t>ONTO UN Equity</t>
        </is>
      </c>
      <c r="C2332" t="inlineStr">
        <is>
          <t>TRAIL_12M_OPER_INC</t>
        </is>
      </c>
      <c r="E2332" t="inlineStr">
        <is>
          <t>LTM operating income</t>
        </is>
      </c>
      <c r="F2332" s="53">
        <f>_xll.BDP("ONTO UN Equity","TRAIL_12M_OPER_INC")</f>
        <v/>
      </c>
    </row>
    <row r="2333">
      <c r="A2333" t="inlineStr">
        <is>
          <t>ONTO</t>
        </is>
      </c>
      <c r="B2333" t="inlineStr">
        <is>
          <t>ONTO UN Equity</t>
        </is>
      </c>
      <c r="C2333" t="inlineStr">
        <is>
          <t>TRAIL_12M_EBITDA</t>
        </is>
      </c>
      <c r="E2333" t="inlineStr">
        <is>
          <t>LTM EBITDA</t>
        </is>
      </c>
      <c r="F2333" s="53">
        <f>_xll.BDP("ONTO UN Equity","TRAIL_12M_EBITDA")</f>
        <v/>
      </c>
    </row>
    <row r="2334">
      <c r="A2334" t="inlineStr">
        <is>
          <t>ONTO</t>
        </is>
      </c>
      <c r="B2334" t="inlineStr">
        <is>
          <t>ONTO UN Equity</t>
        </is>
      </c>
      <c r="C2334" t="inlineStr">
        <is>
          <t>SHORT_AND_LONG_TERM_DEBT</t>
        </is>
      </c>
      <c r="E2334" t="inlineStr">
        <is>
          <t>Total debt</t>
        </is>
      </c>
      <c r="F2334" s="53">
        <f>_xll.BDP("ONTO UN Equity","SHORT_AND_LONG_TERM_DEBT")</f>
        <v/>
      </c>
    </row>
    <row r="2335">
      <c r="A2335" t="inlineStr">
        <is>
          <t>ONTO</t>
        </is>
      </c>
      <c r="B2335" t="inlineStr">
        <is>
          <t>ONTO UN Equity</t>
        </is>
      </c>
      <c r="C2335" t="inlineStr">
        <is>
          <t>TOTAL_EQUITY</t>
        </is>
      </c>
      <c r="E2335" t="inlineStr">
        <is>
          <t>Total equity</t>
        </is>
      </c>
      <c r="F2335" s="53">
        <f>_xll.BDP("ONTO UN Equity","TOTAL_EQUITY")</f>
        <v/>
      </c>
    </row>
    <row r="2336">
      <c r="A2336" t="inlineStr">
        <is>
          <t>ONTO</t>
        </is>
      </c>
      <c r="B2336" t="inlineStr">
        <is>
          <t>ONTO UN Equity</t>
        </is>
      </c>
      <c r="C2336" t="inlineStr">
        <is>
          <t>BS_CASH_NEAR_CASH_ITEM</t>
        </is>
      </c>
      <c r="E2336" t="inlineStr">
        <is>
          <t>Cash &amp; equivalents</t>
        </is>
      </c>
      <c r="F2336" s="53">
        <f>_xll.BDP("ONTO UN Equity","BS_CASH_NEAR_CASH_ITEM")</f>
        <v/>
      </c>
    </row>
    <row r="2337">
      <c r="A2337" t="inlineStr">
        <is>
          <t>ONTO</t>
        </is>
      </c>
      <c r="B2337" t="inlineStr">
        <is>
          <t>ONTO UN Equity</t>
        </is>
      </c>
      <c r="C2337" t="inlineStr">
        <is>
          <t>BEST_EPS</t>
        </is>
      </c>
      <c r="D2337" t="inlineStr">
        <is>
          <t>24Y</t>
        </is>
      </c>
      <c r="E2337" t="inlineStr">
        <is>
          <t>EPS estimate FY2024</t>
        </is>
      </c>
      <c r="F2337" s="53">
        <f>_xll.BDP("ONTO UN Equity","BEST_EPS","BEST_FPERIOD_OVERRIDE","24Y")</f>
        <v/>
      </c>
    </row>
    <row r="2338">
      <c r="A2338" t="inlineStr">
        <is>
          <t>ONTO</t>
        </is>
      </c>
      <c r="B2338" t="inlineStr">
        <is>
          <t>ONTO UN Equity</t>
        </is>
      </c>
      <c r="C2338" t="inlineStr">
        <is>
          <t>BEST_SALES</t>
        </is>
      </c>
      <c r="D2338" t="inlineStr">
        <is>
          <t>24Y</t>
        </is>
      </c>
      <c r="E2338" t="inlineStr">
        <is>
          <t>Revenue estimate FY2024</t>
        </is>
      </c>
      <c r="F2338" s="53">
        <f>_xll.BDP("ONTO UN Equity","BEST_SALES","BEST_FPERIOD_OVERRIDE","24Y")</f>
        <v/>
      </c>
    </row>
    <row r="2339">
      <c r="A2339" t="inlineStr">
        <is>
          <t>ONTO</t>
        </is>
      </c>
      <c r="B2339" t="inlineStr">
        <is>
          <t>ONTO UN Equity</t>
        </is>
      </c>
      <c r="C2339" t="inlineStr">
        <is>
          <t>BEST_EBIT</t>
        </is>
      </c>
      <c r="D2339" t="inlineStr">
        <is>
          <t>24Y</t>
        </is>
      </c>
      <c r="E2339" t="inlineStr">
        <is>
          <t>EBIT estimate FY2024</t>
        </is>
      </c>
      <c r="F2339" s="53">
        <f>_xll.BDP("ONTO UN Equity","BEST_EBIT","BEST_FPERIOD_OVERRIDE","24Y")</f>
        <v/>
      </c>
    </row>
    <row r="2340">
      <c r="A2340" t="inlineStr">
        <is>
          <t>ONTO</t>
        </is>
      </c>
      <c r="B2340" t="inlineStr">
        <is>
          <t>ONTO UN Equity</t>
        </is>
      </c>
      <c r="C2340" t="inlineStr">
        <is>
          <t>BEST_EPS</t>
        </is>
      </c>
      <c r="D2340" t="inlineStr">
        <is>
          <t>25Y</t>
        </is>
      </c>
      <c r="E2340" t="inlineStr">
        <is>
          <t>EPS estimate FY2025</t>
        </is>
      </c>
      <c r="F2340" s="53">
        <f>_xll.BDP("ONTO UN Equity","BEST_EPS","BEST_FPERIOD_OVERRIDE","25Y")</f>
        <v/>
      </c>
    </row>
    <row r="2341">
      <c r="A2341" t="inlineStr">
        <is>
          <t>ONTO</t>
        </is>
      </c>
      <c r="B2341" t="inlineStr">
        <is>
          <t>ONTO UN Equity</t>
        </is>
      </c>
      <c r="C2341" t="inlineStr">
        <is>
          <t>BEST_SALES</t>
        </is>
      </c>
      <c r="D2341" t="inlineStr">
        <is>
          <t>25Y</t>
        </is>
      </c>
      <c r="E2341" t="inlineStr">
        <is>
          <t>Revenue estimate FY2025</t>
        </is>
      </c>
      <c r="F2341" s="53">
        <f>_xll.BDP("ONTO UN Equity","BEST_SALES","BEST_FPERIOD_OVERRIDE","25Y")</f>
        <v/>
      </c>
    </row>
    <row r="2342">
      <c r="A2342" t="inlineStr">
        <is>
          <t>ONTO</t>
        </is>
      </c>
      <c r="B2342" t="inlineStr">
        <is>
          <t>ONTO UN Equity</t>
        </is>
      </c>
      <c r="C2342" t="inlineStr">
        <is>
          <t>BEST_EBIT</t>
        </is>
      </c>
      <c r="D2342" t="inlineStr">
        <is>
          <t>25Y</t>
        </is>
      </c>
      <c r="E2342" t="inlineStr">
        <is>
          <t>EBIT estimate FY2025</t>
        </is>
      </c>
      <c r="F2342" s="53">
        <f>_xll.BDP("ONTO UN Equity","BEST_EBIT","BEST_FPERIOD_OVERRIDE","25Y")</f>
        <v/>
      </c>
    </row>
    <row r="2343">
      <c r="A2343" t="inlineStr">
        <is>
          <t>ONTO</t>
        </is>
      </c>
      <c r="B2343" t="inlineStr">
        <is>
          <t>ONTO UN Equity</t>
        </is>
      </c>
      <c r="C2343" t="inlineStr">
        <is>
          <t>BEST_EPS</t>
        </is>
      </c>
      <c r="D2343" t="inlineStr">
        <is>
          <t>26Y</t>
        </is>
      </c>
      <c r="E2343" t="inlineStr">
        <is>
          <t>EPS estimate FY2026</t>
        </is>
      </c>
      <c r="F2343" s="53">
        <f>_xll.BDP("ONTO UN Equity","BEST_EPS","BEST_FPERIOD_OVERRIDE","26Y")</f>
        <v/>
      </c>
    </row>
    <row r="2344">
      <c r="A2344" t="inlineStr">
        <is>
          <t>ONTO</t>
        </is>
      </c>
      <c r="B2344" t="inlineStr">
        <is>
          <t>ONTO UN Equity</t>
        </is>
      </c>
      <c r="C2344" t="inlineStr">
        <is>
          <t>BEST_SALES</t>
        </is>
      </c>
      <c r="D2344" t="inlineStr">
        <is>
          <t>26Y</t>
        </is>
      </c>
      <c r="E2344" t="inlineStr">
        <is>
          <t>Revenue estimate FY2026</t>
        </is>
      </c>
      <c r="F2344" s="53">
        <f>_xll.BDP("ONTO UN Equity","BEST_SALES","BEST_FPERIOD_OVERRIDE","26Y")</f>
        <v/>
      </c>
    </row>
    <row r="2345">
      <c r="A2345" t="inlineStr">
        <is>
          <t>ONTO</t>
        </is>
      </c>
      <c r="B2345" t="inlineStr">
        <is>
          <t>ONTO UN Equity</t>
        </is>
      </c>
      <c r="C2345" t="inlineStr">
        <is>
          <t>BEST_EBIT</t>
        </is>
      </c>
      <c r="D2345" t="inlineStr">
        <is>
          <t>26Y</t>
        </is>
      </c>
      <c r="E2345" t="inlineStr">
        <is>
          <t>EBIT estimate FY2026</t>
        </is>
      </c>
      <c r="F2345" s="53">
        <f>_xll.BDP("ONTO UN Equity","BEST_EBIT","BEST_FPERIOD_OVERRIDE","26Y")</f>
        <v/>
      </c>
    </row>
    <row r="2346">
      <c r="A2346" t="inlineStr">
        <is>
          <t>ONTO</t>
        </is>
      </c>
      <c r="B2346" t="inlineStr">
        <is>
          <t>ONTO UN Equity</t>
        </is>
      </c>
      <c r="C2346" t="inlineStr">
        <is>
          <t>BEST_EPS</t>
        </is>
      </c>
      <c r="D2346" t="inlineStr">
        <is>
          <t>27Y</t>
        </is>
      </c>
      <c r="E2346" t="inlineStr">
        <is>
          <t>EPS estimate FY2027</t>
        </is>
      </c>
      <c r="F2346" s="53">
        <f>_xll.BDP("ONTO UN Equity","BEST_EPS","BEST_FPERIOD_OVERRIDE","27Y")</f>
        <v/>
      </c>
    </row>
    <row r="2347">
      <c r="A2347" t="inlineStr">
        <is>
          <t>ONTO</t>
        </is>
      </c>
      <c r="B2347" t="inlineStr">
        <is>
          <t>ONTO UN Equity</t>
        </is>
      </c>
      <c r="C2347" t="inlineStr">
        <is>
          <t>BEST_SALES</t>
        </is>
      </c>
      <c r="D2347" t="inlineStr">
        <is>
          <t>27Y</t>
        </is>
      </c>
      <c r="E2347" t="inlineStr">
        <is>
          <t>Revenue estimate FY2027</t>
        </is>
      </c>
      <c r="F2347" s="53">
        <f>_xll.BDP("ONTO UN Equity","BEST_SALES","BEST_FPERIOD_OVERRIDE","27Y")</f>
        <v/>
      </c>
    </row>
    <row r="2348">
      <c r="A2348" t="inlineStr">
        <is>
          <t>ONTO</t>
        </is>
      </c>
      <c r="B2348" t="inlineStr">
        <is>
          <t>ONTO UN Equity</t>
        </is>
      </c>
      <c r="C2348" t="inlineStr">
        <is>
          <t>BEST_EBIT</t>
        </is>
      </c>
      <c r="D2348" t="inlineStr">
        <is>
          <t>27Y</t>
        </is>
      </c>
      <c r="E2348" t="inlineStr">
        <is>
          <t>EBIT estimate FY2027</t>
        </is>
      </c>
      <c r="F2348" s="53">
        <f>_xll.BDP("ONTO UN Equity","BEST_EBIT","BEST_FPERIOD_OVERRIDE","27Y")</f>
        <v/>
      </c>
    </row>
    <row r="2349">
      <c r="A2349" t="inlineStr">
        <is>
          <t>ONTO</t>
        </is>
      </c>
      <c r="B2349" t="inlineStr">
        <is>
          <t>ONTO UN Equity</t>
        </is>
      </c>
      <c r="C2349" t="inlineStr">
        <is>
          <t>BEST_EPS</t>
        </is>
      </c>
      <c r="D2349" t="inlineStr">
        <is>
          <t>28Y</t>
        </is>
      </c>
      <c r="E2349" t="inlineStr">
        <is>
          <t>EPS estimate FY2028</t>
        </is>
      </c>
      <c r="F2349" s="53">
        <f>_xll.BDP("ONTO UN Equity","BEST_EPS","BEST_FPERIOD_OVERRIDE","28Y")</f>
        <v/>
      </c>
    </row>
    <row r="2350">
      <c r="A2350" t="inlineStr">
        <is>
          <t>ONTO</t>
        </is>
      </c>
      <c r="B2350" t="inlineStr">
        <is>
          <t>ONTO UN Equity</t>
        </is>
      </c>
      <c r="C2350" t="inlineStr">
        <is>
          <t>BEST_SALES</t>
        </is>
      </c>
      <c r="D2350" t="inlineStr">
        <is>
          <t>28Y</t>
        </is>
      </c>
      <c r="E2350" t="inlineStr">
        <is>
          <t>Revenue estimate FY2028</t>
        </is>
      </c>
      <c r="F2350" s="53">
        <f>_xll.BDP("ONTO UN Equity","BEST_SALES","BEST_FPERIOD_OVERRIDE","28Y")</f>
        <v/>
      </c>
    </row>
    <row r="2351">
      <c r="A2351" t="inlineStr">
        <is>
          <t>ONTO</t>
        </is>
      </c>
      <c r="B2351" t="inlineStr">
        <is>
          <t>ONTO UN Equity</t>
        </is>
      </c>
      <c r="C2351" t="inlineStr">
        <is>
          <t>BEST_EBIT</t>
        </is>
      </c>
      <c r="D2351" t="inlineStr">
        <is>
          <t>28Y</t>
        </is>
      </c>
      <c r="E2351" t="inlineStr">
        <is>
          <t>EBIT estimate FY2028</t>
        </is>
      </c>
      <c r="F2351" s="53">
        <f>_xll.BDP("ONTO UN Equity","BEST_EBIT","BEST_FPERIOD_OVERRIDE","28Y")</f>
        <v/>
      </c>
    </row>
    <row r="2352">
      <c r="A2352" t="inlineStr">
        <is>
          <t>TXN</t>
        </is>
      </c>
      <c r="B2352" t="inlineStr">
        <is>
          <t>TXN UW Equity</t>
        </is>
      </c>
      <c r="C2352" t="inlineStr">
        <is>
          <t>PX_LAST</t>
        </is>
      </c>
      <c r="E2352" t="inlineStr">
        <is>
          <t>Last price</t>
        </is>
      </c>
      <c r="F2352" s="53">
        <f>_xll.BDP("TXN UW Equity","PX_LAST")</f>
        <v/>
      </c>
    </row>
    <row r="2353">
      <c r="A2353" t="inlineStr">
        <is>
          <t>TXN</t>
        </is>
      </c>
      <c r="B2353" t="inlineStr">
        <is>
          <t>TXN UW Equity</t>
        </is>
      </c>
      <c r="C2353" t="inlineStr">
        <is>
          <t>CUR_MKT_CAP</t>
        </is>
      </c>
      <c r="E2353" t="inlineStr">
        <is>
          <t>Market cap (raw)</t>
        </is>
      </c>
      <c r="F2353" s="53">
        <f>_xll.BDP("TXN UW Equity","CUR_MKT_CAP")</f>
        <v/>
      </c>
    </row>
    <row r="2354">
      <c r="A2354" t="inlineStr">
        <is>
          <t>TXN</t>
        </is>
      </c>
      <c r="B2354" t="inlineStr">
        <is>
          <t>TXN UW Equity</t>
        </is>
      </c>
      <c r="C2354" t="inlineStr">
        <is>
          <t>CHG_PCT_YTD</t>
        </is>
      </c>
      <c r="E2354" t="inlineStr">
        <is>
          <t>YTD price change %</t>
        </is>
      </c>
      <c r="F2354" s="53">
        <f>_xll.BDP("TXN UW Equity","CHG_PCT_YTD")</f>
        <v/>
      </c>
    </row>
    <row r="2355">
      <c r="A2355" t="inlineStr">
        <is>
          <t>TXN</t>
        </is>
      </c>
      <c r="B2355" t="inlineStr">
        <is>
          <t>TXN UW Equity</t>
        </is>
      </c>
      <c r="C2355" t="inlineStr">
        <is>
          <t>NET_DEBT_TO_EBITDA</t>
        </is>
      </c>
      <c r="E2355" t="inlineStr">
        <is>
          <t>Net debt / EBITDA</t>
        </is>
      </c>
      <c r="F2355" s="53">
        <f>_xll.BDP("TXN UW Equity","NET_DEBT_TO_EBITDA")</f>
        <v/>
      </c>
    </row>
    <row r="2356">
      <c r="A2356" t="inlineStr">
        <is>
          <t>TXN</t>
        </is>
      </c>
      <c r="B2356" t="inlineStr">
        <is>
          <t>TXN UW Equity</t>
        </is>
      </c>
      <c r="C2356" t="inlineStr">
        <is>
          <t>RETURN_ON_INV_CAPITAL</t>
        </is>
      </c>
      <c r="E2356" t="inlineStr">
        <is>
          <t>ROIC (LTM)</t>
        </is>
      </c>
      <c r="F2356" s="53">
        <f>_xll.BDP("TXN UW Equity","RETURN_ON_INV_CAPITAL")</f>
        <v/>
      </c>
    </row>
    <row r="2357">
      <c r="A2357" t="inlineStr">
        <is>
          <t>TXN</t>
        </is>
      </c>
      <c r="B2357" t="inlineStr">
        <is>
          <t>TXN UW Equity</t>
        </is>
      </c>
      <c r="C2357" t="inlineStr">
        <is>
          <t>TRAIL_12M_OPER_INC</t>
        </is>
      </c>
      <c r="E2357" t="inlineStr">
        <is>
          <t>LTM operating income</t>
        </is>
      </c>
      <c r="F2357" s="53">
        <f>_xll.BDP("TXN UW Equity","TRAIL_12M_OPER_INC")</f>
        <v/>
      </c>
    </row>
    <row r="2358">
      <c r="A2358" t="inlineStr">
        <is>
          <t>TXN</t>
        </is>
      </c>
      <c r="B2358" t="inlineStr">
        <is>
          <t>TXN UW Equity</t>
        </is>
      </c>
      <c r="C2358" t="inlineStr">
        <is>
          <t>TRAIL_12M_EBITDA</t>
        </is>
      </c>
      <c r="E2358" t="inlineStr">
        <is>
          <t>LTM EBITDA</t>
        </is>
      </c>
      <c r="F2358" s="53">
        <f>_xll.BDP("TXN UW Equity","TRAIL_12M_EBITDA")</f>
        <v/>
      </c>
    </row>
    <row r="2359">
      <c r="A2359" t="inlineStr">
        <is>
          <t>TXN</t>
        </is>
      </c>
      <c r="B2359" t="inlineStr">
        <is>
          <t>TXN UW Equity</t>
        </is>
      </c>
      <c r="C2359" t="inlineStr">
        <is>
          <t>SHORT_AND_LONG_TERM_DEBT</t>
        </is>
      </c>
      <c r="E2359" t="inlineStr">
        <is>
          <t>Total debt</t>
        </is>
      </c>
      <c r="F2359" s="53">
        <f>_xll.BDP("TXN UW Equity","SHORT_AND_LONG_TERM_DEBT")</f>
        <v/>
      </c>
    </row>
    <row r="2360">
      <c r="A2360" t="inlineStr">
        <is>
          <t>TXN</t>
        </is>
      </c>
      <c r="B2360" t="inlineStr">
        <is>
          <t>TXN UW Equity</t>
        </is>
      </c>
      <c r="C2360" t="inlineStr">
        <is>
          <t>TOTAL_EQUITY</t>
        </is>
      </c>
      <c r="E2360" t="inlineStr">
        <is>
          <t>Total equity</t>
        </is>
      </c>
      <c r="F2360" s="53">
        <f>_xll.BDP("TXN UW Equity","TOTAL_EQUITY")</f>
        <v/>
      </c>
    </row>
    <row r="2361">
      <c r="A2361" t="inlineStr">
        <is>
          <t>TXN</t>
        </is>
      </c>
      <c r="B2361" t="inlineStr">
        <is>
          <t>TXN UW Equity</t>
        </is>
      </c>
      <c r="C2361" t="inlineStr">
        <is>
          <t>BS_CASH_NEAR_CASH_ITEM</t>
        </is>
      </c>
      <c r="E2361" t="inlineStr">
        <is>
          <t>Cash &amp; equivalents</t>
        </is>
      </c>
      <c r="F2361" s="53">
        <f>_xll.BDP("TXN UW Equity","BS_CASH_NEAR_CASH_ITEM")</f>
        <v/>
      </c>
    </row>
    <row r="2362">
      <c r="A2362" t="inlineStr">
        <is>
          <t>TXN</t>
        </is>
      </c>
      <c r="B2362" t="inlineStr">
        <is>
          <t>TXN UW Equity</t>
        </is>
      </c>
      <c r="C2362" t="inlineStr">
        <is>
          <t>BEST_EPS</t>
        </is>
      </c>
      <c r="D2362" t="inlineStr">
        <is>
          <t>24Y</t>
        </is>
      </c>
      <c r="E2362" t="inlineStr">
        <is>
          <t>EPS estimate FY2024</t>
        </is>
      </c>
      <c r="F2362" s="53">
        <f>_xll.BDP("TXN UW Equity","BEST_EPS","BEST_FPERIOD_OVERRIDE","24Y")</f>
        <v/>
      </c>
    </row>
    <row r="2363">
      <c r="A2363" t="inlineStr">
        <is>
          <t>TXN</t>
        </is>
      </c>
      <c r="B2363" t="inlineStr">
        <is>
          <t>TXN UW Equity</t>
        </is>
      </c>
      <c r="C2363" t="inlineStr">
        <is>
          <t>BEST_SALES</t>
        </is>
      </c>
      <c r="D2363" t="inlineStr">
        <is>
          <t>24Y</t>
        </is>
      </c>
      <c r="E2363" t="inlineStr">
        <is>
          <t>Revenue estimate FY2024</t>
        </is>
      </c>
      <c r="F2363" s="53">
        <f>_xll.BDP("TXN UW Equity","BEST_SALES","BEST_FPERIOD_OVERRIDE","24Y")</f>
        <v/>
      </c>
    </row>
    <row r="2364">
      <c r="A2364" t="inlineStr">
        <is>
          <t>TXN</t>
        </is>
      </c>
      <c r="B2364" t="inlineStr">
        <is>
          <t>TXN UW Equity</t>
        </is>
      </c>
      <c r="C2364" t="inlineStr">
        <is>
          <t>BEST_EBIT</t>
        </is>
      </c>
      <c r="D2364" t="inlineStr">
        <is>
          <t>24Y</t>
        </is>
      </c>
      <c r="E2364" t="inlineStr">
        <is>
          <t>EBIT estimate FY2024</t>
        </is>
      </c>
      <c r="F2364" s="53">
        <f>_xll.BDP("TXN UW Equity","BEST_EBIT","BEST_FPERIOD_OVERRIDE","24Y")</f>
        <v/>
      </c>
    </row>
    <row r="2365">
      <c r="A2365" t="inlineStr">
        <is>
          <t>TXN</t>
        </is>
      </c>
      <c r="B2365" t="inlineStr">
        <is>
          <t>TXN UW Equity</t>
        </is>
      </c>
      <c r="C2365" t="inlineStr">
        <is>
          <t>BEST_EPS</t>
        </is>
      </c>
      <c r="D2365" t="inlineStr">
        <is>
          <t>25Y</t>
        </is>
      </c>
      <c r="E2365" t="inlineStr">
        <is>
          <t>EPS estimate FY2025</t>
        </is>
      </c>
      <c r="F2365" s="53">
        <f>_xll.BDP("TXN UW Equity","BEST_EPS","BEST_FPERIOD_OVERRIDE","25Y")</f>
        <v/>
      </c>
    </row>
    <row r="2366">
      <c r="A2366" t="inlineStr">
        <is>
          <t>TXN</t>
        </is>
      </c>
      <c r="B2366" t="inlineStr">
        <is>
          <t>TXN UW Equity</t>
        </is>
      </c>
      <c r="C2366" t="inlineStr">
        <is>
          <t>BEST_SALES</t>
        </is>
      </c>
      <c r="D2366" t="inlineStr">
        <is>
          <t>25Y</t>
        </is>
      </c>
      <c r="E2366" t="inlineStr">
        <is>
          <t>Revenue estimate FY2025</t>
        </is>
      </c>
      <c r="F2366" s="53">
        <f>_xll.BDP("TXN UW Equity","BEST_SALES","BEST_FPERIOD_OVERRIDE","25Y")</f>
        <v/>
      </c>
    </row>
    <row r="2367">
      <c r="A2367" t="inlineStr">
        <is>
          <t>TXN</t>
        </is>
      </c>
      <c r="B2367" t="inlineStr">
        <is>
          <t>TXN UW Equity</t>
        </is>
      </c>
      <c r="C2367" t="inlineStr">
        <is>
          <t>BEST_EBIT</t>
        </is>
      </c>
      <c r="D2367" t="inlineStr">
        <is>
          <t>25Y</t>
        </is>
      </c>
      <c r="E2367" t="inlineStr">
        <is>
          <t>EBIT estimate FY2025</t>
        </is>
      </c>
      <c r="F2367" s="53">
        <f>_xll.BDP("TXN UW Equity","BEST_EBIT","BEST_FPERIOD_OVERRIDE","25Y")</f>
        <v/>
      </c>
    </row>
    <row r="2368">
      <c r="A2368" t="inlineStr">
        <is>
          <t>TXN</t>
        </is>
      </c>
      <c r="B2368" t="inlineStr">
        <is>
          <t>TXN UW Equity</t>
        </is>
      </c>
      <c r="C2368" t="inlineStr">
        <is>
          <t>BEST_EPS</t>
        </is>
      </c>
      <c r="D2368" t="inlineStr">
        <is>
          <t>26Y</t>
        </is>
      </c>
      <c r="E2368" t="inlineStr">
        <is>
          <t>EPS estimate FY2026</t>
        </is>
      </c>
      <c r="F2368" s="53">
        <f>_xll.BDP("TXN UW Equity","BEST_EPS","BEST_FPERIOD_OVERRIDE","26Y")</f>
        <v/>
      </c>
    </row>
    <row r="2369">
      <c r="A2369" t="inlineStr">
        <is>
          <t>TXN</t>
        </is>
      </c>
      <c r="B2369" t="inlineStr">
        <is>
          <t>TXN UW Equity</t>
        </is>
      </c>
      <c r="C2369" t="inlineStr">
        <is>
          <t>BEST_SALES</t>
        </is>
      </c>
      <c r="D2369" t="inlineStr">
        <is>
          <t>26Y</t>
        </is>
      </c>
      <c r="E2369" t="inlineStr">
        <is>
          <t>Revenue estimate FY2026</t>
        </is>
      </c>
      <c r="F2369" s="53">
        <f>_xll.BDP("TXN UW Equity","BEST_SALES","BEST_FPERIOD_OVERRIDE","26Y")</f>
        <v/>
      </c>
    </row>
    <row r="2370">
      <c r="A2370" t="inlineStr">
        <is>
          <t>TXN</t>
        </is>
      </c>
      <c r="B2370" t="inlineStr">
        <is>
          <t>TXN UW Equity</t>
        </is>
      </c>
      <c r="C2370" t="inlineStr">
        <is>
          <t>BEST_EBIT</t>
        </is>
      </c>
      <c r="D2370" t="inlineStr">
        <is>
          <t>26Y</t>
        </is>
      </c>
      <c r="E2370" t="inlineStr">
        <is>
          <t>EBIT estimate FY2026</t>
        </is>
      </c>
      <c r="F2370" s="53">
        <f>_xll.BDP("TXN UW Equity","BEST_EBIT","BEST_FPERIOD_OVERRIDE","26Y")</f>
        <v/>
      </c>
    </row>
    <row r="2371">
      <c r="A2371" t="inlineStr">
        <is>
          <t>TXN</t>
        </is>
      </c>
      <c r="B2371" t="inlineStr">
        <is>
          <t>TXN UW Equity</t>
        </is>
      </c>
      <c r="C2371" t="inlineStr">
        <is>
          <t>BEST_EPS</t>
        </is>
      </c>
      <c r="D2371" t="inlineStr">
        <is>
          <t>27Y</t>
        </is>
      </c>
      <c r="E2371" t="inlineStr">
        <is>
          <t>EPS estimate FY2027</t>
        </is>
      </c>
      <c r="F2371" s="53">
        <f>_xll.BDP("TXN UW Equity","BEST_EPS","BEST_FPERIOD_OVERRIDE","27Y")</f>
        <v/>
      </c>
    </row>
    <row r="2372">
      <c r="A2372" t="inlineStr">
        <is>
          <t>TXN</t>
        </is>
      </c>
      <c r="B2372" t="inlineStr">
        <is>
          <t>TXN UW Equity</t>
        </is>
      </c>
      <c r="C2372" t="inlineStr">
        <is>
          <t>BEST_SALES</t>
        </is>
      </c>
      <c r="D2372" t="inlineStr">
        <is>
          <t>27Y</t>
        </is>
      </c>
      <c r="E2372" t="inlineStr">
        <is>
          <t>Revenue estimate FY2027</t>
        </is>
      </c>
      <c r="F2372" s="53">
        <f>_xll.BDP("TXN UW Equity","BEST_SALES","BEST_FPERIOD_OVERRIDE","27Y")</f>
        <v/>
      </c>
    </row>
    <row r="2373">
      <c r="A2373" t="inlineStr">
        <is>
          <t>TXN</t>
        </is>
      </c>
      <c r="B2373" t="inlineStr">
        <is>
          <t>TXN UW Equity</t>
        </is>
      </c>
      <c r="C2373" t="inlineStr">
        <is>
          <t>BEST_EBIT</t>
        </is>
      </c>
      <c r="D2373" t="inlineStr">
        <is>
          <t>27Y</t>
        </is>
      </c>
      <c r="E2373" t="inlineStr">
        <is>
          <t>EBIT estimate FY2027</t>
        </is>
      </c>
      <c r="F2373" s="53">
        <f>_xll.BDP("TXN UW Equity","BEST_EBIT","BEST_FPERIOD_OVERRIDE","27Y")</f>
        <v/>
      </c>
    </row>
    <row r="2374">
      <c r="A2374" t="inlineStr">
        <is>
          <t>TXN</t>
        </is>
      </c>
      <c r="B2374" t="inlineStr">
        <is>
          <t>TXN UW Equity</t>
        </is>
      </c>
      <c r="C2374" t="inlineStr">
        <is>
          <t>BEST_EPS</t>
        </is>
      </c>
      <c r="D2374" t="inlineStr">
        <is>
          <t>28Y</t>
        </is>
      </c>
      <c r="E2374" t="inlineStr">
        <is>
          <t>EPS estimate FY2028</t>
        </is>
      </c>
      <c r="F2374" s="53">
        <f>_xll.BDP("TXN UW Equity","BEST_EPS","BEST_FPERIOD_OVERRIDE","28Y")</f>
        <v/>
      </c>
    </row>
    <row r="2375">
      <c r="A2375" t="inlineStr">
        <is>
          <t>TXN</t>
        </is>
      </c>
      <c r="B2375" t="inlineStr">
        <is>
          <t>TXN UW Equity</t>
        </is>
      </c>
      <c r="C2375" t="inlineStr">
        <is>
          <t>BEST_SALES</t>
        </is>
      </c>
      <c r="D2375" t="inlineStr">
        <is>
          <t>28Y</t>
        </is>
      </c>
      <c r="E2375" t="inlineStr">
        <is>
          <t>Revenue estimate FY2028</t>
        </is>
      </c>
      <c r="F2375" s="53">
        <f>_xll.BDP("TXN UW Equity","BEST_SALES","BEST_FPERIOD_OVERRIDE","28Y")</f>
        <v/>
      </c>
    </row>
    <row r="2376">
      <c r="A2376" t="inlineStr">
        <is>
          <t>TXN</t>
        </is>
      </c>
      <c r="B2376" t="inlineStr">
        <is>
          <t>TXN UW Equity</t>
        </is>
      </c>
      <c r="C2376" t="inlineStr">
        <is>
          <t>BEST_EBIT</t>
        </is>
      </c>
      <c r="D2376" t="inlineStr">
        <is>
          <t>28Y</t>
        </is>
      </c>
      <c r="E2376" t="inlineStr">
        <is>
          <t>EBIT estimate FY2028</t>
        </is>
      </c>
      <c r="F2376" s="53">
        <f>_xll.BDP("TXN UW Equity","BEST_EBIT","BEST_FPERIOD_OVERRIDE","28Y")</f>
        <v/>
      </c>
    </row>
    <row r="2377">
      <c r="A2377" t="inlineStr">
        <is>
          <t>ADI</t>
        </is>
      </c>
      <c r="B2377" t="inlineStr">
        <is>
          <t>ADI UW Equity</t>
        </is>
      </c>
      <c r="C2377" t="inlineStr">
        <is>
          <t>PX_LAST</t>
        </is>
      </c>
      <c r="E2377" t="inlineStr">
        <is>
          <t>Last price</t>
        </is>
      </c>
      <c r="F2377" s="53">
        <f>_xll.BDP("ADI UW Equity","PX_LAST")</f>
        <v/>
      </c>
    </row>
    <row r="2378">
      <c r="A2378" t="inlineStr">
        <is>
          <t>ADI</t>
        </is>
      </c>
      <c r="B2378" t="inlineStr">
        <is>
          <t>ADI UW Equity</t>
        </is>
      </c>
      <c r="C2378" t="inlineStr">
        <is>
          <t>CUR_MKT_CAP</t>
        </is>
      </c>
      <c r="E2378" t="inlineStr">
        <is>
          <t>Market cap (raw)</t>
        </is>
      </c>
      <c r="F2378" s="53">
        <f>_xll.BDP("ADI UW Equity","CUR_MKT_CAP")</f>
        <v/>
      </c>
    </row>
    <row r="2379">
      <c r="A2379" t="inlineStr">
        <is>
          <t>ADI</t>
        </is>
      </c>
      <c r="B2379" t="inlineStr">
        <is>
          <t>ADI UW Equity</t>
        </is>
      </c>
      <c r="C2379" t="inlineStr">
        <is>
          <t>CHG_PCT_YTD</t>
        </is>
      </c>
      <c r="E2379" t="inlineStr">
        <is>
          <t>YTD price change %</t>
        </is>
      </c>
      <c r="F2379" s="53">
        <f>_xll.BDP("ADI UW Equity","CHG_PCT_YTD")</f>
        <v/>
      </c>
    </row>
    <row r="2380">
      <c r="A2380" t="inlineStr">
        <is>
          <t>ADI</t>
        </is>
      </c>
      <c r="B2380" t="inlineStr">
        <is>
          <t>ADI UW Equity</t>
        </is>
      </c>
      <c r="C2380" t="inlineStr">
        <is>
          <t>NET_DEBT_TO_EBITDA</t>
        </is>
      </c>
      <c r="E2380" t="inlineStr">
        <is>
          <t>Net debt / EBITDA</t>
        </is>
      </c>
      <c r="F2380" s="53">
        <f>_xll.BDP("ADI UW Equity","NET_DEBT_TO_EBITDA")</f>
        <v/>
      </c>
    </row>
    <row r="2381">
      <c r="A2381" t="inlineStr">
        <is>
          <t>ADI</t>
        </is>
      </c>
      <c r="B2381" t="inlineStr">
        <is>
          <t>ADI UW Equity</t>
        </is>
      </c>
      <c r="C2381" t="inlineStr">
        <is>
          <t>RETURN_ON_INV_CAPITAL</t>
        </is>
      </c>
      <c r="E2381" t="inlineStr">
        <is>
          <t>ROIC (LTM)</t>
        </is>
      </c>
      <c r="F2381" s="53">
        <f>_xll.BDP("ADI UW Equity","RETURN_ON_INV_CAPITAL")</f>
        <v/>
      </c>
    </row>
    <row r="2382">
      <c r="A2382" t="inlineStr">
        <is>
          <t>ADI</t>
        </is>
      </c>
      <c r="B2382" t="inlineStr">
        <is>
          <t>ADI UW Equity</t>
        </is>
      </c>
      <c r="C2382" t="inlineStr">
        <is>
          <t>TRAIL_12M_OPER_INC</t>
        </is>
      </c>
      <c r="E2382" t="inlineStr">
        <is>
          <t>LTM operating income</t>
        </is>
      </c>
      <c r="F2382" s="53">
        <f>_xll.BDP("ADI UW Equity","TRAIL_12M_OPER_INC")</f>
        <v/>
      </c>
    </row>
    <row r="2383">
      <c r="A2383" t="inlineStr">
        <is>
          <t>ADI</t>
        </is>
      </c>
      <c r="B2383" t="inlineStr">
        <is>
          <t>ADI UW Equity</t>
        </is>
      </c>
      <c r="C2383" t="inlineStr">
        <is>
          <t>TRAIL_12M_EBITDA</t>
        </is>
      </c>
      <c r="E2383" t="inlineStr">
        <is>
          <t>LTM EBITDA</t>
        </is>
      </c>
      <c r="F2383" s="53">
        <f>_xll.BDP("ADI UW Equity","TRAIL_12M_EBITDA")</f>
        <v/>
      </c>
    </row>
    <row r="2384">
      <c r="A2384" t="inlineStr">
        <is>
          <t>ADI</t>
        </is>
      </c>
      <c r="B2384" t="inlineStr">
        <is>
          <t>ADI UW Equity</t>
        </is>
      </c>
      <c r="C2384" t="inlineStr">
        <is>
          <t>SHORT_AND_LONG_TERM_DEBT</t>
        </is>
      </c>
      <c r="E2384" t="inlineStr">
        <is>
          <t>Total debt</t>
        </is>
      </c>
      <c r="F2384" s="53">
        <f>_xll.BDP("ADI UW Equity","SHORT_AND_LONG_TERM_DEBT")</f>
        <v/>
      </c>
    </row>
    <row r="2385">
      <c r="A2385" t="inlineStr">
        <is>
          <t>ADI</t>
        </is>
      </c>
      <c r="B2385" t="inlineStr">
        <is>
          <t>ADI UW Equity</t>
        </is>
      </c>
      <c r="C2385" t="inlineStr">
        <is>
          <t>TOTAL_EQUITY</t>
        </is>
      </c>
      <c r="E2385" t="inlineStr">
        <is>
          <t>Total equity</t>
        </is>
      </c>
      <c r="F2385" s="53">
        <f>_xll.BDP("ADI UW Equity","TOTAL_EQUITY")</f>
        <v/>
      </c>
    </row>
    <row r="2386">
      <c r="A2386" t="inlineStr">
        <is>
          <t>ADI</t>
        </is>
      </c>
      <c r="B2386" t="inlineStr">
        <is>
          <t>ADI UW Equity</t>
        </is>
      </c>
      <c r="C2386" t="inlineStr">
        <is>
          <t>BS_CASH_NEAR_CASH_ITEM</t>
        </is>
      </c>
      <c r="E2386" t="inlineStr">
        <is>
          <t>Cash &amp; equivalents</t>
        </is>
      </c>
      <c r="F2386" s="53">
        <f>_xll.BDP("ADI UW Equity","BS_CASH_NEAR_CASH_ITEM")</f>
        <v/>
      </c>
    </row>
    <row r="2387">
      <c r="A2387" t="inlineStr">
        <is>
          <t>ADI</t>
        </is>
      </c>
      <c r="B2387" t="inlineStr">
        <is>
          <t>ADI UW Equity</t>
        </is>
      </c>
      <c r="C2387" t="inlineStr">
        <is>
          <t>BEST_EPS</t>
        </is>
      </c>
      <c r="D2387" t="inlineStr">
        <is>
          <t>24Y</t>
        </is>
      </c>
      <c r="E2387" t="inlineStr">
        <is>
          <t>EPS estimate FY2024</t>
        </is>
      </c>
      <c r="F2387" s="53">
        <f>_xll.BDP("ADI UW Equity","BEST_EPS","BEST_FPERIOD_OVERRIDE","24Y")</f>
        <v/>
      </c>
    </row>
    <row r="2388">
      <c r="A2388" t="inlineStr">
        <is>
          <t>ADI</t>
        </is>
      </c>
      <c r="B2388" t="inlineStr">
        <is>
          <t>ADI UW Equity</t>
        </is>
      </c>
      <c r="C2388" t="inlineStr">
        <is>
          <t>BEST_SALES</t>
        </is>
      </c>
      <c r="D2388" t="inlineStr">
        <is>
          <t>24Y</t>
        </is>
      </c>
      <c r="E2388" t="inlineStr">
        <is>
          <t>Revenue estimate FY2024</t>
        </is>
      </c>
      <c r="F2388" s="53">
        <f>_xll.BDP("ADI UW Equity","BEST_SALES","BEST_FPERIOD_OVERRIDE","24Y")</f>
        <v/>
      </c>
    </row>
    <row r="2389">
      <c r="A2389" t="inlineStr">
        <is>
          <t>ADI</t>
        </is>
      </c>
      <c r="B2389" t="inlineStr">
        <is>
          <t>ADI UW Equity</t>
        </is>
      </c>
      <c r="C2389" t="inlineStr">
        <is>
          <t>BEST_EBIT</t>
        </is>
      </c>
      <c r="D2389" t="inlineStr">
        <is>
          <t>24Y</t>
        </is>
      </c>
      <c r="E2389" t="inlineStr">
        <is>
          <t>EBIT estimate FY2024</t>
        </is>
      </c>
      <c r="F2389" s="53">
        <f>_xll.BDP("ADI UW Equity","BEST_EBIT","BEST_FPERIOD_OVERRIDE","24Y")</f>
        <v/>
      </c>
    </row>
    <row r="2390">
      <c r="A2390" t="inlineStr">
        <is>
          <t>ADI</t>
        </is>
      </c>
      <c r="B2390" t="inlineStr">
        <is>
          <t>ADI UW Equity</t>
        </is>
      </c>
      <c r="C2390" t="inlineStr">
        <is>
          <t>BEST_EPS</t>
        </is>
      </c>
      <c r="D2390" t="inlineStr">
        <is>
          <t>25Y</t>
        </is>
      </c>
      <c r="E2390" t="inlineStr">
        <is>
          <t>EPS estimate FY2025</t>
        </is>
      </c>
      <c r="F2390" s="53">
        <f>_xll.BDP("ADI UW Equity","BEST_EPS","BEST_FPERIOD_OVERRIDE","25Y")</f>
        <v/>
      </c>
    </row>
    <row r="2391">
      <c r="A2391" t="inlineStr">
        <is>
          <t>ADI</t>
        </is>
      </c>
      <c r="B2391" t="inlineStr">
        <is>
          <t>ADI UW Equity</t>
        </is>
      </c>
      <c r="C2391" t="inlineStr">
        <is>
          <t>BEST_SALES</t>
        </is>
      </c>
      <c r="D2391" t="inlineStr">
        <is>
          <t>25Y</t>
        </is>
      </c>
      <c r="E2391" t="inlineStr">
        <is>
          <t>Revenue estimate FY2025</t>
        </is>
      </c>
      <c r="F2391" s="53">
        <f>_xll.BDP("ADI UW Equity","BEST_SALES","BEST_FPERIOD_OVERRIDE","25Y")</f>
        <v/>
      </c>
    </row>
    <row r="2392">
      <c r="A2392" t="inlineStr">
        <is>
          <t>ADI</t>
        </is>
      </c>
      <c r="B2392" t="inlineStr">
        <is>
          <t>ADI UW Equity</t>
        </is>
      </c>
      <c r="C2392" t="inlineStr">
        <is>
          <t>BEST_EBIT</t>
        </is>
      </c>
      <c r="D2392" t="inlineStr">
        <is>
          <t>25Y</t>
        </is>
      </c>
      <c r="E2392" t="inlineStr">
        <is>
          <t>EBIT estimate FY2025</t>
        </is>
      </c>
      <c r="F2392" s="53">
        <f>_xll.BDP("ADI UW Equity","BEST_EBIT","BEST_FPERIOD_OVERRIDE","25Y")</f>
        <v/>
      </c>
    </row>
    <row r="2393">
      <c r="A2393" t="inlineStr">
        <is>
          <t>ADI</t>
        </is>
      </c>
      <c r="B2393" t="inlineStr">
        <is>
          <t>ADI UW Equity</t>
        </is>
      </c>
      <c r="C2393" t="inlineStr">
        <is>
          <t>BEST_EPS</t>
        </is>
      </c>
      <c r="D2393" t="inlineStr">
        <is>
          <t>26Y</t>
        </is>
      </c>
      <c r="E2393" t="inlineStr">
        <is>
          <t>EPS estimate FY2026</t>
        </is>
      </c>
      <c r="F2393" s="53">
        <f>_xll.BDP("ADI UW Equity","BEST_EPS","BEST_FPERIOD_OVERRIDE","26Y")</f>
        <v/>
      </c>
    </row>
    <row r="2394">
      <c r="A2394" t="inlineStr">
        <is>
          <t>ADI</t>
        </is>
      </c>
      <c r="B2394" t="inlineStr">
        <is>
          <t>ADI UW Equity</t>
        </is>
      </c>
      <c r="C2394" t="inlineStr">
        <is>
          <t>BEST_SALES</t>
        </is>
      </c>
      <c r="D2394" t="inlineStr">
        <is>
          <t>26Y</t>
        </is>
      </c>
      <c r="E2394" t="inlineStr">
        <is>
          <t>Revenue estimate FY2026</t>
        </is>
      </c>
      <c r="F2394" s="53">
        <f>_xll.BDP("ADI UW Equity","BEST_SALES","BEST_FPERIOD_OVERRIDE","26Y")</f>
        <v/>
      </c>
    </row>
    <row r="2395">
      <c r="A2395" t="inlineStr">
        <is>
          <t>ADI</t>
        </is>
      </c>
      <c r="B2395" t="inlineStr">
        <is>
          <t>ADI UW Equity</t>
        </is>
      </c>
      <c r="C2395" t="inlineStr">
        <is>
          <t>BEST_EBIT</t>
        </is>
      </c>
      <c r="D2395" t="inlineStr">
        <is>
          <t>26Y</t>
        </is>
      </c>
      <c r="E2395" t="inlineStr">
        <is>
          <t>EBIT estimate FY2026</t>
        </is>
      </c>
      <c r="F2395" s="53">
        <f>_xll.BDP("ADI UW Equity","BEST_EBIT","BEST_FPERIOD_OVERRIDE","26Y")</f>
        <v/>
      </c>
    </row>
    <row r="2396">
      <c r="A2396" t="inlineStr">
        <is>
          <t>ADI</t>
        </is>
      </c>
      <c r="B2396" t="inlineStr">
        <is>
          <t>ADI UW Equity</t>
        </is>
      </c>
      <c r="C2396" t="inlineStr">
        <is>
          <t>BEST_EPS</t>
        </is>
      </c>
      <c r="D2396" t="inlineStr">
        <is>
          <t>27Y</t>
        </is>
      </c>
      <c r="E2396" t="inlineStr">
        <is>
          <t>EPS estimate FY2027</t>
        </is>
      </c>
      <c r="F2396" s="53">
        <f>_xll.BDP("ADI UW Equity","BEST_EPS","BEST_FPERIOD_OVERRIDE","27Y")</f>
        <v/>
      </c>
    </row>
    <row r="2397">
      <c r="A2397" t="inlineStr">
        <is>
          <t>ADI</t>
        </is>
      </c>
      <c r="B2397" t="inlineStr">
        <is>
          <t>ADI UW Equity</t>
        </is>
      </c>
      <c r="C2397" t="inlineStr">
        <is>
          <t>BEST_SALES</t>
        </is>
      </c>
      <c r="D2397" t="inlineStr">
        <is>
          <t>27Y</t>
        </is>
      </c>
      <c r="E2397" t="inlineStr">
        <is>
          <t>Revenue estimate FY2027</t>
        </is>
      </c>
      <c r="F2397" s="53">
        <f>_xll.BDP("ADI UW Equity","BEST_SALES","BEST_FPERIOD_OVERRIDE","27Y")</f>
        <v/>
      </c>
    </row>
    <row r="2398">
      <c r="A2398" t="inlineStr">
        <is>
          <t>ADI</t>
        </is>
      </c>
      <c r="B2398" t="inlineStr">
        <is>
          <t>ADI UW Equity</t>
        </is>
      </c>
      <c r="C2398" t="inlineStr">
        <is>
          <t>BEST_EBIT</t>
        </is>
      </c>
      <c r="D2398" t="inlineStr">
        <is>
          <t>27Y</t>
        </is>
      </c>
      <c r="E2398" t="inlineStr">
        <is>
          <t>EBIT estimate FY2027</t>
        </is>
      </c>
      <c r="F2398" s="53">
        <f>_xll.BDP("ADI UW Equity","BEST_EBIT","BEST_FPERIOD_OVERRIDE","27Y")</f>
        <v/>
      </c>
    </row>
    <row r="2399">
      <c r="A2399" t="inlineStr">
        <is>
          <t>ADI</t>
        </is>
      </c>
      <c r="B2399" t="inlineStr">
        <is>
          <t>ADI UW Equity</t>
        </is>
      </c>
      <c r="C2399" t="inlineStr">
        <is>
          <t>BEST_EPS</t>
        </is>
      </c>
      <c r="D2399" t="inlineStr">
        <is>
          <t>28Y</t>
        </is>
      </c>
      <c r="E2399" t="inlineStr">
        <is>
          <t>EPS estimate FY2028</t>
        </is>
      </c>
      <c r="F2399" s="53">
        <f>_xll.BDP("ADI UW Equity","BEST_EPS","BEST_FPERIOD_OVERRIDE","28Y")</f>
        <v/>
      </c>
    </row>
    <row r="2400">
      <c r="A2400" t="inlineStr">
        <is>
          <t>ADI</t>
        </is>
      </c>
      <c r="B2400" t="inlineStr">
        <is>
          <t>ADI UW Equity</t>
        </is>
      </c>
      <c r="C2400" t="inlineStr">
        <is>
          <t>BEST_SALES</t>
        </is>
      </c>
      <c r="D2400" t="inlineStr">
        <is>
          <t>28Y</t>
        </is>
      </c>
      <c r="E2400" t="inlineStr">
        <is>
          <t>Revenue estimate FY2028</t>
        </is>
      </c>
      <c r="F2400" s="53">
        <f>_xll.BDP("ADI UW Equity","BEST_SALES","BEST_FPERIOD_OVERRIDE","28Y")</f>
        <v/>
      </c>
    </row>
    <row r="2401">
      <c r="A2401" t="inlineStr">
        <is>
          <t>ADI</t>
        </is>
      </c>
      <c r="B2401" t="inlineStr">
        <is>
          <t>ADI UW Equity</t>
        </is>
      </c>
      <c r="C2401" t="inlineStr">
        <is>
          <t>BEST_EBIT</t>
        </is>
      </c>
      <c r="D2401" t="inlineStr">
        <is>
          <t>28Y</t>
        </is>
      </c>
      <c r="E2401" t="inlineStr">
        <is>
          <t>EBIT estimate FY2028</t>
        </is>
      </c>
      <c r="F2401" s="53">
        <f>_xll.BDP("ADI UW Equity","BEST_EBIT","BEST_FPERIOD_OVERRIDE","28Y")</f>
        <v/>
      </c>
    </row>
    <row r="2402">
      <c r="A2402" t="inlineStr">
        <is>
          <t>MPWR</t>
        </is>
      </c>
      <c r="B2402" t="inlineStr">
        <is>
          <t>MPWR UW Equity</t>
        </is>
      </c>
      <c r="C2402" t="inlineStr">
        <is>
          <t>PX_LAST</t>
        </is>
      </c>
      <c r="E2402" t="inlineStr">
        <is>
          <t>Last price</t>
        </is>
      </c>
      <c r="F2402" s="53">
        <f>_xll.BDP("MPWR UW Equity","PX_LAST")</f>
        <v/>
      </c>
    </row>
    <row r="2403">
      <c r="A2403" t="inlineStr">
        <is>
          <t>MPWR</t>
        </is>
      </c>
      <c r="B2403" t="inlineStr">
        <is>
          <t>MPWR UW Equity</t>
        </is>
      </c>
      <c r="C2403" t="inlineStr">
        <is>
          <t>CUR_MKT_CAP</t>
        </is>
      </c>
      <c r="E2403" t="inlineStr">
        <is>
          <t>Market cap (raw)</t>
        </is>
      </c>
      <c r="F2403" s="53">
        <f>_xll.BDP("MPWR UW Equity","CUR_MKT_CAP")</f>
        <v/>
      </c>
    </row>
    <row r="2404">
      <c r="A2404" t="inlineStr">
        <is>
          <t>MPWR</t>
        </is>
      </c>
      <c r="B2404" t="inlineStr">
        <is>
          <t>MPWR UW Equity</t>
        </is>
      </c>
      <c r="C2404" t="inlineStr">
        <is>
          <t>CHG_PCT_YTD</t>
        </is>
      </c>
      <c r="E2404" t="inlineStr">
        <is>
          <t>YTD price change %</t>
        </is>
      </c>
      <c r="F2404" s="53">
        <f>_xll.BDP("MPWR UW Equity","CHG_PCT_YTD")</f>
        <v/>
      </c>
    </row>
    <row r="2405">
      <c r="A2405" t="inlineStr">
        <is>
          <t>MPWR</t>
        </is>
      </c>
      <c r="B2405" t="inlineStr">
        <is>
          <t>MPWR UW Equity</t>
        </is>
      </c>
      <c r="C2405" t="inlineStr">
        <is>
          <t>NET_DEBT_TO_EBITDA</t>
        </is>
      </c>
      <c r="E2405" t="inlineStr">
        <is>
          <t>Net debt / EBITDA</t>
        </is>
      </c>
      <c r="F2405" s="53">
        <f>_xll.BDP("MPWR UW Equity","NET_DEBT_TO_EBITDA")</f>
        <v/>
      </c>
    </row>
    <row r="2406">
      <c r="A2406" t="inlineStr">
        <is>
          <t>MPWR</t>
        </is>
      </c>
      <c r="B2406" t="inlineStr">
        <is>
          <t>MPWR UW Equity</t>
        </is>
      </c>
      <c r="C2406" t="inlineStr">
        <is>
          <t>RETURN_ON_INV_CAPITAL</t>
        </is>
      </c>
      <c r="E2406" t="inlineStr">
        <is>
          <t>ROIC (LTM)</t>
        </is>
      </c>
      <c r="F2406" s="53">
        <f>_xll.BDP("MPWR UW Equity","RETURN_ON_INV_CAPITAL")</f>
        <v/>
      </c>
    </row>
    <row r="2407">
      <c r="A2407" t="inlineStr">
        <is>
          <t>MPWR</t>
        </is>
      </c>
      <c r="B2407" t="inlineStr">
        <is>
          <t>MPWR UW Equity</t>
        </is>
      </c>
      <c r="C2407" t="inlineStr">
        <is>
          <t>TRAIL_12M_OPER_INC</t>
        </is>
      </c>
      <c r="E2407" t="inlineStr">
        <is>
          <t>LTM operating income</t>
        </is>
      </c>
      <c r="F2407" s="53">
        <f>_xll.BDP("MPWR UW Equity","TRAIL_12M_OPER_INC")</f>
        <v/>
      </c>
    </row>
    <row r="2408">
      <c r="A2408" t="inlineStr">
        <is>
          <t>MPWR</t>
        </is>
      </c>
      <c r="B2408" t="inlineStr">
        <is>
          <t>MPWR UW Equity</t>
        </is>
      </c>
      <c r="C2408" t="inlineStr">
        <is>
          <t>TRAIL_12M_EBITDA</t>
        </is>
      </c>
      <c r="E2408" t="inlineStr">
        <is>
          <t>LTM EBITDA</t>
        </is>
      </c>
      <c r="F2408" s="53">
        <f>_xll.BDP("MPWR UW Equity","TRAIL_12M_EBITDA")</f>
        <v/>
      </c>
    </row>
    <row r="2409">
      <c r="A2409" t="inlineStr">
        <is>
          <t>MPWR</t>
        </is>
      </c>
      <c r="B2409" t="inlineStr">
        <is>
          <t>MPWR UW Equity</t>
        </is>
      </c>
      <c r="C2409" t="inlineStr">
        <is>
          <t>SHORT_AND_LONG_TERM_DEBT</t>
        </is>
      </c>
      <c r="E2409" t="inlineStr">
        <is>
          <t>Total debt</t>
        </is>
      </c>
      <c r="F2409" s="53">
        <f>_xll.BDP("MPWR UW Equity","SHORT_AND_LONG_TERM_DEBT")</f>
        <v/>
      </c>
    </row>
    <row r="2410">
      <c r="A2410" t="inlineStr">
        <is>
          <t>MPWR</t>
        </is>
      </c>
      <c r="B2410" t="inlineStr">
        <is>
          <t>MPWR UW Equity</t>
        </is>
      </c>
      <c r="C2410" t="inlineStr">
        <is>
          <t>TOTAL_EQUITY</t>
        </is>
      </c>
      <c r="E2410" t="inlineStr">
        <is>
          <t>Total equity</t>
        </is>
      </c>
      <c r="F2410" s="53">
        <f>_xll.BDP("MPWR UW Equity","TOTAL_EQUITY")</f>
        <v/>
      </c>
    </row>
    <row r="2411">
      <c r="A2411" t="inlineStr">
        <is>
          <t>MPWR</t>
        </is>
      </c>
      <c r="B2411" t="inlineStr">
        <is>
          <t>MPWR UW Equity</t>
        </is>
      </c>
      <c r="C2411" t="inlineStr">
        <is>
          <t>BS_CASH_NEAR_CASH_ITEM</t>
        </is>
      </c>
      <c r="E2411" t="inlineStr">
        <is>
          <t>Cash &amp; equivalents</t>
        </is>
      </c>
      <c r="F2411" s="53">
        <f>_xll.BDP("MPWR UW Equity","BS_CASH_NEAR_CASH_ITEM")</f>
        <v/>
      </c>
    </row>
    <row r="2412">
      <c r="A2412" t="inlineStr">
        <is>
          <t>MPWR</t>
        </is>
      </c>
      <c r="B2412" t="inlineStr">
        <is>
          <t>MPWR UW Equity</t>
        </is>
      </c>
      <c r="C2412" t="inlineStr">
        <is>
          <t>BEST_EPS</t>
        </is>
      </c>
      <c r="D2412" t="inlineStr">
        <is>
          <t>24Y</t>
        </is>
      </c>
      <c r="E2412" t="inlineStr">
        <is>
          <t>EPS estimate FY2024</t>
        </is>
      </c>
      <c r="F2412" s="53">
        <f>_xll.BDP("MPWR UW Equity","BEST_EPS","BEST_FPERIOD_OVERRIDE","24Y")</f>
        <v/>
      </c>
    </row>
    <row r="2413">
      <c r="A2413" t="inlineStr">
        <is>
          <t>MPWR</t>
        </is>
      </c>
      <c r="B2413" t="inlineStr">
        <is>
          <t>MPWR UW Equity</t>
        </is>
      </c>
      <c r="C2413" t="inlineStr">
        <is>
          <t>BEST_SALES</t>
        </is>
      </c>
      <c r="D2413" t="inlineStr">
        <is>
          <t>24Y</t>
        </is>
      </c>
      <c r="E2413" t="inlineStr">
        <is>
          <t>Revenue estimate FY2024</t>
        </is>
      </c>
      <c r="F2413" s="53">
        <f>_xll.BDP("MPWR UW Equity","BEST_SALES","BEST_FPERIOD_OVERRIDE","24Y")</f>
        <v/>
      </c>
    </row>
    <row r="2414">
      <c r="A2414" t="inlineStr">
        <is>
          <t>MPWR</t>
        </is>
      </c>
      <c r="B2414" t="inlineStr">
        <is>
          <t>MPWR UW Equity</t>
        </is>
      </c>
      <c r="C2414" t="inlineStr">
        <is>
          <t>BEST_EBIT</t>
        </is>
      </c>
      <c r="D2414" t="inlineStr">
        <is>
          <t>24Y</t>
        </is>
      </c>
      <c r="E2414" t="inlineStr">
        <is>
          <t>EBIT estimate FY2024</t>
        </is>
      </c>
      <c r="F2414" s="53">
        <f>_xll.BDP("MPWR UW Equity","BEST_EBIT","BEST_FPERIOD_OVERRIDE","24Y")</f>
        <v/>
      </c>
    </row>
    <row r="2415">
      <c r="A2415" t="inlineStr">
        <is>
          <t>MPWR</t>
        </is>
      </c>
      <c r="B2415" t="inlineStr">
        <is>
          <t>MPWR UW Equity</t>
        </is>
      </c>
      <c r="C2415" t="inlineStr">
        <is>
          <t>BEST_EPS</t>
        </is>
      </c>
      <c r="D2415" t="inlineStr">
        <is>
          <t>25Y</t>
        </is>
      </c>
      <c r="E2415" t="inlineStr">
        <is>
          <t>EPS estimate FY2025</t>
        </is>
      </c>
      <c r="F2415" s="53">
        <f>_xll.BDP("MPWR UW Equity","BEST_EPS","BEST_FPERIOD_OVERRIDE","25Y")</f>
        <v/>
      </c>
    </row>
    <row r="2416">
      <c r="A2416" t="inlineStr">
        <is>
          <t>MPWR</t>
        </is>
      </c>
      <c r="B2416" t="inlineStr">
        <is>
          <t>MPWR UW Equity</t>
        </is>
      </c>
      <c r="C2416" t="inlineStr">
        <is>
          <t>BEST_SALES</t>
        </is>
      </c>
      <c r="D2416" t="inlineStr">
        <is>
          <t>25Y</t>
        </is>
      </c>
      <c r="E2416" t="inlineStr">
        <is>
          <t>Revenue estimate FY2025</t>
        </is>
      </c>
      <c r="F2416" s="53">
        <f>_xll.BDP("MPWR UW Equity","BEST_SALES","BEST_FPERIOD_OVERRIDE","25Y")</f>
        <v/>
      </c>
    </row>
    <row r="2417">
      <c r="A2417" t="inlineStr">
        <is>
          <t>MPWR</t>
        </is>
      </c>
      <c r="B2417" t="inlineStr">
        <is>
          <t>MPWR UW Equity</t>
        </is>
      </c>
      <c r="C2417" t="inlineStr">
        <is>
          <t>BEST_EBIT</t>
        </is>
      </c>
      <c r="D2417" t="inlineStr">
        <is>
          <t>25Y</t>
        </is>
      </c>
      <c r="E2417" t="inlineStr">
        <is>
          <t>EBIT estimate FY2025</t>
        </is>
      </c>
      <c r="F2417" s="53">
        <f>_xll.BDP("MPWR UW Equity","BEST_EBIT","BEST_FPERIOD_OVERRIDE","25Y")</f>
        <v/>
      </c>
    </row>
    <row r="2418">
      <c r="A2418" t="inlineStr">
        <is>
          <t>MPWR</t>
        </is>
      </c>
      <c r="B2418" t="inlineStr">
        <is>
          <t>MPWR UW Equity</t>
        </is>
      </c>
      <c r="C2418" t="inlineStr">
        <is>
          <t>BEST_EPS</t>
        </is>
      </c>
      <c r="D2418" t="inlineStr">
        <is>
          <t>26Y</t>
        </is>
      </c>
      <c r="E2418" t="inlineStr">
        <is>
          <t>EPS estimate FY2026</t>
        </is>
      </c>
      <c r="F2418" s="53">
        <f>_xll.BDP("MPWR UW Equity","BEST_EPS","BEST_FPERIOD_OVERRIDE","26Y")</f>
        <v/>
      </c>
    </row>
    <row r="2419">
      <c r="A2419" t="inlineStr">
        <is>
          <t>MPWR</t>
        </is>
      </c>
      <c r="B2419" t="inlineStr">
        <is>
          <t>MPWR UW Equity</t>
        </is>
      </c>
      <c r="C2419" t="inlineStr">
        <is>
          <t>BEST_SALES</t>
        </is>
      </c>
      <c r="D2419" t="inlineStr">
        <is>
          <t>26Y</t>
        </is>
      </c>
      <c r="E2419" t="inlineStr">
        <is>
          <t>Revenue estimate FY2026</t>
        </is>
      </c>
      <c r="F2419" s="53">
        <f>_xll.BDP("MPWR UW Equity","BEST_SALES","BEST_FPERIOD_OVERRIDE","26Y")</f>
        <v/>
      </c>
    </row>
    <row r="2420">
      <c r="A2420" t="inlineStr">
        <is>
          <t>MPWR</t>
        </is>
      </c>
      <c r="B2420" t="inlineStr">
        <is>
          <t>MPWR UW Equity</t>
        </is>
      </c>
      <c r="C2420" t="inlineStr">
        <is>
          <t>BEST_EBIT</t>
        </is>
      </c>
      <c r="D2420" t="inlineStr">
        <is>
          <t>26Y</t>
        </is>
      </c>
      <c r="E2420" t="inlineStr">
        <is>
          <t>EBIT estimate FY2026</t>
        </is>
      </c>
      <c r="F2420" s="53">
        <f>_xll.BDP("MPWR UW Equity","BEST_EBIT","BEST_FPERIOD_OVERRIDE","26Y")</f>
        <v/>
      </c>
    </row>
    <row r="2421">
      <c r="A2421" t="inlineStr">
        <is>
          <t>MPWR</t>
        </is>
      </c>
      <c r="B2421" t="inlineStr">
        <is>
          <t>MPWR UW Equity</t>
        </is>
      </c>
      <c r="C2421" t="inlineStr">
        <is>
          <t>BEST_EPS</t>
        </is>
      </c>
      <c r="D2421" t="inlineStr">
        <is>
          <t>27Y</t>
        </is>
      </c>
      <c r="E2421" t="inlineStr">
        <is>
          <t>EPS estimate FY2027</t>
        </is>
      </c>
      <c r="F2421" s="53">
        <f>_xll.BDP("MPWR UW Equity","BEST_EPS","BEST_FPERIOD_OVERRIDE","27Y")</f>
        <v/>
      </c>
    </row>
    <row r="2422">
      <c r="A2422" t="inlineStr">
        <is>
          <t>MPWR</t>
        </is>
      </c>
      <c r="B2422" t="inlineStr">
        <is>
          <t>MPWR UW Equity</t>
        </is>
      </c>
      <c r="C2422" t="inlineStr">
        <is>
          <t>BEST_SALES</t>
        </is>
      </c>
      <c r="D2422" t="inlineStr">
        <is>
          <t>27Y</t>
        </is>
      </c>
      <c r="E2422" t="inlineStr">
        <is>
          <t>Revenue estimate FY2027</t>
        </is>
      </c>
      <c r="F2422" s="53">
        <f>_xll.BDP("MPWR UW Equity","BEST_SALES","BEST_FPERIOD_OVERRIDE","27Y")</f>
        <v/>
      </c>
    </row>
    <row r="2423">
      <c r="A2423" t="inlineStr">
        <is>
          <t>MPWR</t>
        </is>
      </c>
      <c r="B2423" t="inlineStr">
        <is>
          <t>MPWR UW Equity</t>
        </is>
      </c>
      <c r="C2423" t="inlineStr">
        <is>
          <t>BEST_EBIT</t>
        </is>
      </c>
      <c r="D2423" t="inlineStr">
        <is>
          <t>27Y</t>
        </is>
      </c>
      <c r="E2423" t="inlineStr">
        <is>
          <t>EBIT estimate FY2027</t>
        </is>
      </c>
      <c r="F2423" s="53">
        <f>_xll.BDP("MPWR UW Equity","BEST_EBIT","BEST_FPERIOD_OVERRIDE","27Y")</f>
        <v/>
      </c>
    </row>
    <row r="2424">
      <c r="A2424" t="inlineStr">
        <is>
          <t>MPWR</t>
        </is>
      </c>
      <c r="B2424" t="inlineStr">
        <is>
          <t>MPWR UW Equity</t>
        </is>
      </c>
      <c r="C2424" t="inlineStr">
        <is>
          <t>BEST_EPS</t>
        </is>
      </c>
      <c r="D2424" t="inlineStr">
        <is>
          <t>28Y</t>
        </is>
      </c>
      <c r="E2424" t="inlineStr">
        <is>
          <t>EPS estimate FY2028</t>
        </is>
      </c>
      <c r="F2424" s="53">
        <f>_xll.BDP("MPWR UW Equity","BEST_EPS","BEST_FPERIOD_OVERRIDE","28Y")</f>
        <v/>
      </c>
    </row>
    <row r="2425">
      <c r="A2425" t="inlineStr">
        <is>
          <t>MPWR</t>
        </is>
      </c>
      <c r="B2425" t="inlineStr">
        <is>
          <t>MPWR UW Equity</t>
        </is>
      </c>
      <c r="C2425" t="inlineStr">
        <is>
          <t>BEST_SALES</t>
        </is>
      </c>
      <c r="D2425" t="inlineStr">
        <is>
          <t>28Y</t>
        </is>
      </c>
      <c r="E2425" t="inlineStr">
        <is>
          <t>Revenue estimate FY2028</t>
        </is>
      </c>
      <c r="F2425" s="53">
        <f>_xll.BDP("MPWR UW Equity","BEST_SALES","BEST_FPERIOD_OVERRIDE","28Y")</f>
        <v/>
      </c>
    </row>
    <row r="2426">
      <c r="A2426" t="inlineStr">
        <is>
          <t>MPWR</t>
        </is>
      </c>
      <c r="B2426" t="inlineStr">
        <is>
          <t>MPWR UW Equity</t>
        </is>
      </c>
      <c r="C2426" t="inlineStr">
        <is>
          <t>BEST_EBIT</t>
        </is>
      </c>
      <c r="D2426" t="inlineStr">
        <is>
          <t>28Y</t>
        </is>
      </c>
      <c r="E2426" t="inlineStr">
        <is>
          <t>EBIT estimate FY2028</t>
        </is>
      </c>
      <c r="F2426" s="53">
        <f>_xll.BDP("MPWR UW Equity","BEST_EBIT","BEST_FPERIOD_OVERRIDE","28Y")</f>
        <v/>
      </c>
    </row>
    <row r="2427">
      <c r="A2427" t="inlineStr">
        <is>
          <t>MU</t>
        </is>
      </c>
      <c r="B2427" t="inlineStr">
        <is>
          <t>MU UW Equity</t>
        </is>
      </c>
      <c r="C2427" t="inlineStr">
        <is>
          <t>PX_LAST</t>
        </is>
      </c>
      <c r="E2427" t="inlineStr">
        <is>
          <t>Last price</t>
        </is>
      </c>
      <c r="F2427" s="53">
        <f>_xll.BDP("MU UW Equity","PX_LAST")</f>
        <v/>
      </c>
    </row>
    <row r="2428">
      <c r="A2428" t="inlineStr">
        <is>
          <t>MU</t>
        </is>
      </c>
      <c r="B2428" t="inlineStr">
        <is>
          <t>MU UW Equity</t>
        </is>
      </c>
      <c r="C2428" t="inlineStr">
        <is>
          <t>CUR_MKT_CAP</t>
        </is>
      </c>
      <c r="E2428" t="inlineStr">
        <is>
          <t>Market cap (raw)</t>
        </is>
      </c>
      <c r="F2428" s="53">
        <f>_xll.BDP("MU UW Equity","CUR_MKT_CAP")</f>
        <v/>
      </c>
    </row>
    <row r="2429">
      <c r="A2429" t="inlineStr">
        <is>
          <t>MU</t>
        </is>
      </c>
      <c r="B2429" t="inlineStr">
        <is>
          <t>MU UW Equity</t>
        </is>
      </c>
      <c r="C2429" t="inlineStr">
        <is>
          <t>CHG_PCT_YTD</t>
        </is>
      </c>
      <c r="E2429" t="inlineStr">
        <is>
          <t>YTD price change %</t>
        </is>
      </c>
      <c r="F2429" s="53">
        <f>_xll.BDP("MU UW Equity","CHG_PCT_YTD")</f>
        <v/>
      </c>
    </row>
    <row r="2430">
      <c r="A2430" t="inlineStr">
        <is>
          <t>MU</t>
        </is>
      </c>
      <c r="B2430" t="inlineStr">
        <is>
          <t>MU UW Equity</t>
        </is>
      </c>
      <c r="C2430" t="inlineStr">
        <is>
          <t>NET_DEBT_TO_EBITDA</t>
        </is>
      </c>
      <c r="E2430" t="inlineStr">
        <is>
          <t>Net debt / EBITDA</t>
        </is>
      </c>
      <c r="F2430" s="53">
        <f>_xll.BDP("MU UW Equity","NET_DEBT_TO_EBITDA")</f>
        <v/>
      </c>
    </row>
    <row r="2431">
      <c r="A2431" t="inlineStr">
        <is>
          <t>MU</t>
        </is>
      </c>
      <c r="B2431" t="inlineStr">
        <is>
          <t>MU UW Equity</t>
        </is>
      </c>
      <c r="C2431" t="inlineStr">
        <is>
          <t>RETURN_ON_INV_CAPITAL</t>
        </is>
      </c>
      <c r="E2431" t="inlineStr">
        <is>
          <t>ROIC (LTM)</t>
        </is>
      </c>
      <c r="F2431" s="53">
        <f>_xll.BDP("MU UW Equity","RETURN_ON_INV_CAPITAL")</f>
        <v/>
      </c>
    </row>
    <row r="2432">
      <c r="A2432" t="inlineStr">
        <is>
          <t>MU</t>
        </is>
      </c>
      <c r="B2432" t="inlineStr">
        <is>
          <t>MU UW Equity</t>
        </is>
      </c>
      <c r="C2432" t="inlineStr">
        <is>
          <t>TRAIL_12M_OPER_INC</t>
        </is>
      </c>
      <c r="E2432" t="inlineStr">
        <is>
          <t>LTM operating income</t>
        </is>
      </c>
      <c r="F2432" s="53">
        <f>_xll.BDP("MU UW Equity","TRAIL_12M_OPER_INC")</f>
        <v/>
      </c>
    </row>
    <row r="2433">
      <c r="A2433" t="inlineStr">
        <is>
          <t>MU</t>
        </is>
      </c>
      <c r="B2433" t="inlineStr">
        <is>
          <t>MU UW Equity</t>
        </is>
      </c>
      <c r="C2433" t="inlineStr">
        <is>
          <t>TRAIL_12M_EBITDA</t>
        </is>
      </c>
      <c r="E2433" t="inlineStr">
        <is>
          <t>LTM EBITDA</t>
        </is>
      </c>
      <c r="F2433" s="53">
        <f>_xll.BDP("MU UW Equity","TRAIL_12M_EBITDA")</f>
        <v/>
      </c>
    </row>
    <row r="2434">
      <c r="A2434" t="inlineStr">
        <is>
          <t>MU</t>
        </is>
      </c>
      <c r="B2434" t="inlineStr">
        <is>
          <t>MU UW Equity</t>
        </is>
      </c>
      <c r="C2434" t="inlineStr">
        <is>
          <t>SHORT_AND_LONG_TERM_DEBT</t>
        </is>
      </c>
      <c r="E2434" t="inlineStr">
        <is>
          <t>Total debt</t>
        </is>
      </c>
      <c r="F2434" s="53">
        <f>_xll.BDP("MU UW Equity","SHORT_AND_LONG_TERM_DEBT")</f>
        <v/>
      </c>
    </row>
    <row r="2435">
      <c r="A2435" t="inlineStr">
        <is>
          <t>MU</t>
        </is>
      </c>
      <c r="B2435" t="inlineStr">
        <is>
          <t>MU UW Equity</t>
        </is>
      </c>
      <c r="C2435" t="inlineStr">
        <is>
          <t>TOTAL_EQUITY</t>
        </is>
      </c>
      <c r="E2435" t="inlineStr">
        <is>
          <t>Total equity</t>
        </is>
      </c>
      <c r="F2435" s="53">
        <f>_xll.BDP("MU UW Equity","TOTAL_EQUITY")</f>
        <v/>
      </c>
    </row>
    <row r="2436">
      <c r="A2436" t="inlineStr">
        <is>
          <t>MU</t>
        </is>
      </c>
      <c r="B2436" t="inlineStr">
        <is>
          <t>MU UW Equity</t>
        </is>
      </c>
      <c r="C2436" t="inlineStr">
        <is>
          <t>BS_CASH_NEAR_CASH_ITEM</t>
        </is>
      </c>
      <c r="E2436" t="inlineStr">
        <is>
          <t>Cash &amp; equivalents</t>
        </is>
      </c>
      <c r="F2436" s="53">
        <f>_xll.BDP("MU UW Equity","BS_CASH_NEAR_CASH_ITEM")</f>
        <v/>
      </c>
    </row>
    <row r="2437">
      <c r="A2437" t="inlineStr">
        <is>
          <t>MU</t>
        </is>
      </c>
      <c r="B2437" t="inlineStr">
        <is>
          <t>MU UW Equity</t>
        </is>
      </c>
      <c r="C2437" t="inlineStr">
        <is>
          <t>BEST_EPS</t>
        </is>
      </c>
      <c r="D2437" t="inlineStr">
        <is>
          <t>24Y</t>
        </is>
      </c>
      <c r="E2437" t="inlineStr">
        <is>
          <t>EPS estimate FY2024</t>
        </is>
      </c>
      <c r="F2437" s="53">
        <f>_xll.BDP("MU UW Equity","BEST_EPS","BEST_FPERIOD_OVERRIDE","24Y")</f>
        <v/>
      </c>
    </row>
    <row r="2438">
      <c r="A2438" t="inlineStr">
        <is>
          <t>MU</t>
        </is>
      </c>
      <c r="B2438" t="inlineStr">
        <is>
          <t>MU UW Equity</t>
        </is>
      </c>
      <c r="C2438" t="inlineStr">
        <is>
          <t>BEST_SALES</t>
        </is>
      </c>
      <c r="D2438" t="inlineStr">
        <is>
          <t>24Y</t>
        </is>
      </c>
      <c r="E2438" t="inlineStr">
        <is>
          <t>Revenue estimate FY2024</t>
        </is>
      </c>
      <c r="F2438" s="53">
        <f>_xll.BDP("MU UW Equity","BEST_SALES","BEST_FPERIOD_OVERRIDE","24Y")</f>
        <v/>
      </c>
    </row>
    <row r="2439">
      <c r="A2439" t="inlineStr">
        <is>
          <t>MU</t>
        </is>
      </c>
      <c r="B2439" t="inlineStr">
        <is>
          <t>MU UW Equity</t>
        </is>
      </c>
      <c r="C2439" t="inlineStr">
        <is>
          <t>BEST_EBIT</t>
        </is>
      </c>
      <c r="D2439" t="inlineStr">
        <is>
          <t>24Y</t>
        </is>
      </c>
      <c r="E2439" t="inlineStr">
        <is>
          <t>EBIT estimate FY2024</t>
        </is>
      </c>
      <c r="F2439" s="53">
        <f>_xll.BDP("MU UW Equity","BEST_EBIT","BEST_FPERIOD_OVERRIDE","24Y")</f>
        <v/>
      </c>
    </row>
    <row r="2440">
      <c r="A2440" t="inlineStr">
        <is>
          <t>MU</t>
        </is>
      </c>
      <c r="B2440" t="inlineStr">
        <is>
          <t>MU UW Equity</t>
        </is>
      </c>
      <c r="C2440" t="inlineStr">
        <is>
          <t>BEST_EPS</t>
        </is>
      </c>
      <c r="D2440" t="inlineStr">
        <is>
          <t>25Y</t>
        </is>
      </c>
      <c r="E2440" t="inlineStr">
        <is>
          <t>EPS estimate FY2025</t>
        </is>
      </c>
      <c r="F2440" s="53">
        <f>_xll.BDP("MU UW Equity","BEST_EPS","BEST_FPERIOD_OVERRIDE","25Y")</f>
        <v/>
      </c>
    </row>
    <row r="2441">
      <c r="A2441" t="inlineStr">
        <is>
          <t>MU</t>
        </is>
      </c>
      <c r="B2441" t="inlineStr">
        <is>
          <t>MU UW Equity</t>
        </is>
      </c>
      <c r="C2441" t="inlineStr">
        <is>
          <t>BEST_SALES</t>
        </is>
      </c>
      <c r="D2441" t="inlineStr">
        <is>
          <t>25Y</t>
        </is>
      </c>
      <c r="E2441" t="inlineStr">
        <is>
          <t>Revenue estimate FY2025</t>
        </is>
      </c>
      <c r="F2441" s="53">
        <f>_xll.BDP("MU UW Equity","BEST_SALES","BEST_FPERIOD_OVERRIDE","25Y")</f>
        <v/>
      </c>
    </row>
    <row r="2442">
      <c r="A2442" t="inlineStr">
        <is>
          <t>MU</t>
        </is>
      </c>
      <c r="B2442" t="inlineStr">
        <is>
          <t>MU UW Equity</t>
        </is>
      </c>
      <c r="C2442" t="inlineStr">
        <is>
          <t>BEST_EBIT</t>
        </is>
      </c>
      <c r="D2442" t="inlineStr">
        <is>
          <t>25Y</t>
        </is>
      </c>
      <c r="E2442" t="inlineStr">
        <is>
          <t>EBIT estimate FY2025</t>
        </is>
      </c>
      <c r="F2442" s="53">
        <f>_xll.BDP("MU UW Equity","BEST_EBIT","BEST_FPERIOD_OVERRIDE","25Y")</f>
        <v/>
      </c>
    </row>
    <row r="2443">
      <c r="A2443" t="inlineStr">
        <is>
          <t>MU</t>
        </is>
      </c>
      <c r="B2443" t="inlineStr">
        <is>
          <t>MU UW Equity</t>
        </is>
      </c>
      <c r="C2443" t="inlineStr">
        <is>
          <t>BEST_EPS</t>
        </is>
      </c>
      <c r="D2443" t="inlineStr">
        <is>
          <t>26Y</t>
        </is>
      </c>
      <c r="E2443" t="inlineStr">
        <is>
          <t>EPS estimate FY2026</t>
        </is>
      </c>
      <c r="F2443" s="53">
        <f>_xll.BDP("MU UW Equity","BEST_EPS","BEST_FPERIOD_OVERRIDE","26Y")</f>
        <v/>
      </c>
    </row>
    <row r="2444">
      <c r="A2444" t="inlineStr">
        <is>
          <t>MU</t>
        </is>
      </c>
      <c r="B2444" t="inlineStr">
        <is>
          <t>MU UW Equity</t>
        </is>
      </c>
      <c r="C2444" t="inlineStr">
        <is>
          <t>BEST_SALES</t>
        </is>
      </c>
      <c r="D2444" t="inlineStr">
        <is>
          <t>26Y</t>
        </is>
      </c>
      <c r="E2444" t="inlineStr">
        <is>
          <t>Revenue estimate FY2026</t>
        </is>
      </c>
      <c r="F2444" s="53">
        <f>_xll.BDP("MU UW Equity","BEST_SALES","BEST_FPERIOD_OVERRIDE","26Y")</f>
        <v/>
      </c>
    </row>
    <row r="2445">
      <c r="A2445" t="inlineStr">
        <is>
          <t>MU</t>
        </is>
      </c>
      <c r="B2445" t="inlineStr">
        <is>
          <t>MU UW Equity</t>
        </is>
      </c>
      <c r="C2445" t="inlineStr">
        <is>
          <t>BEST_EBIT</t>
        </is>
      </c>
      <c r="D2445" t="inlineStr">
        <is>
          <t>26Y</t>
        </is>
      </c>
      <c r="E2445" t="inlineStr">
        <is>
          <t>EBIT estimate FY2026</t>
        </is>
      </c>
      <c r="F2445" s="53">
        <f>_xll.BDP("MU UW Equity","BEST_EBIT","BEST_FPERIOD_OVERRIDE","26Y")</f>
        <v/>
      </c>
    </row>
    <row r="2446">
      <c r="A2446" t="inlineStr">
        <is>
          <t>MU</t>
        </is>
      </c>
      <c r="B2446" t="inlineStr">
        <is>
          <t>MU UW Equity</t>
        </is>
      </c>
      <c r="C2446" t="inlineStr">
        <is>
          <t>BEST_EPS</t>
        </is>
      </c>
      <c r="D2446" t="inlineStr">
        <is>
          <t>27Y</t>
        </is>
      </c>
      <c r="E2446" t="inlineStr">
        <is>
          <t>EPS estimate FY2027</t>
        </is>
      </c>
      <c r="F2446" s="53">
        <f>_xll.BDP("MU UW Equity","BEST_EPS","BEST_FPERIOD_OVERRIDE","27Y")</f>
        <v/>
      </c>
    </row>
    <row r="2447">
      <c r="A2447" t="inlineStr">
        <is>
          <t>MU</t>
        </is>
      </c>
      <c r="B2447" t="inlineStr">
        <is>
          <t>MU UW Equity</t>
        </is>
      </c>
      <c r="C2447" t="inlineStr">
        <is>
          <t>BEST_SALES</t>
        </is>
      </c>
      <c r="D2447" t="inlineStr">
        <is>
          <t>27Y</t>
        </is>
      </c>
      <c r="E2447" t="inlineStr">
        <is>
          <t>Revenue estimate FY2027</t>
        </is>
      </c>
      <c r="F2447" s="53">
        <f>_xll.BDP("MU UW Equity","BEST_SALES","BEST_FPERIOD_OVERRIDE","27Y")</f>
        <v/>
      </c>
    </row>
    <row r="2448">
      <c r="A2448" t="inlineStr">
        <is>
          <t>MU</t>
        </is>
      </c>
      <c r="B2448" t="inlineStr">
        <is>
          <t>MU UW Equity</t>
        </is>
      </c>
      <c r="C2448" t="inlineStr">
        <is>
          <t>BEST_EBIT</t>
        </is>
      </c>
      <c r="D2448" t="inlineStr">
        <is>
          <t>27Y</t>
        </is>
      </c>
      <c r="E2448" t="inlineStr">
        <is>
          <t>EBIT estimate FY2027</t>
        </is>
      </c>
      <c r="F2448" s="53">
        <f>_xll.BDP("MU UW Equity","BEST_EBIT","BEST_FPERIOD_OVERRIDE","27Y")</f>
        <v/>
      </c>
    </row>
    <row r="2449">
      <c r="A2449" t="inlineStr">
        <is>
          <t>MU</t>
        </is>
      </c>
      <c r="B2449" t="inlineStr">
        <is>
          <t>MU UW Equity</t>
        </is>
      </c>
      <c r="C2449" t="inlineStr">
        <is>
          <t>BEST_EPS</t>
        </is>
      </c>
      <c r="D2449" t="inlineStr">
        <is>
          <t>28Y</t>
        </is>
      </c>
      <c r="E2449" t="inlineStr">
        <is>
          <t>EPS estimate FY2028</t>
        </is>
      </c>
      <c r="F2449" s="53">
        <f>_xll.BDP("MU UW Equity","BEST_EPS","BEST_FPERIOD_OVERRIDE","28Y")</f>
        <v/>
      </c>
    </row>
    <row r="2450">
      <c r="A2450" t="inlineStr">
        <is>
          <t>MU</t>
        </is>
      </c>
      <c r="B2450" t="inlineStr">
        <is>
          <t>MU UW Equity</t>
        </is>
      </c>
      <c r="C2450" t="inlineStr">
        <is>
          <t>BEST_SALES</t>
        </is>
      </c>
      <c r="D2450" t="inlineStr">
        <is>
          <t>28Y</t>
        </is>
      </c>
      <c r="E2450" t="inlineStr">
        <is>
          <t>Revenue estimate FY2028</t>
        </is>
      </c>
      <c r="F2450" s="53">
        <f>_xll.BDP("MU UW Equity","BEST_SALES","BEST_FPERIOD_OVERRIDE","28Y")</f>
        <v/>
      </c>
    </row>
    <row r="2451">
      <c r="A2451" t="inlineStr">
        <is>
          <t>MU</t>
        </is>
      </c>
      <c r="B2451" t="inlineStr">
        <is>
          <t>MU UW Equity</t>
        </is>
      </c>
      <c r="C2451" t="inlineStr">
        <is>
          <t>BEST_EBIT</t>
        </is>
      </c>
      <c r="D2451" t="inlineStr">
        <is>
          <t>28Y</t>
        </is>
      </c>
      <c r="E2451" t="inlineStr">
        <is>
          <t>EBIT estimate FY2028</t>
        </is>
      </c>
      <c r="F2451" s="53">
        <f>_xll.BDP("MU UW Equity","BEST_EBIT","BEST_FPERIOD_OVERRIDE","28Y")</f>
        <v/>
      </c>
    </row>
    <row r="2452">
      <c r="A2452" t="inlineStr">
        <is>
          <t>NXPI</t>
        </is>
      </c>
      <c r="B2452" t="inlineStr">
        <is>
          <t>NXPI UW Equity</t>
        </is>
      </c>
      <c r="C2452" t="inlineStr">
        <is>
          <t>PX_LAST</t>
        </is>
      </c>
      <c r="E2452" t="inlineStr">
        <is>
          <t>Last price</t>
        </is>
      </c>
      <c r="F2452" s="53">
        <f>_xll.BDP("NXPI UW Equity","PX_LAST")</f>
        <v/>
      </c>
    </row>
    <row r="2453">
      <c r="A2453" t="inlineStr">
        <is>
          <t>NXPI</t>
        </is>
      </c>
      <c r="B2453" t="inlineStr">
        <is>
          <t>NXPI UW Equity</t>
        </is>
      </c>
      <c r="C2453" t="inlineStr">
        <is>
          <t>CUR_MKT_CAP</t>
        </is>
      </c>
      <c r="E2453" t="inlineStr">
        <is>
          <t>Market cap (raw)</t>
        </is>
      </c>
      <c r="F2453" s="53">
        <f>_xll.BDP("NXPI UW Equity","CUR_MKT_CAP")</f>
        <v/>
      </c>
    </row>
    <row r="2454">
      <c r="A2454" t="inlineStr">
        <is>
          <t>NXPI</t>
        </is>
      </c>
      <c r="B2454" t="inlineStr">
        <is>
          <t>NXPI UW Equity</t>
        </is>
      </c>
      <c r="C2454" t="inlineStr">
        <is>
          <t>CHG_PCT_YTD</t>
        </is>
      </c>
      <c r="E2454" t="inlineStr">
        <is>
          <t>YTD price change %</t>
        </is>
      </c>
      <c r="F2454" s="53">
        <f>_xll.BDP("NXPI UW Equity","CHG_PCT_YTD")</f>
        <v/>
      </c>
    </row>
    <row r="2455">
      <c r="A2455" t="inlineStr">
        <is>
          <t>NXPI</t>
        </is>
      </c>
      <c r="B2455" t="inlineStr">
        <is>
          <t>NXPI UW Equity</t>
        </is>
      </c>
      <c r="C2455" t="inlineStr">
        <is>
          <t>NET_DEBT_TO_EBITDA</t>
        </is>
      </c>
      <c r="E2455" t="inlineStr">
        <is>
          <t>Net debt / EBITDA</t>
        </is>
      </c>
      <c r="F2455" s="53">
        <f>_xll.BDP("NXPI UW Equity","NET_DEBT_TO_EBITDA")</f>
        <v/>
      </c>
    </row>
    <row r="2456">
      <c r="A2456" t="inlineStr">
        <is>
          <t>NXPI</t>
        </is>
      </c>
      <c r="B2456" t="inlineStr">
        <is>
          <t>NXPI UW Equity</t>
        </is>
      </c>
      <c r="C2456" t="inlineStr">
        <is>
          <t>RETURN_ON_INV_CAPITAL</t>
        </is>
      </c>
      <c r="E2456" t="inlineStr">
        <is>
          <t>ROIC (LTM)</t>
        </is>
      </c>
      <c r="F2456" s="53">
        <f>_xll.BDP("NXPI UW Equity","RETURN_ON_INV_CAPITAL")</f>
        <v/>
      </c>
    </row>
    <row r="2457">
      <c r="A2457" t="inlineStr">
        <is>
          <t>NXPI</t>
        </is>
      </c>
      <c r="B2457" t="inlineStr">
        <is>
          <t>NXPI UW Equity</t>
        </is>
      </c>
      <c r="C2457" t="inlineStr">
        <is>
          <t>TRAIL_12M_OPER_INC</t>
        </is>
      </c>
      <c r="E2457" t="inlineStr">
        <is>
          <t>LTM operating income</t>
        </is>
      </c>
      <c r="F2457" s="53">
        <f>_xll.BDP("NXPI UW Equity","TRAIL_12M_OPER_INC")</f>
        <v/>
      </c>
    </row>
    <row r="2458">
      <c r="A2458" t="inlineStr">
        <is>
          <t>NXPI</t>
        </is>
      </c>
      <c r="B2458" t="inlineStr">
        <is>
          <t>NXPI UW Equity</t>
        </is>
      </c>
      <c r="C2458" t="inlineStr">
        <is>
          <t>TRAIL_12M_EBITDA</t>
        </is>
      </c>
      <c r="E2458" t="inlineStr">
        <is>
          <t>LTM EBITDA</t>
        </is>
      </c>
      <c r="F2458" s="53">
        <f>_xll.BDP("NXPI UW Equity","TRAIL_12M_EBITDA")</f>
        <v/>
      </c>
    </row>
    <row r="2459">
      <c r="A2459" t="inlineStr">
        <is>
          <t>NXPI</t>
        </is>
      </c>
      <c r="B2459" t="inlineStr">
        <is>
          <t>NXPI UW Equity</t>
        </is>
      </c>
      <c r="C2459" t="inlineStr">
        <is>
          <t>SHORT_AND_LONG_TERM_DEBT</t>
        </is>
      </c>
      <c r="E2459" t="inlineStr">
        <is>
          <t>Total debt</t>
        </is>
      </c>
      <c r="F2459" s="53">
        <f>_xll.BDP("NXPI UW Equity","SHORT_AND_LONG_TERM_DEBT")</f>
        <v/>
      </c>
    </row>
    <row r="2460">
      <c r="A2460" t="inlineStr">
        <is>
          <t>NXPI</t>
        </is>
      </c>
      <c r="B2460" t="inlineStr">
        <is>
          <t>NXPI UW Equity</t>
        </is>
      </c>
      <c r="C2460" t="inlineStr">
        <is>
          <t>TOTAL_EQUITY</t>
        </is>
      </c>
      <c r="E2460" t="inlineStr">
        <is>
          <t>Total equity</t>
        </is>
      </c>
      <c r="F2460" s="53">
        <f>_xll.BDP("NXPI UW Equity","TOTAL_EQUITY")</f>
        <v/>
      </c>
    </row>
    <row r="2461">
      <c r="A2461" t="inlineStr">
        <is>
          <t>NXPI</t>
        </is>
      </c>
      <c r="B2461" t="inlineStr">
        <is>
          <t>NXPI UW Equity</t>
        </is>
      </c>
      <c r="C2461" t="inlineStr">
        <is>
          <t>BS_CASH_NEAR_CASH_ITEM</t>
        </is>
      </c>
      <c r="E2461" t="inlineStr">
        <is>
          <t>Cash &amp; equivalents</t>
        </is>
      </c>
      <c r="F2461" s="53">
        <f>_xll.BDP("NXPI UW Equity","BS_CASH_NEAR_CASH_ITEM")</f>
        <v/>
      </c>
    </row>
    <row r="2462">
      <c r="A2462" t="inlineStr">
        <is>
          <t>NXPI</t>
        </is>
      </c>
      <c r="B2462" t="inlineStr">
        <is>
          <t>NXPI UW Equity</t>
        </is>
      </c>
      <c r="C2462" t="inlineStr">
        <is>
          <t>BEST_EPS</t>
        </is>
      </c>
      <c r="D2462" t="inlineStr">
        <is>
          <t>24Y</t>
        </is>
      </c>
      <c r="E2462" t="inlineStr">
        <is>
          <t>EPS estimate FY2024</t>
        </is>
      </c>
      <c r="F2462" s="53">
        <f>_xll.BDP("NXPI UW Equity","BEST_EPS","BEST_FPERIOD_OVERRIDE","24Y")</f>
        <v/>
      </c>
    </row>
    <row r="2463">
      <c r="A2463" t="inlineStr">
        <is>
          <t>NXPI</t>
        </is>
      </c>
      <c r="B2463" t="inlineStr">
        <is>
          <t>NXPI UW Equity</t>
        </is>
      </c>
      <c r="C2463" t="inlineStr">
        <is>
          <t>BEST_SALES</t>
        </is>
      </c>
      <c r="D2463" t="inlineStr">
        <is>
          <t>24Y</t>
        </is>
      </c>
      <c r="E2463" t="inlineStr">
        <is>
          <t>Revenue estimate FY2024</t>
        </is>
      </c>
      <c r="F2463" s="53">
        <f>_xll.BDP("NXPI UW Equity","BEST_SALES","BEST_FPERIOD_OVERRIDE","24Y")</f>
        <v/>
      </c>
    </row>
    <row r="2464">
      <c r="A2464" t="inlineStr">
        <is>
          <t>NXPI</t>
        </is>
      </c>
      <c r="B2464" t="inlineStr">
        <is>
          <t>NXPI UW Equity</t>
        </is>
      </c>
      <c r="C2464" t="inlineStr">
        <is>
          <t>BEST_EBIT</t>
        </is>
      </c>
      <c r="D2464" t="inlineStr">
        <is>
          <t>24Y</t>
        </is>
      </c>
      <c r="E2464" t="inlineStr">
        <is>
          <t>EBIT estimate FY2024</t>
        </is>
      </c>
      <c r="F2464" s="53">
        <f>_xll.BDP("NXPI UW Equity","BEST_EBIT","BEST_FPERIOD_OVERRIDE","24Y")</f>
        <v/>
      </c>
    </row>
    <row r="2465">
      <c r="A2465" t="inlineStr">
        <is>
          <t>NXPI</t>
        </is>
      </c>
      <c r="B2465" t="inlineStr">
        <is>
          <t>NXPI UW Equity</t>
        </is>
      </c>
      <c r="C2465" t="inlineStr">
        <is>
          <t>BEST_EPS</t>
        </is>
      </c>
      <c r="D2465" t="inlineStr">
        <is>
          <t>25Y</t>
        </is>
      </c>
      <c r="E2465" t="inlineStr">
        <is>
          <t>EPS estimate FY2025</t>
        </is>
      </c>
      <c r="F2465" s="53">
        <f>_xll.BDP("NXPI UW Equity","BEST_EPS","BEST_FPERIOD_OVERRIDE","25Y")</f>
        <v/>
      </c>
    </row>
    <row r="2466">
      <c r="A2466" t="inlineStr">
        <is>
          <t>NXPI</t>
        </is>
      </c>
      <c r="B2466" t="inlineStr">
        <is>
          <t>NXPI UW Equity</t>
        </is>
      </c>
      <c r="C2466" t="inlineStr">
        <is>
          <t>BEST_SALES</t>
        </is>
      </c>
      <c r="D2466" t="inlineStr">
        <is>
          <t>25Y</t>
        </is>
      </c>
      <c r="E2466" t="inlineStr">
        <is>
          <t>Revenue estimate FY2025</t>
        </is>
      </c>
      <c r="F2466" s="53">
        <f>_xll.BDP("NXPI UW Equity","BEST_SALES","BEST_FPERIOD_OVERRIDE","25Y")</f>
        <v/>
      </c>
    </row>
    <row r="2467">
      <c r="A2467" t="inlineStr">
        <is>
          <t>NXPI</t>
        </is>
      </c>
      <c r="B2467" t="inlineStr">
        <is>
          <t>NXPI UW Equity</t>
        </is>
      </c>
      <c r="C2467" t="inlineStr">
        <is>
          <t>BEST_EBIT</t>
        </is>
      </c>
      <c r="D2467" t="inlineStr">
        <is>
          <t>25Y</t>
        </is>
      </c>
      <c r="E2467" t="inlineStr">
        <is>
          <t>EBIT estimate FY2025</t>
        </is>
      </c>
      <c r="F2467" s="53">
        <f>_xll.BDP("NXPI UW Equity","BEST_EBIT","BEST_FPERIOD_OVERRIDE","25Y")</f>
        <v/>
      </c>
    </row>
    <row r="2468">
      <c r="A2468" t="inlineStr">
        <is>
          <t>NXPI</t>
        </is>
      </c>
      <c r="B2468" t="inlineStr">
        <is>
          <t>NXPI UW Equity</t>
        </is>
      </c>
      <c r="C2468" t="inlineStr">
        <is>
          <t>BEST_EPS</t>
        </is>
      </c>
      <c r="D2468" t="inlineStr">
        <is>
          <t>26Y</t>
        </is>
      </c>
      <c r="E2468" t="inlineStr">
        <is>
          <t>EPS estimate FY2026</t>
        </is>
      </c>
      <c r="F2468" s="53">
        <f>_xll.BDP("NXPI UW Equity","BEST_EPS","BEST_FPERIOD_OVERRIDE","26Y")</f>
        <v/>
      </c>
    </row>
    <row r="2469">
      <c r="A2469" t="inlineStr">
        <is>
          <t>NXPI</t>
        </is>
      </c>
      <c r="B2469" t="inlineStr">
        <is>
          <t>NXPI UW Equity</t>
        </is>
      </c>
      <c r="C2469" t="inlineStr">
        <is>
          <t>BEST_SALES</t>
        </is>
      </c>
      <c r="D2469" t="inlineStr">
        <is>
          <t>26Y</t>
        </is>
      </c>
      <c r="E2469" t="inlineStr">
        <is>
          <t>Revenue estimate FY2026</t>
        </is>
      </c>
      <c r="F2469" s="53">
        <f>_xll.BDP("NXPI UW Equity","BEST_SALES","BEST_FPERIOD_OVERRIDE","26Y")</f>
        <v/>
      </c>
    </row>
    <row r="2470">
      <c r="A2470" t="inlineStr">
        <is>
          <t>NXPI</t>
        </is>
      </c>
      <c r="B2470" t="inlineStr">
        <is>
          <t>NXPI UW Equity</t>
        </is>
      </c>
      <c r="C2470" t="inlineStr">
        <is>
          <t>BEST_EBIT</t>
        </is>
      </c>
      <c r="D2470" t="inlineStr">
        <is>
          <t>26Y</t>
        </is>
      </c>
      <c r="E2470" t="inlineStr">
        <is>
          <t>EBIT estimate FY2026</t>
        </is>
      </c>
      <c r="F2470" s="53">
        <f>_xll.BDP("NXPI UW Equity","BEST_EBIT","BEST_FPERIOD_OVERRIDE","26Y")</f>
        <v/>
      </c>
    </row>
    <row r="2471">
      <c r="A2471" t="inlineStr">
        <is>
          <t>NXPI</t>
        </is>
      </c>
      <c r="B2471" t="inlineStr">
        <is>
          <t>NXPI UW Equity</t>
        </is>
      </c>
      <c r="C2471" t="inlineStr">
        <is>
          <t>BEST_EPS</t>
        </is>
      </c>
      <c r="D2471" t="inlineStr">
        <is>
          <t>27Y</t>
        </is>
      </c>
      <c r="E2471" t="inlineStr">
        <is>
          <t>EPS estimate FY2027</t>
        </is>
      </c>
      <c r="F2471" s="53">
        <f>_xll.BDP("NXPI UW Equity","BEST_EPS","BEST_FPERIOD_OVERRIDE","27Y")</f>
        <v/>
      </c>
    </row>
    <row r="2472">
      <c r="A2472" t="inlineStr">
        <is>
          <t>NXPI</t>
        </is>
      </c>
      <c r="B2472" t="inlineStr">
        <is>
          <t>NXPI UW Equity</t>
        </is>
      </c>
      <c r="C2472" t="inlineStr">
        <is>
          <t>BEST_SALES</t>
        </is>
      </c>
      <c r="D2472" t="inlineStr">
        <is>
          <t>27Y</t>
        </is>
      </c>
      <c r="E2472" t="inlineStr">
        <is>
          <t>Revenue estimate FY2027</t>
        </is>
      </c>
      <c r="F2472" s="53">
        <f>_xll.BDP("NXPI UW Equity","BEST_SALES","BEST_FPERIOD_OVERRIDE","27Y")</f>
        <v/>
      </c>
    </row>
    <row r="2473">
      <c r="A2473" t="inlineStr">
        <is>
          <t>NXPI</t>
        </is>
      </c>
      <c r="B2473" t="inlineStr">
        <is>
          <t>NXPI UW Equity</t>
        </is>
      </c>
      <c r="C2473" t="inlineStr">
        <is>
          <t>BEST_EBIT</t>
        </is>
      </c>
      <c r="D2473" t="inlineStr">
        <is>
          <t>27Y</t>
        </is>
      </c>
      <c r="E2473" t="inlineStr">
        <is>
          <t>EBIT estimate FY2027</t>
        </is>
      </c>
      <c r="F2473" s="53">
        <f>_xll.BDP("NXPI UW Equity","BEST_EBIT","BEST_FPERIOD_OVERRIDE","27Y")</f>
        <v/>
      </c>
    </row>
    <row r="2474">
      <c r="A2474" t="inlineStr">
        <is>
          <t>NXPI</t>
        </is>
      </c>
      <c r="B2474" t="inlineStr">
        <is>
          <t>NXPI UW Equity</t>
        </is>
      </c>
      <c r="C2474" t="inlineStr">
        <is>
          <t>BEST_EPS</t>
        </is>
      </c>
      <c r="D2474" t="inlineStr">
        <is>
          <t>28Y</t>
        </is>
      </c>
      <c r="E2474" t="inlineStr">
        <is>
          <t>EPS estimate FY2028</t>
        </is>
      </c>
      <c r="F2474" s="53">
        <f>_xll.BDP("NXPI UW Equity","BEST_EPS","BEST_FPERIOD_OVERRIDE","28Y")</f>
        <v/>
      </c>
    </row>
    <row r="2475">
      <c r="A2475" t="inlineStr">
        <is>
          <t>NXPI</t>
        </is>
      </c>
      <c r="B2475" t="inlineStr">
        <is>
          <t>NXPI UW Equity</t>
        </is>
      </c>
      <c r="C2475" t="inlineStr">
        <is>
          <t>BEST_SALES</t>
        </is>
      </c>
      <c r="D2475" t="inlineStr">
        <is>
          <t>28Y</t>
        </is>
      </c>
      <c r="E2475" t="inlineStr">
        <is>
          <t>Revenue estimate FY2028</t>
        </is>
      </c>
      <c r="F2475" s="53">
        <f>_xll.BDP("NXPI UW Equity","BEST_SALES","BEST_FPERIOD_OVERRIDE","28Y")</f>
        <v/>
      </c>
    </row>
    <row r="2476">
      <c r="A2476" t="inlineStr">
        <is>
          <t>NXPI</t>
        </is>
      </c>
      <c r="B2476" t="inlineStr">
        <is>
          <t>NXPI UW Equity</t>
        </is>
      </c>
      <c r="C2476" t="inlineStr">
        <is>
          <t>BEST_EBIT</t>
        </is>
      </c>
      <c r="D2476" t="inlineStr">
        <is>
          <t>28Y</t>
        </is>
      </c>
      <c r="E2476" t="inlineStr">
        <is>
          <t>EBIT estimate FY2028</t>
        </is>
      </c>
      <c r="F2476" s="53">
        <f>_xll.BDP("NXPI UW Equity","BEST_EBIT","BEST_FPERIOD_OVERRIDE","28Y")</f>
        <v/>
      </c>
    </row>
    <row r="2477">
      <c r="A2477" t="inlineStr">
        <is>
          <t>ON</t>
        </is>
      </c>
      <c r="B2477" t="inlineStr">
        <is>
          <t>ON UW Equity</t>
        </is>
      </c>
      <c r="C2477" t="inlineStr">
        <is>
          <t>PX_LAST</t>
        </is>
      </c>
      <c r="E2477" t="inlineStr">
        <is>
          <t>Last price</t>
        </is>
      </c>
      <c r="F2477" s="53">
        <f>_xll.BDP("ON UW Equity","PX_LAST")</f>
        <v/>
      </c>
    </row>
    <row r="2478">
      <c r="A2478" t="inlineStr">
        <is>
          <t>ON</t>
        </is>
      </c>
      <c r="B2478" t="inlineStr">
        <is>
          <t>ON UW Equity</t>
        </is>
      </c>
      <c r="C2478" t="inlineStr">
        <is>
          <t>CUR_MKT_CAP</t>
        </is>
      </c>
      <c r="E2478" t="inlineStr">
        <is>
          <t>Market cap (raw)</t>
        </is>
      </c>
      <c r="F2478" s="53">
        <f>_xll.BDP("ON UW Equity","CUR_MKT_CAP")</f>
        <v/>
      </c>
    </row>
    <row r="2479">
      <c r="A2479" t="inlineStr">
        <is>
          <t>ON</t>
        </is>
      </c>
      <c r="B2479" t="inlineStr">
        <is>
          <t>ON UW Equity</t>
        </is>
      </c>
      <c r="C2479" t="inlineStr">
        <is>
          <t>CHG_PCT_YTD</t>
        </is>
      </c>
      <c r="E2479" t="inlineStr">
        <is>
          <t>YTD price change %</t>
        </is>
      </c>
      <c r="F2479" s="53">
        <f>_xll.BDP("ON UW Equity","CHG_PCT_YTD")</f>
        <v/>
      </c>
    </row>
    <row r="2480">
      <c r="A2480" t="inlineStr">
        <is>
          <t>ON</t>
        </is>
      </c>
      <c r="B2480" t="inlineStr">
        <is>
          <t>ON UW Equity</t>
        </is>
      </c>
      <c r="C2480" t="inlineStr">
        <is>
          <t>NET_DEBT_TO_EBITDA</t>
        </is>
      </c>
      <c r="E2480" t="inlineStr">
        <is>
          <t>Net debt / EBITDA</t>
        </is>
      </c>
      <c r="F2480" s="53">
        <f>_xll.BDP("ON UW Equity","NET_DEBT_TO_EBITDA")</f>
        <v/>
      </c>
    </row>
    <row r="2481">
      <c r="A2481" t="inlineStr">
        <is>
          <t>ON</t>
        </is>
      </c>
      <c r="B2481" t="inlineStr">
        <is>
          <t>ON UW Equity</t>
        </is>
      </c>
      <c r="C2481" t="inlineStr">
        <is>
          <t>RETURN_ON_INV_CAPITAL</t>
        </is>
      </c>
      <c r="E2481" t="inlineStr">
        <is>
          <t>ROIC (LTM)</t>
        </is>
      </c>
      <c r="F2481" s="53">
        <f>_xll.BDP("ON UW Equity","RETURN_ON_INV_CAPITAL")</f>
        <v/>
      </c>
    </row>
    <row r="2482">
      <c r="A2482" t="inlineStr">
        <is>
          <t>ON</t>
        </is>
      </c>
      <c r="B2482" t="inlineStr">
        <is>
          <t>ON UW Equity</t>
        </is>
      </c>
      <c r="C2482" t="inlineStr">
        <is>
          <t>TRAIL_12M_OPER_INC</t>
        </is>
      </c>
      <c r="E2482" t="inlineStr">
        <is>
          <t>LTM operating income</t>
        </is>
      </c>
      <c r="F2482" s="53">
        <f>_xll.BDP("ON UW Equity","TRAIL_12M_OPER_INC")</f>
        <v/>
      </c>
    </row>
    <row r="2483">
      <c r="A2483" t="inlineStr">
        <is>
          <t>ON</t>
        </is>
      </c>
      <c r="B2483" t="inlineStr">
        <is>
          <t>ON UW Equity</t>
        </is>
      </c>
      <c r="C2483" t="inlineStr">
        <is>
          <t>TRAIL_12M_EBITDA</t>
        </is>
      </c>
      <c r="E2483" t="inlineStr">
        <is>
          <t>LTM EBITDA</t>
        </is>
      </c>
      <c r="F2483" s="53">
        <f>_xll.BDP("ON UW Equity","TRAIL_12M_EBITDA")</f>
        <v/>
      </c>
    </row>
    <row r="2484">
      <c r="A2484" t="inlineStr">
        <is>
          <t>ON</t>
        </is>
      </c>
      <c r="B2484" t="inlineStr">
        <is>
          <t>ON UW Equity</t>
        </is>
      </c>
      <c r="C2484" t="inlineStr">
        <is>
          <t>SHORT_AND_LONG_TERM_DEBT</t>
        </is>
      </c>
      <c r="E2484" t="inlineStr">
        <is>
          <t>Total debt</t>
        </is>
      </c>
      <c r="F2484" s="53">
        <f>_xll.BDP("ON UW Equity","SHORT_AND_LONG_TERM_DEBT")</f>
        <v/>
      </c>
    </row>
    <row r="2485">
      <c r="A2485" t="inlineStr">
        <is>
          <t>ON</t>
        </is>
      </c>
      <c r="B2485" t="inlineStr">
        <is>
          <t>ON UW Equity</t>
        </is>
      </c>
      <c r="C2485" t="inlineStr">
        <is>
          <t>TOTAL_EQUITY</t>
        </is>
      </c>
      <c r="E2485" t="inlineStr">
        <is>
          <t>Total equity</t>
        </is>
      </c>
      <c r="F2485" s="53">
        <f>_xll.BDP("ON UW Equity","TOTAL_EQUITY")</f>
        <v/>
      </c>
    </row>
    <row r="2486">
      <c r="A2486" t="inlineStr">
        <is>
          <t>ON</t>
        </is>
      </c>
      <c r="B2486" t="inlineStr">
        <is>
          <t>ON UW Equity</t>
        </is>
      </c>
      <c r="C2486" t="inlineStr">
        <is>
          <t>BS_CASH_NEAR_CASH_ITEM</t>
        </is>
      </c>
      <c r="E2486" t="inlineStr">
        <is>
          <t>Cash &amp; equivalents</t>
        </is>
      </c>
      <c r="F2486" s="53">
        <f>_xll.BDP("ON UW Equity","BS_CASH_NEAR_CASH_ITEM")</f>
        <v/>
      </c>
    </row>
    <row r="2487">
      <c r="A2487" t="inlineStr">
        <is>
          <t>ON</t>
        </is>
      </c>
      <c r="B2487" t="inlineStr">
        <is>
          <t>ON UW Equity</t>
        </is>
      </c>
      <c r="C2487" t="inlineStr">
        <is>
          <t>BEST_EPS</t>
        </is>
      </c>
      <c r="D2487" t="inlineStr">
        <is>
          <t>24Y</t>
        </is>
      </c>
      <c r="E2487" t="inlineStr">
        <is>
          <t>EPS estimate FY2024</t>
        </is>
      </c>
      <c r="F2487" s="53">
        <f>_xll.BDP("ON UW Equity","BEST_EPS","BEST_FPERIOD_OVERRIDE","24Y")</f>
        <v/>
      </c>
    </row>
    <row r="2488">
      <c r="A2488" t="inlineStr">
        <is>
          <t>ON</t>
        </is>
      </c>
      <c r="B2488" t="inlineStr">
        <is>
          <t>ON UW Equity</t>
        </is>
      </c>
      <c r="C2488" t="inlineStr">
        <is>
          <t>BEST_SALES</t>
        </is>
      </c>
      <c r="D2488" t="inlineStr">
        <is>
          <t>24Y</t>
        </is>
      </c>
      <c r="E2488" t="inlineStr">
        <is>
          <t>Revenue estimate FY2024</t>
        </is>
      </c>
      <c r="F2488" s="53">
        <f>_xll.BDP("ON UW Equity","BEST_SALES","BEST_FPERIOD_OVERRIDE","24Y")</f>
        <v/>
      </c>
    </row>
    <row r="2489">
      <c r="A2489" t="inlineStr">
        <is>
          <t>ON</t>
        </is>
      </c>
      <c r="B2489" t="inlineStr">
        <is>
          <t>ON UW Equity</t>
        </is>
      </c>
      <c r="C2489" t="inlineStr">
        <is>
          <t>BEST_EBIT</t>
        </is>
      </c>
      <c r="D2489" t="inlineStr">
        <is>
          <t>24Y</t>
        </is>
      </c>
      <c r="E2489" t="inlineStr">
        <is>
          <t>EBIT estimate FY2024</t>
        </is>
      </c>
      <c r="F2489" s="53">
        <f>_xll.BDP("ON UW Equity","BEST_EBIT","BEST_FPERIOD_OVERRIDE","24Y")</f>
        <v/>
      </c>
    </row>
    <row r="2490">
      <c r="A2490" t="inlineStr">
        <is>
          <t>ON</t>
        </is>
      </c>
      <c r="B2490" t="inlineStr">
        <is>
          <t>ON UW Equity</t>
        </is>
      </c>
      <c r="C2490" t="inlineStr">
        <is>
          <t>BEST_EPS</t>
        </is>
      </c>
      <c r="D2490" t="inlineStr">
        <is>
          <t>25Y</t>
        </is>
      </c>
      <c r="E2490" t="inlineStr">
        <is>
          <t>EPS estimate FY2025</t>
        </is>
      </c>
      <c r="F2490" s="53">
        <f>_xll.BDP("ON UW Equity","BEST_EPS","BEST_FPERIOD_OVERRIDE","25Y")</f>
        <v/>
      </c>
    </row>
    <row r="2491">
      <c r="A2491" t="inlineStr">
        <is>
          <t>ON</t>
        </is>
      </c>
      <c r="B2491" t="inlineStr">
        <is>
          <t>ON UW Equity</t>
        </is>
      </c>
      <c r="C2491" t="inlineStr">
        <is>
          <t>BEST_SALES</t>
        </is>
      </c>
      <c r="D2491" t="inlineStr">
        <is>
          <t>25Y</t>
        </is>
      </c>
      <c r="E2491" t="inlineStr">
        <is>
          <t>Revenue estimate FY2025</t>
        </is>
      </c>
      <c r="F2491" s="53">
        <f>_xll.BDP("ON UW Equity","BEST_SALES","BEST_FPERIOD_OVERRIDE","25Y")</f>
        <v/>
      </c>
    </row>
    <row r="2492">
      <c r="A2492" t="inlineStr">
        <is>
          <t>ON</t>
        </is>
      </c>
      <c r="B2492" t="inlineStr">
        <is>
          <t>ON UW Equity</t>
        </is>
      </c>
      <c r="C2492" t="inlineStr">
        <is>
          <t>BEST_EBIT</t>
        </is>
      </c>
      <c r="D2492" t="inlineStr">
        <is>
          <t>25Y</t>
        </is>
      </c>
      <c r="E2492" t="inlineStr">
        <is>
          <t>EBIT estimate FY2025</t>
        </is>
      </c>
      <c r="F2492" s="53">
        <f>_xll.BDP("ON UW Equity","BEST_EBIT","BEST_FPERIOD_OVERRIDE","25Y")</f>
        <v/>
      </c>
    </row>
    <row r="2493">
      <c r="A2493" t="inlineStr">
        <is>
          <t>ON</t>
        </is>
      </c>
      <c r="B2493" t="inlineStr">
        <is>
          <t>ON UW Equity</t>
        </is>
      </c>
      <c r="C2493" t="inlineStr">
        <is>
          <t>BEST_EPS</t>
        </is>
      </c>
      <c r="D2493" t="inlineStr">
        <is>
          <t>26Y</t>
        </is>
      </c>
      <c r="E2493" t="inlineStr">
        <is>
          <t>EPS estimate FY2026</t>
        </is>
      </c>
      <c r="F2493" s="53">
        <f>_xll.BDP("ON UW Equity","BEST_EPS","BEST_FPERIOD_OVERRIDE","26Y")</f>
        <v/>
      </c>
    </row>
    <row r="2494">
      <c r="A2494" t="inlineStr">
        <is>
          <t>ON</t>
        </is>
      </c>
      <c r="B2494" t="inlineStr">
        <is>
          <t>ON UW Equity</t>
        </is>
      </c>
      <c r="C2494" t="inlineStr">
        <is>
          <t>BEST_SALES</t>
        </is>
      </c>
      <c r="D2494" t="inlineStr">
        <is>
          <t>26Y</t>
        </is>
      </c>
      <c r="E2494" t="inlineStr">
        <is>
          <t>Revenue estimate FY2026</t>
        </is>
      </c>
      <c r="F2494" s="53">
        <f>_xll.BDP("ON UW Equity","BEST_SALES","BEST_FPERIOD_OVERRIDE","26Y")</f>
        <v/>
      </c>
    </row>
    <row r="2495">
      <c r="A2495" t="inlineStr">
        <is>
          <t>ON</t>
        </is>
      </c>
      <c r="B2495" t="inlineStr">
        <is>
          <t>ON UW Equity</t>
        </is>
      </c>
      <c r="C2495" t="inlineStr">
        <is>
          <t>BEST_EBIT</t>
        </is>
      </c>
      <c r="D2495" t="inlineStr">
        <is>
          <t>26Y</t>
        </is>
      </c>
      <c r="E2495" t="inlineStr">
        <is>
          <t>EBIT estimate FY2026</t>
        </is>
      </c>
      <c r="F2495" s="53">
        <f>_xll.BDP("ON UW Equity","BEST_EBIT","BEST_FPERIOD_OVERRIDE","26Y")</f>
        <v/>
      </c>
    </row>
    <row r="2496">
      <c r="A2496" t="inlineStr">
        <is>
          <t>ON</t>
        </is>
      </c>
      <c r="B2496" t="inlineStr">
        <is>
          <t>ON UW Equity</t>
        </is>
      </c>
      <c r="C2496" t="inlineStr">
        <is>
          <t>BEST_EPS</t>
        </is>
      </c>
      <c r="D2496" t="inlineStr">
        <is>
          <t>27Y</t>
        </is>
      </c>
      <c r="E2496" t="inlineStr">
        <is>
          <t>EPS estimate FY2027</t>
        </is>
      </c>
      <c r="F2496" s="53">
        <f>_xll.BDP("ON UW Equity","BEST_EPS","BEST_FPERIOD_OVERRIDE","27Y")</f>
        <v/>
      </c>
    </row>
    <row r="2497">
      <c r="A2497" t="inlineStr">
        <is>
          <t>ON</t>
        </is>
      </c>
      <c r="B2497" t="inlineStr">
        <is>
          <t>ON UW Equity</t>
        </is>
      </c>
      <c r="C2497" t="inlineStr">
        <is>
          <t>BEST_SALES</t>
        </is>
      </c>
      <c r="D2497" t="inlineStr">
        <is>
          <t>27Y</t>
        </is>
      </c>
      <c r="E2497" t="inlineStr">
        <is>
          <t>Revenue estimate FY2027</t>
        </is>
      </c>
      <c r="F2497" s="53">
        <f>_xll.BDP("ON UW Equity","BEST_SALES","BEST_FPERIOD_OVERRIDE","27Y")</f>
        <v/>
      </c>
    </row>
    <row r="2498">
      <c r="A2498" t="inlineStr">
        <is>
          <t>ON</t>
        </is>
      </c>
      <c r="B2498" t="inlineStr">
        <is>
          <t>ON UW Equity</t>
        </is>
      </c>
      <c r="C2498" t="inlineStr">
        <is>
          <t>BEST_EBIT</t>
        </is>
      </c>
      <c r="D2498" t="inlineStr">
        <is>
          <t>27Y</t>
        </is>
      </c>
      <c r="E2498" t="inlineStr">
        <is>
          <t>EBIT estimate FY2027</t>
        </is>
      </c>
      <c r="F2498" s="53">
        <f>_xll.BDP("ON UW Equity","BEST_EBIT","BEST_FPERIOD_OVERRIDE","27Y")</f>
        <v/>
      </c>
    </row>
    <row r="2499">
      <c r="A2499" t="inlineStr">
        <is>
          <t>ON</t>
        </is>
      </c>
      <c r="B2499" t="inlineStr">
        <is>
          <t>ON UW Equity</t>
        </is>
      </c>
      <c r="C2499" t="inlineStr">
        <is>
          <t>BEST_EPS</t>
        </is>
      </c>
      <c r="D2499" t="inlineStr">
        <is>
          <t>28Y</t>
        </is>
      </c>
      <c r="E2499" t="inlineStr">
        <is>
          <t>EPS estimate FY2028</t>
        </is>
      </c>
      <c r="F2499" s="53">
        <f>_xll.BDP("ON UW Equity","BEST_EPS","BEST_FPERIOD_OVERRIDE","28Y")</f>
        <v/>
      </c>
    </row>
    <row r="2500">
      <c r="A2500" t="inlineStr">
        <is>
          <t>ON</t>
        </is>
      </c>
      <c r="B2500" t="inlineStr">
        <is>
          <t>ON UW Equity</t>
        </is>
      </c>
      <c r="C2500" t="inlineStr">
        <is>
          <t>BEST_SALES</t>
        </is>
      </c>
      <c r="D2500" t="inlineStr">
        <is>
          <t>28Y</t>
        </is>
      </c>
      <c r="E2500" t="inlineStr">
        <is>
          <t>Revenue estimate FY2028</t>
        </is>
      </c>
      <c r="F2500" s="53">
        <f>_xll.BDP("ON UW Equity","BEST_SALES","BEST_FPERIOD_OVERRIDE","28Y")</f>
        <v/>
      </c>
    </row>
    <row r="2501">
      <c r="A2501" t="inlineStr">
        <is>
          <t>ON</t>
        </is>
      </c>
      <c r="B2501" t="inlineStr">
        <is>
          <t>ON UW Equity</t>
        </is>
      </c>
      <c r="C2501" t="inlineStr">
        <is>
          <t>BEST_EBIT</t>
        </is>
      </c>
      <c r="D2501" t="inlineStr">
        <is>
          <t>28Y</t>
        </is>
      </c>
      <c r="E2501" t="inlineStr">
        <is>
          <t>EBIT estimate FY2028</t>
        </is>
      </c>
      <c r="F2501" s="53">
        <f>_xll.BDP("ON UW Equity","BEST_EBIT","BEST_FPERIOD_OVERRIDE","28Y")</f>
        <v/>
      </c>
    </row>
    <row r="2502">
      <c r="A2502" t="inlineStr">
        <is>
          <t>QRVO</t>
        </is>
      </c>
      <c r="B2502" t="inlineStr">
        <is>
          <t>QRVO UW Equity</t>
        </is>
      </c>
      <c r="C2502" t="inlineStr">
        <is>
          <t>PX_LAST</t>
        </is>
      </c>
      <c r="E2502" t="inlineStr">
        <is>
          <t>Last price</t>
        </is>
      </c>
      <c r="F2502" s="53">
        <f>_xll.BDP("QRVO UW Equity","PX_LAST")</f>
        <v/>
      </c>
    </row>
    <row r="2503">
      <c r="A2503" t="inlineStr">
        <is>
          <t>QRVO</t>
        </is>
      </c>
      <c r="B2503" t="inlineStr">
        <is>
          <t>QRVO UW Equity</t>
        </is>
      </c>
      <c r="C2503" t="inlineStr">
        <is>
          <t>CUR_MKT_CAP</t>
        </is>
      </c>
      <c r="E2503" t="inlineStr">
        <is>
          <t>Market cap (raw)</t>
        </is>
      </c>
      <c r="F2503" s="53">
        <f>_xll.BDP("QRVO UW Equity","CUR_MKT_CAP")</f>
        <v/>
      </c>
    </row>
    <row r="2504">
      <c r="A2504" t="inlineStr">
        <is>
          <t>QRVO</t>
        </is>
      </c>
      <c r="B2504" t="inlineStr">
        <is>
          <t>QRVO UW Equity</t>
        </is>
      </c>
      <c r="C2504" t="inlineStr">
        <is>
          <t>CHG_PCT_YTD</t>
        </is>
      </c>
      <c r="E2504" t="inlineStr">
        <is>
          <t>YTD price change %</t>
        </is>
      </c>
      <c r="F2504" s="53">
        <f>_xll.BDP("QRVO UW Equity","CHG_PCT_YTD")</f>
        <v/>
      </c>
    </row>
    <row r="2505">
      <c r="A2505" t="inlineStr">
        <is>
          <t>QRVO</t>
        </is>
      </c>
      <c r="B2505" t="inlineStr">
        <is>
          <t>QRVO UW Equity</t>
        </is>
      </c>
      <c r="C2505" t="inlineStr">
        <is>
          <t>NET_DEBT_TO_EBITDA</t>
        </is>
      </c>
      <c r="E2505" t="inlineStr">
        <is>
          <t>Net debt / EBITDA</t>
        </is>
      </c>
      <c r="F2505" s="53">
        <f>_xll.BDP("QRVO UW Equity","NET_DEBT_TO_EBITDA")</f>
        <v/>
      </c>
    </row>
    <row r="2506">
      <c r="A2506" t="inlineStr">
        <is>
          <t>QRVO</t>
        </is>
      </c>
      <c r="B2506" t="inlineStr">
        <is>
          <t>QRVO UW Equity</t>
        </is>
      </c>
      <c r="C2506" t="inlineStr">
        <is>
          <t>RETURN_ON_INV_CAPITAL</t>
        </is>
      </c>
      <c r="E2506" t="inlineStr">
        <is>
          <t>ROIC (LTM)</t>
        </is>
      </c>
      <c r="F2506" s="53">
        <f>_xll.BDP("QRVO UW Equity","RETURN_ON_INV_CAPITAL")</f>
        <v/>
      </c>
    </row>
    <row r="2507">
      <c r="A2507" t="inlineStr">
        <is>
          <t>QRVO</t>
        </is>
      </c>
      <c r="B2507" t="inlineStr">
        <is>
          <t>QRVO UW Equity</t>
        </is>
      </c>
      <c r="C2507" t="inlineStr">
        <is>
          <t>TRAIL_12M_OPER_INC</t>
        </is>
      </c>
      <c r="E2507" t="inlineStr">
        <is>
          <t>LTM operating income</t>
        </is>
      </c>
      <c r="F2507" s="53">
        <f>_xll.BDP("QRVO UW Equity","TRAIL_12M_OPER_INC")</f>
        <v/>
      </c>
    </row>
    <row r="2508">
      <c r="A2508" t="inlineStr">
        <is>
          <t>QRVO</t>
        </is>
      </c>
      <c r="B2508" t="inlineStr">
        <is>
          <t>QRVO UW Equity</t>
        </is>
      </c>
      <c r="C2508" t="inlineStr">
        <is>
          <t>TRAIL_12M_EBITDA</t>
        </is>
      </c>
      <c r="E2508" t="inlineStr">
        <is>
          <t>LTM EBITDA</t>
        </is>
      </c>
      <c r="F2508" s="53">
        <f>_xll.BDP("QRVO UW Equity","TRAIL_12M_EBITDA")</f>
        <v/>
      </c>
    </row>
    <row r="2509">
      <c r="A2509" t="inlineStr">
        <is>
          <t>QRVO</t>
        </is>
      </c>
      <c r="B2509" t="inlineStr">
        <is>
          <t>QRVO UW Equity</t>
        </is>
      </c>
      <c r="C2509" t="inlineStr">
        <is>
          <t>SHORT_AND_LONG_TERM_DEBT</t>
        </is>
      </c>
      <c r="E2509" t="inlineStr">
        <is>
          <t>Total debt</t>
        </is>
      </c>
      <c r="F2509" s="53">
        <f>_xll.BDP("QRVO UW Equity","SHORT_AND_LONG_TERM_DEBT")</f>
        <v/>
      </c>
    </row>
    <row r="2510">
      <c r="A2510" t="inlineStr">
        <is>
          <t>QRVO</t>
        </is>
      </c>
      <c r="B2510" t="inlineStr">
        <is>
          <t>QRVO UW Equity</t>
        </is>
      </c>
      <c r="C2510" t="inlineStr">
        <is>
          <t>TOTAL_EQUITY</t>
        </is>
      </c>
      <c r="E2510" t="inlineStr">
        <is>
          <t>Total equity</t>
        </is>
      </c>
      <c r="F2510" s="53">
        <f>_xll.BDP("QRVO UW Equity","TOTAL_EQUITY")</f>
        <v/>
      </c>
    </row>
    <row r="2511">
      <c r="A2511" t="inlineStr">
        <is>
          <t>QRVO</t>
        </is>
      </c>
      <c r="B2511" t="inlineStr">
        <is>
          <t>QRVO UW Equity</t>
        </is>
      </c>
      <c r="C2511" t="inlineStr">
        <is>
          <t>BS_CASH_NEAR_CASH_ITEM</t>
        </is>
      </c>
      <c r="E2511" t="inlineStr">
        <is>
          <t>Cash &amp; equivalents</t>
        </is>
      </c>
      <c r="F2511" s="53">
        <f>_xll.BDP("QRVO UW Equity","BS_CASH_NEAR_CASH_ITEM")</f>
        <v/>
      </c>
    </row>
    <row r="2512">
      <c r="A2512" t="inlineStr">
        <is>
          <t>QRVO</t>
        </is>
      </c>
      <c r="B2512" t="inlineStr">
        <is>
          <t>QRVO UW Equity</t>
        </is>
      </c>
      <c r="C2512" t="inlineStr">
        <is>
          <t>BEST_EPS</t>
        </is>
      </c>
      <c r="D2512" t="inlineStr">
        <is>
          <t>24Y</t>
        </is>
      </c>
      <c r="E2512" t="inlineStr">
        <is>
          <t>EPS estimate FY2024</t>
        </is>
      </c>
      <c r="F2512" s="53">
        <f>_xll.BDP("QRVO UW Equity","BEST_EPS","BEST_FPERIOD_OVERRIDE","24Y")</f>
        <v/>
      </c>
    </row>
    <row r="2513">
      <c r="A2513" t="inlineStr">
        <is>
          <t>QRVO</t>
        </is>
      </c>
      <c r="B2513" t="inlineStr">
        <is>
          <t>QRVO UW Equity</t>
        </is>
      </c>
      <c r="C2513" t="inlineStr">
        <is>
          <t>BEST_SALES</t>
        </is>
      </c>
      <c r="D2513" t="inlineStr">
        <is>
          <t>24Y</t>
        </is>
      </c>
      <c r="E2513" t="inlineStr">
        <is>
          <t>Revenue estimate FY2024</t>
        </is>
      </c>
      <c r="F2513" s="53">
        <f>_xll.BDP("QRVO UW Equity","BEST_SALES","BEST_FPERIOD_OVERRIDE","24Y")</f>
        <v/>
      </c>
    </row>
    <row r="2514">
      <c r="A2514" t="inlineStr">
        <is>
          <t>QRVO</t>
        </is>
      </c>
      <c r="B2514" t="inlineStr">
        <is>
          <t>QRVO UW Equity</t>
        </is>
      </c>
      <c r="C2514" t="inlineStr">
        <is>
          <t>BEST_EBIT</t>
        </is>
      </c>
      <c r="D2514" t="inlineStr">
        <is>
          <t>24Y</t>
        </is>
      </c>
      <c r="E2514" t="inlineStr">
        <is>
          <t>EBIT estimate FY2024</t>
        </is>
      </c>
      <c r="F2514" s="53">
        <f>_xll.BDP("QRVO UW Equity","BEST_EBIT","BEST_FPERIOD_OVERRIDE","24Y")</f>
        <v/>
      </c>
    </row>
    <row r="2515">
      <c r="A2515" t="inlineStr">
        <is>
          <t>QRVO</t>
        </is>
      </c>
      <c r="B2515" t="inlineStr">
        <is>
          <t>QRVO UW Equity</t>
        </is>
      </c>
      <c r="C2515" t="inlineStr">
        <is>
          <t>BEST_EPS</t>
        </is>
      </c>
      <c r="D2515" t="inlineStr">
        <is>
          <t>25Y</t>
        </is>
      </c>
      <c r="E2515" t="inlineStr">
        <is>
          <t>EPS estimate FY2025</t>
        </is>
      </c>
      <c r="F2515" s="53">
        <f>_xll.BDP("QRVO UW Equity","BEST_EPS","BEST_FPERIOD_OVERRIDE","25Y")</f>
        <v/>
      </c>
    </row>
    <row r="2516">
      <c r="A2516" t="inlineStr">
        <is>
          <t>QRVO</t>
        </is>
      </c>
      <c r="B2516" t="inlineStr">
        <is>
          <t>QRVO UW Equity</t>
        </is>
      </c>
      <c r="C2516" t="inlineStr">
        <is>
          <t>BEST_SALES</t>
        </is>
      </c>
      <c r="D2516" t="inlineStr">
        <is>
          <t>25Y</t>
        </is>
      </c>
      <c r="E2516" t="inlineStr">
        <is>
          <t>Revenue estimate FY2025</t>
        </is>
      </c>
      <c r="F2516" s="53">
        <f>_xll.BDP("QRVO UW Equity","BEST_SALES","BEST_FPERIOD_OVERRIDE","25Y")</f>
        <v/>
      </c>
    </row>
    <row r="2517">
      <c r="A2517" t="inlineStr">
        <is>
          <t>QRVO</t>
        </is>
      </c>
      <c r="B2517" t="inlineStr">
        <is>
          <t>QRVO UW Equity</t>
        </is>
      </c>
      <c r="C2517" t="inlineStr">
        <is>
          <t>BEST_EBIT</t>
        </is>
      </c>
      <c r="D2517" t="inlineStr">
        <is>
          <t>25Y</t>
        </is>
      </c>
      <c r="E2517" t="inlineStr">
        <is>
          <t>EBIT estimate FY2025</t>
        </is>
      </c>
      <c r="F2517" s="53">
        <f>_xll.BDP("QRVO UW Equity","BEST_EBIT","BEST_FPERIOD_OVERRIDE","25Y")</f>
        <v/>
      </c>
    </row>
    <row r="2518">
      <c r="A2518" t="inlineStr">
        <is>
          <t>QRVO</t>
        </is>
      </c>
      <c r="B2518" t="inlineStr">
        <is>
          <t>QRVO UW Equity</t>
        </is>
      </c>
      <c r="C2518" t="inlineStr">
        <is>
          <t>BEST_EPS</t>
        </is>
      </c>
      <c r="D2518" t="inlineStr">
        <is>
          <t>26Y</t>
        </is>
      </c>
      <c r="E2518" t="inlineStr">
        <is>
          <t>EPS estimate FY2026</t>
        </is>
      </c>
      <c r="F2518" s="53">
        <f>_xll.BDP("QRVO UW Equity","BEST_EPS","BEST_FPERIOD_OVERRIDE","26Y")</f>
        <v/>
      </c>
    </row>
    <row r="2519">
      <c r="A2519" t="inlineStr">
        <is>
          <t>QRVO</t>
        </is>
      </c>
      <c r="B2519" t="inlineStr">
        <is>
          <t>QRVO UW Equity</t>
        </is>
      </c>
      <c r="C2519" t="inlineStr">
        <is>
          <t>BEST_SALES</t>
        </is>
      </c>
      <c r="D2519" t="inlineStr">
        <is>
          <t>26Y</t>
        </is>
      </c>
      <c r="E2519" t="inlineStr">
        <is>
          <t>Revenue estimate FY2026</t>
        </is>
      </c>
      <c r="F2519" s="53">
        <f>_xll.BDP("QRVO UW Equity","BEST_SALES","BEST_FPERIOD_OVERRIDE","26Y")</f>
        <v/>
      </c>
    </row>
    <row r="2520">
      <c r="A2520" t="inlineStr">
        <is>
          <t>QRVO</t>
        </is>
      </c>
      <c r="B2520" t="inlineStr">
        <is>
          <t>QRVO UW Equity</t>
        </is>
      </c>
      <c r="C2520" t="inlineStr">
        <is>
          <t>BEST_EBIT</t>
        </is>
      </c>
      <c r="D2520" t="inlineStr">
        <is>
          <t>26Y</t>
        </is>
      </c>
      <c r="E2520" t="inlineStr">
        <is>
          <t>EBIT estimate FY2026</t>
        </is>
      </c>
      <c r="F2520" s="53">
        <f>_xll.BDP("QRVO UW Equity","BEST_EBIT","BEST_FPERIOD_OVERRIDE","26Y")</f>
        <v/>
      </c>
    </row>
    <row r="2521">
      <c r="A2521" t="inlineStr">
        <is>
          <t>QRVO</t>
        </is>
      </c>
      <c r="B2521" t="inlineStr">
        <is>
          <t>QRVO UW Equity</t>
        </is>
      </c>
      <c r="C2521" t="inlineStr">
        <is>
          <t>BEST_EPS</t>
        </is>
      </c>
      <c r="D2521" t="inlineStr">
        <is>
          <t>27Y</t>
        </is>
      </c>
      <c r="E2521" t="inlineStr">
        <is>
          <t>EPS estimate FY2027</t>
        </is>
      </c>
      <c r="F2521" s="53">
        <f>_xll.BDP("QRVO UW Equity","BEST_EPS","BEST_FPERIOD_OVERRIDE","27Y")</f>
        <v/>
      </c>
    </row>
    <row r="2522">
      <c r="A2522" t="inlineStr">
        <is>
          <t>QRVO</t>
        </is>
      </c>
      <c r="B2522" t="inlineStr">
        <is>
          <t>QRVO UW Equity</t>
        </is>
      </c>
      <c r="C2522" t="inlineStr">
        <is>
          <t>BEST_SALES</t>
        </is>
      </c>
      <c r="D2522" t="inlineStr">
        <is>
          <t>27Y</t>
        </is>
      </c>
      <c r="E2522" t="inlineStr">
        <is>
          <t>Revenue estimate FY2027</t>
        </is>
      </c>
      <c r="F2522" s="53">
        <f>_xll.BDP("QRVO UW Equity","BEST_SALES","BEST_FPERIOD_OVERRIDE","27Y")</f>
        <v/>
      </c>
    </row>
    <row r="2523">
      <c r="A2523" t="inlineStr">
        <is>
          <t>QRVO</t>
        </is>
      </c>
      <c r="B2523" t="inlineStr">
        <is>
          <t>QRVO UW Equity</t>
        </is>
      </c>
      <c r="C2523" t="inlineStr">
        <is>
          <t>BEST_EBIT</t>
        </is>
      </c>
      <c r="D2523" t="inlineStr">
        <is>
          <t>27Y</t>
        </is>
      </c>
      <c r="E2523" t="inlineStr">
        <is>
          <t>EBIT estimate FY2027</t>
        </is>
      </c>
      <c r="F2523" s="53">
        <f>_xll.BDP("QRVO UW Equity","BEST_EBIT","BEST_FPERIOD_OVERRIDE","27Y")</f>
        <v/>
      </c>
    </row>
    <row r="2524">
      <c r="A2524" t="inlineStr">
        <is>
          <t>QRVO</t>
        </is>
      </c>
      <c r="B2524" t="inlineStr">
        <is>
          <t>QRVO UW Equity</t>
        </is>
      </c>
      <c r="C2524" t="inlineStr">
        <is>
          <t>BEST_EPS</t>
        </is>
      </c>
      <c r="D2524" t="inlineStr">
        <is>
          <t>28Y</t>
        </is>
      </c>
      <c r="E2524" t="inlineStr">
        <is>
          <t>EPS estimate FY2028</t>
        </is>
      </c>
      <c r="F2524" s="53">
        <f>_xll.BDP("QRVO UW Equity","BEST_EPS","BEST_FPERIOD_OVERRIDE","28Y")</f>
        <v/>
      </c>
    </row>
    <row r="2525">
      <c r="A2525" t="inlineStr">
        <is>
          <t>QRVO</t>
        </is>
      </c>
      <c r="B2525" t="inlineStr">
        <is>
          <t>QRVO UW Equity</t>
        </is>
      </c>
      <c r="C2525" t="inlineStr">
        <is>
          <t>BEST_SALES</t>
        </is>
      </c>
      <c r="D2525" t="inlineStr">
        <is>
          <t>28Y</t>
        </is>
      </c>
      <c r="E2525" t="inlineStr">
        <is>
          <t>Revenue estimate FY2028</t>
        </is>
      </c>
      <c r="F2525" s="53">
        <f>_xll.BDP("QRVO UW Equity","BEST_SALES","BEST_FPERIOD_OVERRIDE","28Y")</f>
        <v/>
      </c>
    </row>
    <row r="2526">
      <c r="A2526" t="inlineStr">
        <is>
          <t>QRVO</t>
        </is>
      </c>
      <c r="B2526" t="inlineStr">
        <is>
          <t>QRVO UW Equity</t>
        </is>
      </c>
      <c r="C2526" t="inlineStr">
        <is>
          <t>BEST_EBIT</t>
        </is>
      </c>
      <c r="D2526" t="inlineStr">
        <is>
          <t>28Y</t>
        </is>
      </c>
      <c r="E2526" t="inlineStr">
        <is>
          <t>EBIT estimate FY2028</t>
        </is>
      </c>
      <c r="F2526" s="53">
        <f>_xll.BDP("QRVO UW Equity","BEST_EBIT","BEST_FPERIOD_OVERRIDE","28Y")</f>
        <v/>
      </c>
    </row>
    <row r="2527">
      <c r="A2527" t="inlineStr">
        <is>
          <t>SWKS</t>
        </is>
      </c>
      <c r="B2527" t="inlineStr">
        <is>
          <t>SWKS UW Equity</t>
        </is>
      </c>
      <c r="C2527" t="inlineStr">
        <is>
          <t>PX_LAST</t>
        </is>
      </c>
      <c r="E2527" t="inlineStr">
        <is>
          <t>Last price</t>
        </is>
      </c>
      <c r="F2527" s="53">
        <f>_xll.BDP("SWKS UW Equity","PX_LAST")</f>
        <v/>
      </c>
    </row>
    <row r="2528">
      <c r="A2528" t="inlineStr">
        <is>
          <t>SWKS</t>
        </is>
      </c>
      <c r="B2528" t="inlineStr">
        <is>
          <t>SWKS UW Equity</t>
        </is>
      </c>
      <c r="C2528" t="inlineStr">
        <is>
          <t>CUR_MKT_CAP</t>
        </is>
      </c>
      <c r="E2528" t="inlineStr">
        <is>
          <t>Market cap (raw)</t>
        </is>
      </c>
      <c r="F2528" s="53">
        <f>_xll.BDP("SWKS UW Equity","CUR_MKT_CAP")</f>
        <v/>
      </c>
    </row>
    <row r="2529">
      <c r="A2529" t="inlineStr">
        <is>
          <t>SWKS</t>
        </is>
      </c>
      <c r="B2529" t="inlineStr">
        <is>
          <t>SWKS UW Equity</t>
        </is>
      </c>
      <c r="C2529" t="inlineStr">
        <is>
          <t>CHG_PCT_YTD</t>
        </is>
      </c>
      <c r="E2529" t="inlineStr">
        <is>
          <t>YTD price change %</t>
        </is>
      </c>
      <c r="F2529" s="53">
        <f>_xll.BDP("SWKS UW Equity","CHG_PCT_YTD")</f>
        <v/>
      </c>
    </row>
    <row r="2530">
      <c r="A2530" t="inlineStr">
        <is>
          <t>SWKS</t>
        </is>
      </c>
      <c r="B2530" t="inlineStr">
        <is>
          <t>SWKS UW Equity</t>
        </is>
      </c>
      <c r="C2530" t="inlineStr">
        <is>
          <t>NET_DEBT_TO_EBITDA</t>
        </is>
      </c>
      <c r="E2530" t="inlineStr">
        <is>
          <t>Net debt / EBITDA</t>
        </is>
      </c>
      <c r="F2530" s="53">
        <f>_xll.BDP("SWKS UW Equity","NET_DEBT_TO_EBITDA")</f>
        <v/>
      </c>
    </row>
    <row r="2531">
      <c r="A2531" t="inlineStr">
        <is>
          <t>SWKS</t>
        </is>
      </c>
      <c r="B2531" t="inlineStr">
        <is>
          <t>SWKS UW Equity</t>
        </is>
      </c>
      <c r="C2531" t="inlineStr">
        <is>
          <t>RETURN_ON_INV_CAPITAL</t>
        </is>
      </c>
      <c r="E2531" t="inlineStr">
        <is>
          <t>ROIC (LTM)</t>
        </is>
      </c>
      <c r="F2531" s="53">
        <f>_xll.BDP("SWKS UW Equity","RETURN_ON_INV_CAPITAL")</f>
        <v/>
      </c>
    </row>
    <row r="2532">
      <c r="A2532" t="inlineStr">
        <is>
          <t>SWKS</t>
        </is>
      </c>
      <c r="B2532" t="inlineStr">
        <is>
          <t>SWKS UW Equity</t>
        </is>
      </c>
      <c r="C2532" t="inlineStr">
        <is>
          <t>TRAIL_12M_OPER_INC</t>
        </is>
      </c>
      <c r="E2532" t="inlineStr">
        <is>
          <t>LTM operating income</t>
        </is>
      </c>
      <c r="F2532" s="53">
        <f>_xll.BDP("SWKS UW Equity","TRAIL_12M_OPER_INC")</f>
        <v/>
      </c>
    </row>
    <row r="2533">
      <c r="A2533" t="inlineStr">
        <is>
          <t>SWKS</t>
        </is>
      </c>
      <c r="B2533" t="inlineStr">
        <is>
          <t>SWKS UW Equity</t>
        </is>
      </c>
      <c r="C2533" t="inlineStr">
        <is>
          <t>TRAIL_12M_EBITDA</t>
        </is>
      </c>
      <c r="E2533" t="inlineStr">
        <is>
          <t>LTM EBITDA</t>
        </is>
      </c>
      <c r="F2533" s="53">
        <f>_xll.BDP("SWKS UW Equity","TRAIL_12M_EBITDA")</f>
        <v/>
      </c>
    </row>
    <row r="2534">
      <c r="A2534" t="inlineStr">
        <is>
          <t>SWKS</t>
        </is>
      </c>
      <c r="B2534" t="inlineStr">
        <is>
          <t>SWKS UW Equity</t>
        </is>
      </c>
      <c r="C2534" t="inlineStr">
        <is>
          <t>SHORT_AND_LONG_TERM_DEBT</t>
        </is>
      </c>
      <c r="E2534" t="inlineStr">
        <is>
          <t>Total debt</t>
        </is>
      </c>
      <c r="F2534" s="53">
        <f>_xll.BDP("SWKS UW Equity","SHORT_AND_LONG_TERM_DEBT")</f>
        <v/>
      </c>
    </row>
    <row r="2535">
      <c r="A2535" t="inlineStr">
        <is>
          <t>SWKS</t>
        </is>
      </c>
      <c r="B2535" t="inlineStr">
        <is>
          <t>SWKS UW Equity</t>
        </is>
      </c>
      <c r="C2535" t="inlineStr">
        <is>
          <t>TOTAL_EQUITY</t>
        </is>
      </c>
      <c r="E2535" t="inlineStr">
        <is>
          <t>Total equity</t>
        </is>
      </c>
      <c r="F2535" s="53">
        <f>_xll.BDP("SWKS UW Equity","TOTAL_EQUITY")</f>
        <v/>
      </c>
    </row>
    <row r="2536">
      <c r="A2536" t="inlineStr">
        <is>
          <t>SWKS</t>
        </is>
      </c>
      <c r="B2536" t="inlineStr">
        <is>
          <t>SWKS UW Equity</t>
        </is>
      </c>
      <c r="C2536" t="inlineStr">
        <is>
          <t>BS_CASH_NEAR_CASH_ITEM</t>
        </is>
      </c>
      <c r="E2536" t="inlineStr">
        <is>
          <t>Cash &amp; equivalents</t>
        </is>
      </c>
      <c r="F2536" s="53">
        <f>_xll.BDP("SWKS UW Equity","BS_CASH_NEAR_CASH_ITEM")</f>
        <v/>
      </c>
    </row>
    <row r="2537">
      <c r="A2537" t="inlineStr">
        <is>
          <t>SWKS</t>
        </is>
      </c>
      <c r="B2537" t="inlineStr">
        <is>
          <t>SWKS UW Equity</t>
        </is>
      </c>
      <c r="C2537" t="inlineStr">
        <is>
          <t>BEST_EPS</t>
        </is>
      </c>
      <c r="D2537" t="inlineStr">
        <is>
          <t>24Y</t>
        </is>
      </c>
      <c r="E2537" t="inlineStr">
        <is>
          <t>EPS estimate FY2024</t>
        </is>
      </c>
      <c r="F2537" s="53">
        <f>_xll.BDP("SWKS UW Equity","BEST_EPS","BEST_FPERIOD_OVERRIDE","24Y")</f>
        <v/>
      </c>
    </row>
    <row r="2538">
      <c r="A2538" t="inlineStr">
        <is>
          <t>SWKS</t>
        </is>
      </c>
      <c r="B2538" t="inlineStr">
        <is>
          <t>SWKS UW Equity</t>
        </is>
      </c>
      <c r="C2538" t="inlineStr">
        <is>
          <t>BEST_SALES</t>
        </is>
      </c>
      <c r="D2538" t="inlineStr">
        <is>
          <t>24Y</t>
        </is>
      </c>
      <c r="E2538" t="inlineStr">
        <is>
          <t>Revenue estimate FY2024</t>
        </is>
      </c>
      <c r="F2538" s="53">
        <f>_xll.BDP("SWKS UW Equity","BEST_SALES","BEST_FPERIOD_OVERRIDE","24Y")</f>
        <v/>
      </c>
    </row>
    <row r="2539">
      <c r="A2539" t="inlineStr">
        <is>
          <t>SWKS</t>
        </is>
      </c>
      <c r="B2539" t="inlineStr">
        <is>
          <t>SWKS UW Equity</t>
        </is>
      </c>
      <c r="C2539" t="inlineStr">
        <is>
          <t>BEST_EBIT</t>
        </is>
      </c>
      <c r="D2539" t="inlineStr">
        <is>
          <t>24Y</t>
        </is>
      </c>
      <c r="E2539" t="inlineStr">
        <is>
          <t>EBIT estimate FY2024</t>
        </is>
      </c>
      <c r="F2539" s="53">
        <f>_xll.BDP("SWKS UW Equity","BEST_EBIT","BEST_FPERIOD_OVERRIDE","24Y")</f>
        <v/>
      </c>
    </row>
    <row r="2540">
      <c r="A2540" t="inlineStr">
        <is>
          <t>SWKS</t>
        </is>
      </c>
      <c r="B2540" t="inlineStr">
        <is>
          <t>SWKS UW Equity</t>
        </is>
      </c>
      <c r="C2540" t="inlineStr">
        <is>
          <t>BEST_EPS</t>
        </is>
      </c>
      <c r="D2540" t="inlineStr">
        <is>
          <t>25Y</t>
        </is>
      </c>
      <c r="E2540" t="inlineStr">
        <is>
          <t>EPS estimate FY2025</t>
        </is>
      </c>
      <c r="F2540" s="53">
        <f>_xll.BDP("SWKS UW Equity","BEST_EPS","BEST_FPERIOD_OVERRIDE","25Y")</f>
        <v/>
      </c>
    </row>
    <row r="2541">
      <c r="A2541" t="inlineStr">
        <is>
          <t>SWKS</t>
        </is>
      </c>
      <c r="B2541" t="inlineStr">
        <is>
          <t>SWKS UW Equity</t>
        </is>
      </c>
      <c r="C2541" t="inlineStr">
        <is>
          <t>BEST_SALES</t>
        </is>
      </c>
      <c r="D2541" t="inlineStr">
        <is>
          <t>25Y</t>
        </is>
      </c>
      <c r="E2541" t="inlineStr">
        <is>
          <t>Revenue estimate FY2025</t>
        </is>
      </c>
      <c r="F2541" s="53">
        <f>_xll.BDP("SWKS UW Equity","BEST_SALES","BEST_FPERIOD_OVERRIDE","25Y")</f>
        <v/>
      </c>
    </row>
    <row r="2542">
      <c r="A2542" t="inlineStr">
        <is>
          <t>SWKS</t>
        </is>
      </c>
      <c r="B2542" t="inlineStr">
        <is>
          <t>SWKS UW Equity</t>
        </is>
      </c>
      <c r="C2542" t="inlineStr">
        <is>
          <t>BEST_EBIT</t>
        </is>
      </c>
      <c r="D2542" t="inlineStr">
        <is>
          <t>25Y</t>
        </is>
      </c>
      <c r="E2542" t="inlineStr">
        <is>
          <t>EBIT estimate FY2025</t>
        </is>
      </c>
      <c r="F2542" s="53">
        <f>_xll.BDP("SWKS UW Equity","BEST_EBIT","BEST_FPERIOD_OVERRIDE","25Y")</f>
        <v/>
      </c>
    </row>
    <row r="2543">
      <c r="A2543" t="inlineStr">
        <is>
          <t>SWKS</t>
        </is>
      </c>
      <c r="B2543" t="inlineStr">
        <is>
          <t>SWKS UW Equity</t>
        </is>
      </c>
      <c r="C2543" t="inlineStr">
        <is>
          <t>BEST_EPS</t>
        </is>
      </c>
      <c r="D2543" t="inlineStr">
        <is>
          <t>26Y</t>
        </is>
      </c>
      <c r="E2543" t="inlineStr">
        <is>
          <t>EPS estimate FY2026</t>
        </is>
      </c>
      <c r="F2543" s="53">
        <f>_xll.BDP("SWKS UW Equity","BEST_EPS","BEST_FPERIOD_OVERRIDE","26Y")</f>
        <v/>
      </c>
    </row>
    <row r="2544">
      <c r="A2544" t="inlineStr">
        <is>
          <t>SWKS</t>
        </is>
      </c>
      <c r="B2544" t="inlineStr">
        <is>
          <t>SWKS UW Equity</t>
        </is>
      </c>
      <c r="C2544" t="inlineStr">
        <is>
          <t>BEST_SALES</t>
        </is>
      </c>
      <c r="D2544" t="inlineStr">
        <is>
          <t>26Y</t>
        </is>
      </c>
      <c r="E2544" t="inlineStr">
        <is>
          <t>Revenue estimate FY2026</t>
        </is>
      </c>
      <c r="F2544" s="53">
        <f>_xll.BDP("SWKS UW Equity","BEST_SALES","BEST_FPERIOD_OVERRIDE","26Y")</f>
        <v/>
      </c>
    </row>
    <row r="2545">
      <c r="A2545" t="inlineStr">
        <is>
          <t>SWKS</t>
        </is>
      </c>
      <c r="B2545" t="inlineStr">
        <is>
          <t>SWKS UW Equity</t>
        </is>
      </c>
      <c r="C2545" t="inlineStr">
        <is>
          <t>BEST_EBIT</t>
        </is>
      </c>
      <c r="D2545" t="inlineStr">
        <is>
          <t>26Y</t>
        </is>
      </c>
      <c r="E2545" t="inlineStr">
        <is>
          <t>EBIT estimate FY2026</t>
        </is>
      </c>
      <c r="F2545" s="53">
        <f>_xll.BDP("SWKS UW Equity","BEST_EBIT","BEST_FPERIOD_OVERRIDE","26Y")</f>
        <v/>
      </c>
    </row>
    <row r="2546">
      <c r="A2546" t="inlineStr">
        <is>
          <t>SWKS</t>
        </is>
      </c>
      <c r="B2546" t="inlineStr">
        <is>
          <t>SWKS UW Equity</t>
        </is>
      </c>
      <c r="C2546" t="inlineStr">
        <is>
          <t>BEST_EPS</t>
        </is>
      </c>
      <c r="D2546" t="inlineStr">
        <is>
          <t>27Y</t>
        </is>
      </c>
      <c r="E2546" t="inlineStr">
        <is>
          <t>EPS estimate FY2027</t>
        </is>
      </c>
      <c r="F2546" s="53">
        <f>_xll.BDP("SWKS UW Equity","BEST_EPS","BEST_FPERIOD_OVERRIDE","27Y")</f>
        <v/>
      </c>
    </row>
    <row r="2547">
      <c r="A2547" t="inlineStr">
        <is>
          <t>SWKS</t>
        </is>
      </c>
      <c r="B2547" t="inlineStr">
        <is>
          <t>SWKS UW Equity</t>
        </is>
      </c>
      <c r="C2547" t="inlineStr">
        <is>
          <t>BEST_SALES</t>
        </is>
      </c>
      <c r="D2547" t="inlineStr">
        <is>
          <t>27Y</t>
        </is>
      </c>
      <c r="E2547" t="inlineStr">
        <is>
          <t>Revenue estimate FY2027</t>
        </is>
      </c>
      <c r="F2547" s="53">
        <f>_xll.BDP("SWKS UW Equity","BEST_SALES","BEST_FPERIOD_OVERRIDE","27Y")</f>
        <v/>
      </c>
    </row>
    <row r="2548">
      <c r="A2548" t="inlineStr">
        <is>
          <t>SWKS</t>
        </is>
      </c>
      <c r="B2548" t="inlineStr">
        <is>
          <t>SWKS UW Equity</t>
        </is>
      </c>
      <c r="C2548" t="inlineStr">
        <is>
          <t>BEST_EBIT</t>
        </is>
      </c>
      <c r="D2548" t="inlineStr">
        <is>
          <t>27Y</t>
        </is>
      </c>
      <c r="E2548" t="inlineStr">
        <is>
          <t>EBIT estimate FY2027</t>
        </is>
      </c>
      <c r="F2548" s="53">
        <f>_xll.BDP("SWKS UW Equity","BEST_EBIT","BEST_FPERIOD_OVERRIDE","27Y")</f>
        <v/>
      </c>
    </row>
    <row r="2549">
      <c r="A2549" t="inlineStr">
        <is>
          <t>SWKS</t>
        </is>
      </c>
      <c r="B2549" t="inlineStr">
        <is>
          <t>SWKS UW Equity</t>
        </is>
      </c>
      <c r="C2549" t="inlineStr">
        <is>
          <t>BEST_EPS</t>
        </is>
      </c>
      <c r="D2549" t="inlineStr">
        <is>
          <t>28Y</t>
        </is>
      </c>
      <c r="E2549" t="inlineStr">
        <is>
          <t>EPS estimate FY2028</t>
        </is>
      </c>
      <c r="F2549" s="53">
        <f>_xll.BDP("SWKS UW Equity","BEST_EPS","BEST_FPERIOD_OVERRIDE","28Y")</f>
        <v/>
      </c>
    </row>
    <row r="2550">
      <c r="A2550" t="inlineStr">
        <is>
          <t>SWKS</t>
        </is>
      </c>
      <c r="B2550" t="inlineStr">
        <is>
          <t>SWKS UW Equity</t>
        </is>
      </c>
      <c r="C2550" t="inlineStr">
        <is>
          <t>BEST_SALES</t>
        </is>
      </c>
      <c r="D2550" t="inlineStr">
        <is>
          <t>28Y</t>
        </is>
      </c>
      <c r="E2550" t="inlineStr">
        <is>
          <t>Revenue estimate FY2028</t>
        </is>
      </c>
      <c r="F2550" s="53">
        <f>_xll.BDP("SWKS UW Equity","BEST_SALES","BEST_FPERIOD_OVERRIDE","28Y")</f>
        <v/>
      </c>
    </row>
    <row r="2551">
      <c r="A2551" t="inlineStr">
        <is>
          <t>SWKS</t>
        </is>
      </c>
      <c r="B2551" t="inlineStr">
        <is>
          <t>SWKS UW Equity</t>
        </is>
      </c>
      <c r="C2551" t="inlineStr">
        <is>
          <t>BEST_EBIT</t>
        </is>
      </c>
      <c r="D2551" t="inlineStr">
        <is>
          <t>28Y</t>
        </is>
      </c>
      <c r="E2551" t="inlineStr">
        <is>
          <t>EBIT estimate FY2028</t>
        </is>
      </c>
      <c r="F2551" s="53">
        <f>_xll.BDP("SWKS UW Equity","BEST_EBIT","BEST_FPERIOD_OVERRIDE","28Y")</f>
        <v/>
      </c>
    </row>
    <row r="2552">
      <c r="A2552" t="inlineStr">
        <is>
          <t>MTSI</t>
        </is>
      </c>
      <c r="B2552" t="inlineStr">
        <is>
          <t>MTSI UW Equity</t>
        </is>
      </c>
      <c r="C2552" t="inlineStr">
        <is>
          <t>PX_LAST</t>
        </is>
      </c>
      <c r="E2552" t="inlineStr">
        <is>
          <t>Last price</t>
        </is>
      </c>
      <c r="F2552" s="53">
        <f>_xll.BDP("MTSI UW Equity","PX_LAST")</f>
        <v/>
      </c>
    </row>
    <row r="2553">
      <c r="A2553" t="inlineStr">
        <is>
          <t>MTSI</t>
        </is>
      </c>
      <c r="B2553" t="inlineStr">
        <is>
          <t>MTSI UW Equity</t>
        </is>
      </c>
      <c r="C2553" t="inlineStr">
        <is>
          <t>CUR_MKT_CAP</t>
        </is>
      </c>
      <c r="E2553" t="inlineStr">
        <is>
          <t>Market cap (raw)</t>
        </is>
      </c>
      <c r="F2553" s="53">
        <f>_xll.BDP("MTSI UW Equity","CUR_MKT_CAP")</f>
        <v/>
      </c>
    </row>
    <row r="2554">
      <c r="A2554" t="inlineStr">
        <is>
          <t>MTSI</t>
        </is>
      </c>
      <c r="B2554" t="inlineStr">
        <is>
          <t>MTSI UW Equity</t>
        </is>
      </c>
      <c r="C2554" t="inlineStr">
        <is>
          <t>CHG_PCT_YTD</t>
        </is>
      </c>
      <c r="E2554" t="inlineStr">
        <is>
          <t>YTD price change %</t>
        </is>
      </c>
      <c r="F2554" s="53">
        <f>_xll.BDP("MTSI UW Equity","CHG_PCT_YTD")</f>
        <v/>
      </c>
    </row>
    <row r="2555">
      <c r="A2555" t="inlineStr">
        <is>
          <t>MTSI</t>
        </is>
      </c>
      <c r="B2555" t="inlineStr">
        <is>
          <t>MTSI UW Equity</t>
        </is>
      </c>
      <c r="C2555" t="inlineStr">
        <is>
          <t>NET_DEBT_TO_EBITDA</t>
        </is>
      </c>
      <c r="E2555" t="inlineStr">
        <is>
          <t>Net debt / EBITDA</t>
        </is>
      </c>
      <c r="F2555" s="53">
        <f>_xll.BDP("MTSI UW Equity","NET_DEBT_TO_EBITDA")</f>
        <v/>
      </c>
    </row>
    <row r="2556">
      <c r="A2556" t="inlineStr">
        <is>
          <t>MTSI</t>
        </is>
      </c>
      <c r="B2556" t="inlineStr">
        <is>
          <t>MTSI UW Equity</t>
        </is>
      </c>
      <c r="C2556" t="inlineStr">
        <is>
          <t>RETURN_ON_INV_CAPITAL</t>
        </is>
      </c>
      <c r="E2556" t="inlineStr">
        <is>
          <t>ROIC (LTM)</t>
        </is>
      </c>
      <c r="F2556" s="53">
        <f>_xll.BDP("MTSI UW Equity","RETURN_ON_INV_CAPITAL")</f>
        <v/>
      </c>
    </row>
    <row r="2557">
      <c r="A2557" t="inlineStr">
        <is>
          <t>MTSI</t>
        </is>
      </c>
      <c r="B2557" t="inlineStr">
        <is>
          <t>MTSI UW Equity</t>
        </is>
      </c>
      <c r="C2557" t="inlineStr">
        <is>
          <t>TRAIL_12M_OPER_INC</t>
        </is>
      </c>
      <c r="E2557" t="inlineStr">
        <is>
          <t>LTM operating income</t>
        </is>
      </c>
      <c r="F2557" s="53">
        <f>_xll.BDP("MTSI UW Equity","TRAIL_12M_OPER_INC")</f>
        <v/>
      </c>
    </row>
    <row r="2558">
      <c r="A2558" t="inlineStr">
        <is>
          <t>MTSI</t>
        </is>
      </c>
      <c r="B2558" t="inlineStr">
        <is>
          <t>MTSI UW Equity</t>
        </is>
      </c>
      <c r="C2558" t="inlineStr">
        <is>
          <t>TRAIL_12M_EBITDA</t>
        </is>
      </c>
      <c r="E2558" t="inlineStr">
        <is>
          <t>LTM EBITDA</t>
        </is>
      </c>
      <c r="F2558" s="53">
        <f>_xll.BDP("MTSI UW Equity","TRAIL_12M_EBITDA")</f>
        <v/>
      </c>
    </row>
    <row r="2559">
      <c r="A2559" t="inlineStr">
        <is>
          <t>MTSI</t>
        </is>
      </c>
      <c r="B2559" t="inlineStr">
        <is>
          <t>MTSI UW Equity</t>
        </is>
      </c>
      <c r="C2559" t="inlineStr">
        <is>
          <t>SHORT_AND_LONG_TERM_DEBT</t>
        </is>
      </c>
      <c r="E2559" t="inlineStr">
        <is>
          <t>Total debt</t>
        </is>
      </c>
      <c r="F2559" s="53">
        <f>_xll.BDP("MTSI UW Equity","SHORT_AND_LONG_TERM_DEBT")</f>
        <v/>
      </c>
    </row>
    <row r="2560">
      <c r="A2560" t="inlineStr">
        <is>
          <t>MTSI</t>
        </is>
      </c>
      <c r="B2560" t="inlineStr">
        <is>
          <t>MTSI UW Equity</t>
        </is>
      </c>
      <c r="C2560" t="inlineStr">
        <is>
          <t>TOTAL_EQUITY</t>
        </is>
      </c>
      <c r="E2560" t="inlineStr">
        <is>
          <t>Total equity</t>
        </is>
      </c>
      <c r="F2560" s="53">
        <f>_xll.BDP("MTSI UW Equity","TOTAL_EQUITY")</f>
        <v/>
      </c>
    </row>
    <row r="2561">
      <c r="A2561" t="inlineStr">
        <is>
          <t>MTSI</t>
        </is>
      </c>
      <c r="B2561" t="inlineStr">
        <is>
          <t>MTSI UW Equity</t>
        </is>
      </c>
      <c r="C2561" t="inlineStr">
        <is>
          <t>BS_CASH_NEAR_CASH_ITEM</t>
        </is>
      </c>
      <c r="E2561" t="inlineStr">
        <is>
          <t>Cash &amp; equivalents</t>
        </is>
      </c>
      <c r="F2561" s="53">
        <f>_xll.BDP("MTSI UW Equity","BS_CASH_NEAR_CASH_ITEM")</f>
        <v/>
      </c>
    </row>
    <row r="2562">
      <c r="A2562" t="inlineStr">
        <is>
          <t>MTSI</t>
        </is>
      </c>
      <c r="B2562" t="inlineStr">
        <is>
          <t>MTSI UW Equity</t>
        </is>
      </c>
      <c r="C2562" t="inlineStr">
        <is>
          <t>BEST_EPS</t>
        </is>
      </c>
      <c r="D2562" t="inlineStr">
        <is>
          <t>24Y</t>
        </is>
      </c>
      <c r="E2562" t="inlineStr">
        <is>
          <t>EPS estimate FY2024</t>
        </is>
      </c>
      <c r="F2562" s="53">
        <f>_xll.BDP("MTSI UW Equity","BEST_EPS","BEST_FPERIOD_OVERRIDE","24Y")</f>
        <v/>
      </c>
    </row>
    <row r="2563">
      <c r="A2563" t="inlineStr">
        <is>
          <t>MTSI</t>
        </is>
      </c>
      <c r="B2563" t="inlineStr">
        <is>
          <t>MTSI UW Equity</t>
        </is>
      </c>
      <c r="C2563" t="inlineStr">
        <is>
          <t>BEST_SALES</t>
        </is>
      </c>
      <c r="D2563" t="inlineStr">
        <is>
          <t>24Y</t>
        </is>
      </c>
      <c r="E2563" t="inlineStr">
        <is>
          <t>Revenue estimate FY2024</t>
        </is>
      </c>
      <c r="F2563" s="53">
        <f>_xll.BDP("MTSI UW Equity","BEST_SALES","BEST_FPERIOD_OVERRIDE","24Y")</f>
        <v/>
      </c>
    </row>
    <row r="2564">
      <c r="A2564" t="inlineStr">
        <is>
          <t>MTSI</t>
        </is>
      </c>
      <c r="B2564" t="inlineStr">
        <is>
          <t>MTSI UW Equity</t>
        </is>
      </c>
      <c r="C2564" t="inlineStr">
        <is>
          <t>BEST_EBIT</t>
        </is>
      </c>
      <c r="D2564" t="inlineStr">
        <is>
          <t>24Y</t>
        </is>
      </c>
      <c r="E2564" t="inlineStr">
        <is>
          <t>EBIT estimate FY2024</t>
        </is>
      </c>
      <c r="F2564" s="53">
        <f>_xll.BDP("MTSI UW Equity","BEST_EBIT","BEST_FPERIOD_OVERRIDE","24Y")</f>
        <v/>
      </c>
    </row>
    <row r="2565">
      <c r="A2565" t="inlineStr">
        <is>
          <t>MTSI</t>
        </is>
      </c>
      <c r="B2565" t="inlineStr">
        <is>
          <t>MTSI UW Equity</t>
        </is>
      </c>
      <c r="C2565" t="inlineStr">
        <is>
          <t>BEST_EPS</t>
        </is>
      </c>
      <c r="D2565" t="inlineStr">
        <is>
          <t>25Y</t>
        </is>
      </c>
      <c r="E2565" t="inlineStr">
        <is>
          <t>EPS estimate FY2025</t>
        </is>
      </c>
      <c r="F2565" s="53">
        <f>_xll.BDP("MTSI UW Equity","BEST_EPS","BEST_FPERIOD_OVERRIDE","25Y")</f>
        <v/>
      </c>
    </row>
    <row r="2566">
      <c r="A2566" t="inlineStr">
        <is>
          <t>MTSI</t>
        </is>
      </c>
      <c r="B2566" t="inlineStr">
        <is>
          <t>MTSI UW Equity</t>
        </is>
      </c>
      <c r="C2566" t="inlineStr">
        <is>
          <t>BEST_SALES</t>
        </is>
      </c>
      <c r="D2566" t="inlineStr">
        <is>
          <t>25Y</t>
        </is>
      </c>
      <c r="E2566" t="inlineStr">
        <is>
          <t>Revenue estimate FY2025</t>
        </is>
      </c>
      <c r="F2566" s="53">
        <f>_xll.BDP("MTSI UW Equity","BEST_SALES","BEST_FPERIOD_OVERRIDE","25Y")</f>
        <v/>
      </c>
    </row>
    <row r="2567">
      <c r="A2567" t="inlineStr">
        <is>
          <t>MTSI</t>
        </is>
      </c>
      <c r="B2567" t="inlineStr">
        <is>
          <t>MTSI UW Equity</t>
        </is>
      </c>
      <c r="C2567" t="inlineStr">
        <is>
          <t>BEST_EBIT</t>
        </is>
      </c>
      <c r="D2567" t="inlineStr">
        <is>
          <t>25Y</t>
        </is>
      </c>
      <c r="E2567" t="inlineStr">
        <is>
          <t>EBIT estimate FY2025</t>
        </is>
      </c>
      <c r="F2567" s="53">
        <f>_xll.BDP("MTSI UW Equity","BEST_EBIT","BEST_FPERIOD_OVERRIDE","25Y")</f>
        <v/>
      </c>
    </row>
    <row r="2568">
      <c r="A2568" t="inlineStr">
        <is>
          <t>MTSI</t>
        </is>
      </c>
      <c r="B2568" t="inlineStr">
        <is>
          <t>MTSI UW Equity</t>
        </is>
      </c>
      <c r="C2568" t="inlineStr">
        <is>
          <t>BEST_EPS</t>
        </is>
      </c>
      <c r="D2568" t="inlineStr">
        <is>
          <t>26Y</t>
        </is>
      </c>
      <c r="E2568" t="inlineStr">
        <is>
          <t>EPS estimate FY2026</t>
        </is>
      </c>
      <c r="F2568" s="53">
        <f>_xll.BDP("MTSI UW Equity","BEST_EPS","BEST_FPERIOD_OVERRIDE","26Y")</f>
        <v/>
      </c>
    </row>
    <row r="2569">
      <c r="A2569" t="inlineStr">
        <is>
          <t>MTSI</t>
        </is>
      </c>
      <c r="B2569" t="inlineStr">
        <is>
          <t>MTSI UW Equity</t>
        </is>
      </c>
      <c r="C2569" t="inlineStr">
        <is>
          <t>BEST_SALES</t>
        </is>
      </c>
      <c r="D2569" t="inlineStr">
        <is>
          <t>26Y</t>
        </is>
      </c>
      <c r="E2569" t="inlineStr">
        <is>
          <t>Revenue estimate FY2026</t>
        </is>
      </c>
      <c r="F2569" s="53">
        <f>_xll.BDP("MTSI UW Equity","BEST_SALES","BEST_FPERIOD_OVERRIDE","26Y")</f>
        <v/>
      </c>
    </row>
    <row r="2570">
      <c r="A2570" t="inlineStr">
        <is>
          <t>MTSI</t>
        </is>
      </c>
      <c r="B2570" t="inlineStr">
        <is>
          <t>MTSI UW Equity</t>
        </is>
      </c>
      <c r="C2570" t="inlineStr">
        <is>
          <t>BEST_EBIT</t>
        </is>
      </c>
      <c r="D2570" t="inlineStr">
        <is>
          <t>26Y</t>
        </is>
      </c>
      <c r="E2570" t="inlineStr">
        <is>
          <t>EBIT estimate FY2026</t>
        </is>
      </c>
      <c r="F2570" s="53">
        <f>_xll.BDP("MTSI UW Equity","BEST_EBIT","BEST_FPERIOD_OVERRIDE","26Y")</f>
        <v/>
      </c>
    </row>
    <row r="2571">
      <c r="A2571" t="inlineStr">
        <is>
          <t>MTSI</t>
        </is>
      </c>
      <c r="B2571" t="inlineStr">
        <is>
          <t>MTSI UW Equity</t>
        </is>
      </c>
      <c r="C2571" t="inlineStr">
        <is>
          <t>BEST_EPS</t>
        </is>
      </c>
      <c r="D2571" t="inlineStr">
        <is>
          <t>27Y</t>
        </is>
      </c>
      <c r="E2571" t="inlineStr">
        <is>
          <t>EPS estimate FY2027</t>
        </is>
      </c>
      <c r="F2571" s="53">
        <f>_xll.BDP("MTSI UW Equity","BEST_EPS","BEST_FPERIOD_OVERRIDE","27Y")</f>
        <v/>
      </c>
    </row>
    <row r="2572">
      <c r="A2572" t="inlineStr">
        <is>
          <t>MTSI</t>
        </is>
      </c>
      <c r="B2572" t="inlineStr">
        <is>
          <t>MTSI UW Equity</t>
        </is>
      </c>
      <c r="C2572" t="inlineStr">
        <is>
          <t>BEST_SALES</t>
        </is>
      </c>
      <c r="D2572" t="inlineStr">
        <is>
          <t>27Y</t>
        </is>
      </c>
      <c r="E2572" t="inlineStr">
        <is>
          <t>Revenue estimate FY2027</t>
        </is>
      </c>
      <c r="F2572" s="53">
        <f>_xll.BDP("MTSI UW Equity","BEST_SALES","BEST_FPERIOD_OVERRIDE","27Y")</f>
        <v/>
      </c>
    </row>
    <row r="2573">
      <c r="A2573" t="inlineStr">
        <is>
          <t>MTSI</t>
        </is>
      </c>
      <c r="B2573" t="inlineStr">
        <is>
          <t>MTSI UW Equity</t>
        </is>
      </c>
      <c r="C2573" t="inlineStr">
        <is>
          <t>BEST_EBIT</t>
        </is>
      </c>
      <c r="D2573" t="inlineStr">
        <is>
          <t>27Y</t>
        </is>
      </c>
      <c r="E2573" t="inlineStr">
        <is>
          <t>EBIT estimate FY2027</t>
        </is>
      </c>
      <c r="F2573" s="53">
        <f>_xll.BDP("MTSI UW Equity","BEST_EBIT","BEST_FPERIOD_OVERRIDE","27Y")</f>
        <v/>
      </c>
    </row>
    <row r="2574">
      <c r="A2574" t="inlineStr">
        <is>
          <t>MTSI</t>
        </is>
      </c>
      <c r="B2574" t="inlineStr">
        <is>
          <t>MTSI UW Equity</t>
        </is>
      </c>
      <c r="C2574" t="inlineStr">
        <is>
          <t>BEST_EPS</t>
        </is>
      </c>
      <c r="D2574" t="inlineStr">
        <is>
          <t>28Y</t>
        </is>
      </c>
      <c r="E2574" t="inlineStr">
        <is>
          <t>EPS estimate FY2028</t>
        </is>
      </c>
      <c r="F2574" s="53">
        <f>_xll.BDP("MTSI UW Equity","BEST_EPS","BEST_FPERIOD_OVERRIDE","28Y")</f>
        <v/>
      </c>
    </row>
    <row r="2575">
      <c r="A2575" t="inlineStr">
        <is>
          <t>MTSI</t>
        </is>
      </c>
      <c r="B2575" t="inlineStr">
        <is>
          <t>MTSI UW Equity</t>
        </is>
      </c>
      <c r="C2575" t="inlineStr">
        <is>
          <t>BEST_SALES</t>
        </is>
      </c>
      <c r="D2575" t="inlineStr">
        <is>
          <t>28Y</t>
        </is>
      </c>
      <c r="E2575" t="inlineStr">
        <is>
          <t>Revenue estimate FY2028</t>
        </is>
      </c>
      <c r="F2575" s="53">
        <f>_xll.BDP("MTSI UW Equity","BEST_SALES","BEST_FPERIOD_OVERRIDE","28Y")</f>
        <v/>
      </c>
    </row>
    <row r="2576">
      <c r="A2576" t="inlineStr">
        <is>
          <t>MTSI</t>
        </is>
      </c>
      <c r="B2576" t="inlineStr">
        <is>
          <t>MTSI UW Equity</t>
        </is>
      </c>
      <c r="C2576" t="inlineStr">
        <is>
          <t>BEST_EBIT</t>
        </is>
      </c>
      <c r="D2576" t="inlineStr">
        <is>
          <t>28Y</t>
        </is>
      </c>
      <c r="E2576" t="inlineStr">
        <is>
          <t>EBIT estimate FY2028</t>
        </is>
      </c>
      <c r="F2576" s="53">
        <f>_xll.BDP("MTSI UW Equity","BEST_EBIT","BEST_FPERIOD_OVERRIDE","28Y")</f>
        <v/>
      </c>
    </row>
    <row r="2577">
      <c r="A2577" t="inlineStr">
        <is>
          <t>COHR</t>
        </is>
      </c>
      <c r="B2577" t="inlineStr">
        <is>
          <t>COHR UN Equity</t>
        </is>
      </c>
      <c r="C2577" t="inlineStr">
        <is>
          <t>PX_LAST</t>
        </is>
      </c>
      <c r="E2577" t="inlineStr">
        <is>
          <t>Last price</t>
        </is>
      </c>
      <c r="F2577" s="53">
        <f>_xll.BDP("COHR UN Equity","PX_LAST")</f>
        <v/>
      </c>
    </row>
    <row r="2578">
      <c r="A2578" t="inlineStr">
        <is>
          <t>COHR</t>
        </is>
      </c>
      <c r="B2578" t="inlineStr">
        <is>
          <t>COHR UN Equity</t>
        </is>
      </c>
      <c r="C2578" t="inlineStr">
        <is>
          <t>CUR_MKT_CAP</t>
        </is>
      </c>
      <c r="E2578" t="inlineStr">
        <is>
          <t>Market cap (raw)</t>
        </is>
      </c>
      <c r="F2578" s="53">
        <f>_xll.BDP("COHR UN Equity","CUR_MKT_CAP")</f>
        <v/>
      </c>
    </row>
    <row r="2579">
      <c r="A2579" t="inlineStr">
        <is>
          <t>COHR</t>
        </is>
      </c>
      <c r="B2579" t="inlineStr">
        <is>
          <t>COHR UN Equity</t>
        </is>
      </c>
      <c r="C2579" t="inlineStr">
        <is>
          <t>CHG_PCT_YTD</t>
        </is>
      </c>
      <c r="E2579" t="inlineStr">
        <is>
          <t>YTD price change %</t>
        </is>
      </c>
      <c r="F2579" s="53">
        <f>_xll.BDP("COHR UN Equity","CHG_PCT_YTD")</f>
        <v/>
      </c>
    </row>
    <row r="2580">
      <c r="A2580" t="inlineStr">
        <is>
          <t>COHR</t>
        </is>
      </c>
      <c r="B2580" t="inlineStr">
        <is>
          <t>COHR UN Equity</t>
        </is>
      </c>
      <c r="C2580" t="inlineStr">
        <is>
          <t>NET_DEBT_TO_EBITDA</t>
        </is>
      </c>
      <c r="E2580" t="inlineStr">
        <is>
          <t>Net debt / EBITDA</t>
        </is>
      </c>
      <c r="F2580" s="53">
        <f>_xll.BDP("COHR UN Equity","NET_DEBT_TO_EBITDA")</f>
        <v/>
      </c>
    </row>
    <row r="2581">
      <c r="A2581" t="inlineStr">
        <is>
          <t>COHR</t>
        </is>
      </c>
      <c r="B2581" t="inlineStr">
        <is>
          <t>COHR UN Equity</t>
        </is>
      </c>
      <c r="C2581" t="inlineStr">
        <is>
          <t>RETURN_ON_INV_CAPITAL</t>
        </is>
      </c>
      <c r="E2581" t="inlineStr">
        <is>
          <t>ROIC (LTM)</t>
        </is>
      </c>
      <c r="F2581" s="53">
        <f>_xll.BDP("COHR UN Equity","RETURN_ON_INV_CAPITAL")</f>
        <v/>
      </c>
    </row>
    <row r="2582">
      <c r="A2582" t="inlineStr">
        <is>
          <t>COHR</t>
        </is>
      </c>
      <c r="B2582" t="inlineStr">
        <is>
          <t>COHR UN Equity</t>
        </is>
      </c>
      <c r="C2582" t="inlineStr">
        <is>
          <t>TRAIL_12M_OPER_INC</t>
        </is>
      </c>
      <c r="E2582" t="inlineStr">
        <is>
          <t>LTM operating income</t>
        </is>
      </c>
      <c r="F2582" s="53">
        <f>_xll.BDP("COHR UN Equity","TRAIL_12M_OPER_INC")</f>
        <v/>
      </c>
    </row>
    <row r="2583">
      <c r="A2583" t="inlineStr">
        <is>
          <t>COHR</t>
        </is>
      </c>
      <c r="B2583" t="inlineStr">
        <is>
          <t>COHR UN Equity</t>
        </is>
      </c>
      <c r="C2583" t="inlineStr">
        <is>
          <t>TRAIL_12M_EBITDA</t>
        </is>
      </c>
      <c r="E2583" t="inlineStr">
        <is>
          <t>LTM EBITDA</t>
        </is>
      </c>
      <c r="F2583" s="53">
        <f>_xll.BDP("COHR UN Equity","TRAIL_12M_EBITDA")</f>
        <v/>
      </c>
    </row>
    <row r="2584">
      <c r="A2584" t="inlineStr">
        <is>
          <t>COHR</t>
        </is>
      </c>
      <c r="B2584" t="inlineStr">
        <is>
          <t>COHR UN Equity</t>
        </is>
      </c>
      <c r="C2584" t="inlineStr">
        <is>
          <t>SHORT_AND_LONG_TERM_DEBT</t>
        </is>
      </c>
      <c r="E2584" t="inlineStr">
        <is>
          <t>Total debt</t>
        </is>
      </c>
      <c r="F2584" s="53">
        <f>_xll.BDP("COHR UN Equity","SHORT_AND_LONG_TERM_DEBT")</f>
        <v/>
      </c>
    </row>
    <row r="2585">
      <c r="A2585" t="inlineStr">
        <is>
          <t>COHR</t>
        </is>
      </c>
      <c r="B2585" t="inlineStr">
        <is>
          <t>COHR UN Equity</t>
        </is>
      </c>
      <c r="C2585" t="inlineStr">
        <is>
          <t>TOTAL_EQUITY</t>
        </is>
      </c>
      <c r="E2585" t="inlineStr">
        <is>
          <t>Total equity</t>
        </is>
      </c>
      <c r="F2585" s="53">
        <f>_xll.BDP("COHR UN Equity","TOTAL_EQUITY")</f>
        <v/>
      </c>
    </row>
    <row r="2586">
      <c r="A2586" t="inlineStr">
        <is>
          <t>COHR</t>
        </is>
      </c>
      <c r="B2586" t="inlineStr">
        <is>
          <t>COHR UN Equity</t>
        </is>
      </c>
      <c r="C2586" t="inlineStr">
        <is>
          <t>BS_CASH_NEAR_CASH_ITEM</t>
        </is>
      </c>
      <c r="E2586" t="inlineStr">
        <is>
          <t>Cash &amp; equivalents</t>
        </is>
      </c>
      <c r="F2586" s="53">
        <f>_xll.BDP("COHR UN Equity","BS_CASH_NEAR_CASH_ITEM")</f>
        <v/>
      </c>
    </row>
    <row r="2587">
      <c r="A2587" t="inlineStr">
        <is>
          <t>COHR</t>
        </is>
      </c>
      <c r="B2587" t="inlineStr">
        <is>
          <t>COHR UN Equity</t>
        </is>
      </c>
      <c r="C2587" t="inlineStr">
        <is>
          <t>BEST_EPS</t>
        </is>
      </c>
      <c r="D2587" t="inlineStr">
        <is>
          <t>24Y</t>
        </is>
      </c>
      <c r="E2587" t="inlineStr">
        <is>
          <t>EPS estimate FY2024</t>
        </is>
      </c>
      <c r="F2587" s="53">
        <f>_xll.BDP("COHR UN Equity","BEST_EPS","BEST_FPERIOD_OVERRIDE","24Y")</f>
        <v/>
      </c>
    </row>
    <row r="2588">
      <c r="A2588" t="inlineStr">
        <is>
          <t>COHR</t>
        </is>
      </c>
      <c r="B2588" t="inlineStr">
        <is>
          <t>COHR UN Equity</t>
        </is>
      </c>
      <c r="C2588" t="inlineStr">
        <is>
          <t>BEST_SALES</t>
        </is>
      </c>
      <c r="D2588" t="inlineStr">
        <is>
          <t>24Y</t>
        </is>
      </c>
      <c r="E2588" t="inlineStr">
        <is>
          <t>Revenue estimate FY2024</t>
        </is>
      </c>
      <c r="F2588" s="53">
        <f>_xll.BDP("COHR UN Equity","BEST_SALES","BEST_FPERIOD_OVERRIDE","24Y")</f>
        <v/>
      </c>
    </row>
    <row r="2589">
      <c r="A2589" t="inlineStr">
        <is>
          <t>COHR</t>
        </is>
      </c>
      <c r="B2589" t="inlineStr">
        <is>
          <t>COHR UN Equity</t>
        </is>
      </c>
      <c r="C2589" t="inlineStr">
        <is>
          <t>BEST_EBIT</t>
        </is>
      </c>
      <c r="D2589" t="inlineStr">
        <is>
          <t>24Y</t>
        </is>
      </c>
      <c r="E2589" t="inlineStr">
        <is>
          <t>EBIT estimate FY2024</t>
        </is>
      </c>
      <c r="F2589" s="53">
        <f>_xll.BDP("COHR UN Equity","BEST_EBIT","BEST_FPERIOD_OVERRIDE","24Y")</f>
        <v/>
      </c>
    </row>
    <row r="2590">
      <c r="A2590" t="inlineStr">
        <is>
          <t>COHR</t>
        </is>
      </c>
      <c r="B2590" t="inlineStr">
        <is>
          <t>COHR UN Equity</t>
        </is>
      </c>
      <c r="C2590" t="inlineStr">
        <is>
          <t>BEST_EPS</t>
        </is>
      </c>
      <c r="D2590" t="inlineStr">
        <is>
          <t>25Y</t>
        </is>
      </c>
      <c r="E2590" t="inlineStr">
        <is>
          <t>EPS estimate FY2025</t>
        </is>
      </c>
      <c r="F2590" s="53">
        <f>_xll.BDP("COHR UN Equity","BEST_EPS","BEST_FPERIOD_OVERRIDE","25Y")</f>
        <v/>
      </c>
    </row>
    <row r="2591">
      <c r="A2591" t="inlineStr">
        <is>
          <t>COHR</t>
        </is>
      </c>
      <c r="B2591" t="inlineStr">
        <is>
          <t>COHR UN Equity</t>
        </is>
      </c>
      <c r="C2591" t="inlineStr">
        <is>
          <t>BEST_SALES</t>
        </is>
      </c>
      <c r="D2591" t="inlineStr">
        <is>
          <t>25Y</t>
        </is>
      </c>
      <c r="E2591" t="inlineStr">
        <is>
          <t>Revenue estimate FY2025</t>
        </is>
      </c>
      <c r="F2591" s="53">
        <f>_xll.BDP("COHR UN Equity","BEST_SALES","BEST_FPERIOD_OVERRIDE","25Y")</f>
        <v/>
      </c>
    </row>
    <row r="2592">
      <c r="A2592" t="inlineStr">
        <is>
          <t>COHR</t>
        </is>
      </c>
      <c r="B2592" t="inlineStr">
        <is>
          <t>COHR UN Equity</t>
        </is>
      </c>
      <c r="C2592" t="inlineStr">
        <is>
          <t>BEST_EBIT</t>
        </is>
      </c>
      <c r="D2592" t="inlineStr">
        <is>
          <t>25Y</t>
        </is>
      </c>
      <c r="E2592" t="inlineStr">
        <is>
          <t>EBIT estimate FY2025</t>
        </is>
      </c>
      <c r="F2592" s="53">
        <f>_xll.BDP("COHR UN Equity","BEST_EBIT","BEST_FPERIOD_OVERRIDE","25Y")</f>
        <v/>
      </c>
    </row>
    <row r="2593">
      <c r="A2593" t="inlineStr">
        <is>
          <t>COHR</t>
        </is>
      </c>
      <c r="B2593" t="inlineStr">
        <is>
          <t>COHR UN Equity</t>
        </is>
      </c>
      <c r="C2593" t="inlineStr">
        <is>
          <t>BEST_EPS</t>
        </is>
      </c>
      <c r="D2593" t="inlineStr">
        <is>
          <t>26Y</t>
        </is>
      </c>
      <c r="E2593" t="inlineStr">
        <is>
          <t>EPS estimate FY2026</t>
        </is>
      </c>
      <c r="F2593" s="53">
        <f>_xll.BDP("COHR UN Equity","BEST_EPS","BEST_FPERIOD_OVERRIDE","26Y")</f>
        <v/>
      </c>
    </row>
    <row r="2594">
      <c r="A2594" t="inlineStr">
        <is>
          <t>COHR</t>
        </is>
      </c>
      <c r="B2594" t="inlineStr">
        <is>
          <t>COHR UN Equity</t>
        </is>
      </c>
      <c r="C2594" t="inlineStr">
        <is>
          <t>BEST_SALES</t>
        </is>
      </c>
      <c r="D2594" t="inlineStr">
        <is>
          <t>26Y</t>
        </is>
      </c>
      <c r="E2594" t="inlineStr">
        <is>
          <t>Revenue estimate FY2026</t>
        </is>
      </c>
      <c r="F2594" s="53">
        <f>_xll.BDP("COHR UN Equity","BEST_SALES","BEST_FPERIOD_OVERRIDE","26Y")</f>
        <v/>
      </c>
    </row>
    <row r="2595">
      <c r="A2595" t="inlineStr">
        <is>
          <t>COHR</t>
        </is>
      </c>
      <c r="B2595" t="inlineStr">
        <is>
          <t>COHR UN Equity</t>
        </is>
      </c>
      <c r="C2595" t="inlineStr">
        <is>
          <t>BEST_EBIT</t>
        </is>
      </c>
      <c r="D2595" t="inlineStr">
        <is>
          <t>26Y</t>
        </is>
      </c>
      <c r="E2595" t="inlineStr">
        <is>
          <t>EBIT estimate FY2026</t>
        </is>
      </c>
      <c r="F2595" s="53">
        <f>_xll.BDP("COHR UN Equity","BEST_EBIT","BEST_FPERIOD_OVERRIDE","26Y")</f>
        <v/>
      </c>
    </row>
    <row r="2596">
      <c r="A2596" t="inlineStr">
        <is>
          <t>COHR</t>
        </is>
      </c>
      <c r="B2596" t="inlineStr">
        <is>
          <t>COHR UN Equity</t>
        </is>
      </c>
      <c r="C2596" t="inlineStr">
        <is>
          <t>BEST_EPS</t>
        </is>
      </c>
      <c r="D2596" t="inlineStr">
        <is>
          <t>27Y</t>
        </is>
      </c>
      <c r="E2596" t="inlineStr">
        <is>
          <t>EPS estimate FY2027</t>
        </is>
      </c>
      <c r="F2596" s="53">
        <f>_xll.BDP("COHR UN Equity","BEST_EPS","BEST_FPERIOD_OVERRIDE","27Y")</f>
        <v/>
      </c>
    </row>
    <row r="2597">
      <c r="A2597" t="inlineStr">
        <is>
          <t>COHR</t>
        </is>
      </c>
      <c r="B2597" t="inlineStr">
        <is>
          <t>COHR UN Equity</t>
        </is>
      </c>
      <c r="C2597" t="inlineStr">
        <is>
          <t>BEST_SALES</t>
        </is>
      </c>
      <c r="D2597" t="inlineStr">
        <is>
          <t>27Y</t>
        </is>
      </c>
      <c r="E2597" t="inlineStr">
        <is>
          <t>Revenue estimate FY2027</t>
        </is>
      </c>
      <c r="F2597" s="53">
        <f>_xll.BDP("COHR UN Equity","BEST_SALES","BEST_FPERIOD_OVERRIDE","27Y")</f>
        <v/>
      </c>
    </row>
    <row r="2598">
      <c r="A2598" t="inlineStr">
        <is>
          <t>COHR</t>
        </is>
      </c>
      <c r="B2598" t="inlineStr">
        <is>
          <t>COHR UN Equity</t>
        </is>
      </c>
      <c r="C2598" t="inlineStr">
        <is>
          <t>BEST_EBIT</t>
        </is>
      </c>
      <c r="D2598" t="inlineStr">
        <is>
          <t>27Y</t>
        </is>
      </c>
      <c r="E2598" t="inlineStr">
        <is>
          <t>EBIT estimate FY2027</t>
        </is>
      </c>
      <c r="F2598" s="53">
        <f>_xll.BDP("COHR UN Equity","BEST_EBIT","BEST_FPERIOD_OVERRIDE","27Y")</f>
        <v/>
      </c>
    </row>
    <row r="2599">
      <c r="A2599" t="inlineStr">
        <is>
          <t>COHR</t>
        </is>
      </c>
      <c r="B2599" t="inlineStr">
        <is>
          <t>COHR UN Equity</t>
        </is>
      </c>
      <c r="C2599" t="inlineStr">
        <is>
          <t>BEST_EPS</t>
        </is>
      </c>
      <c r="D2599" t="inlineStr">
        <is>
          <t>28Y</t>
        </is>
      </c>
      <c r="E2599" t="inlineStr">
        <is>
          <t>EPS estimate FY2028</t>
        </is>
      </c>
      <c r="F2599" s="53">
        <f>_xll.BDP("COHR UN Equity","BEST_EPS","BEST_FPERIOD_OVERRIDE","28Y")</f>
        <v/>
      </c>
    </row>
    <row r="2600">
      <c r="A2600" t="inlineStr">
        <is>
          <t>COHR</t>
        </is>
      </c>
      <c r="B2600" t="inlineStr">
        <is>
          <t>COHR UN Equity</t>
        </is>
      </c>
      <c r="C2600" t="inlineStr">
        <is>
          <t>BEST_SALES</t>
        </is>
      </c>
      <c r="D2600" t="inlineStr">
        <is>
          <t>28Y</t>
        </is>
      </c>
      <c r="E2600" t="inlineStr">
        <is>
          <t>Revenue estimate FY2028</t>
        </is>
      </c>
      <c r="F2600" s="53">
        <f>_xll.BDP("COHR UN Equity","BEST_SALES","BEST_FPERIOD_OVERRIDE","28Y")</f>
        <v/>
      </c>
    </row>
    <row r="2601">
      <c r="A2601" t="inlineStr">
        <is>
          <t>COHR</t>
        </is>
      </c>
      <c r="B2601" t="inlineStr">
        <is>
          <t>COHR UN Equity</t>
        </is>
      </c>
      <c r="C2601" t="inlineStr">
        <is>
          <t>BEST_EBIT</t>
        </is>
      </c>
      <c r="D2601" t="inlineStr">
        <is>
          <t>28Y</t>
        </is>
      </c>
      <c r="E2601" t="inlineStr">
        <is>
          <t>EBIT estimate FY2028</t>
        </is>
      </c>
      <c r="F2601" s="53">
        <f>_xll.BDP("COHR UN Equity","BEST_EBIT","BEST_FPERIOD_OVERRIDE","28Y")</f>
        <v/>
      </c>
    </row>
    <row r="2602">
      <c r="A2602" t="inlineStr">
        <is>
          <t>ENTG</t>
        </is>
      </c>
      <c r="B2602" t="inlineStr">
        <is>
          <t>ENTG UW Equity</t>
        </is>
      </c>
      <c r="C2602" t="inlineStr">
        <is>
          <t>PX_LAST</t>
        </is>
      </c>
      <c r="E2602" t="inlineStr">
        <is>
          <t>Last price</t>
        </is>
      </c>
      <c r="F2602" s="53">
        <f>_xll.BDP("ENTG UW Equity","PX_LAST")</f>
        <v/>
      </c>
    </row>
    <row r="2603">
      <c r="A2603" t="inlineStr">
        <is>
          <t>ENTG</t>
        </is>
      </c>
      <c r="B2603" t="inlineStr">
        <is>
          <t>ENTG UW Equity</t>
        </is>
      </c>
      <c r="C2603" t="inlineStr">
        <is>
          <t>CUR_MKT_CAP</t>
        </is>
      </c>
      <c r="E2603" t="inlineStr">
        <is>
          <t>Market cap (raw)</t>
        </is>
      </c>
      <c r="F2603" s="53">
        <f>_xll.BDP("ENTG UW Equity","CUR_MKT_CAP")</f>
        <v/>
      </c>
    </row>
    <row r="2604">
      <c r="A2604" t="inlineStr">
        <is>
          <t>ENTG</t>
        </is>
      </c>
      <c r="B2604" t="inlineStr">
        <is>
          <t>ENTG UW Equity</t>
        </is>
      </c>
      <c r="C2604" t="inlineStr">
        <is>
          <t>CHG_PCT_YTD</t>
        </is>
      </c>
      <c r="E2604" t="inlineStr">
        <is>
          <t>YTD price change %</t>
        </is>
      </c>
      <c r="F2604" s="53">
        <f>_xll.BDP("ENTG UW Equity","CHG_PCT_YTD")</f>
        <v/>
      </c>
    </row>
    <row r="2605">
      <c r="A2605" t="inlineStr">
        <is>
          <t>ENTG</t>
        </is>
      </c>
      <c r="B2605" t="inlineStr">
        <is>
          <t>ENTG UW Equity</t>
        </is>
      </c>
      <c r="C2605" t="inlineStr">
        <is>
          <t>NET_DEBT_TO_EBITDA</t>
        </is>
      </c>
      <c r="E2605" t="inlineStr">
        <is>
          <t>Net debt / EBITDA</t>
        </is>
      </c>
      <c r="F2605" s="53">
        <f>_xll.BDP("ENTG UW Equity","NET_DEBT_TO_EBITDA")</f>
        <v/>
      </c>
    </row>
    <row r="2606">
      <c r="A2606" t="inlineStr">
        <is>
          <t>ENTG</t>
        </is>
      </c>
      <c r="B2606" t="inlineStr">
        <is>
          <t>ENTG UW Equity</t>
        </is>
      </c>
      <c r="C2606" t="inlineStr">
        <is>
          <t>RETURN_ON_INV_CAPITAL</t>
        </is>
      </c>
      <c r="E2606" t="inlineStr">
        <is>
          <t>ROIC (LTM)</t>
        </is>
      </c>
      <c r="F2606" s="53">
        <f>_xll.BDP("ENTG UW Equity","RETURN_ON_INV_CAPITAL")</f>
        <v/>
      </c>
    </row>
    <row r="2607">
      <c r="A2607" t="inlineStr">
        <is>
          <t>ENTG</t>
        </is>
      </c>
      <c r="B2607" t="inlineStr">
        <is>
          <t>ENTG UW Equity</t>
        </is>
      </c>
      <c r="C2607" t="inlineStr">
        <is>
          <t>TRAIL_12M_OPER_INC</t>
        </is>
      </c>
      <c r="E2607" t="inlineStr">
        <is>
          <t>LTM operating income</t>
        </is>
      </c>
      <c r="F2607" s="53">
        <f>_xll.BDP("ENTG UW Equity","TRAIL_12M_OPER_INC")</f>
        <v/>
      </c>
    </row>
    <row r="2608">
      <c r="A2608" t="inlineStr">
        <is>
          <t>ENTG</t>
        </is>
      </c>
      <c r="B2608" t="inlineStr">
        <is>
          <t>ENTG UW Equity</t>
        </is>
      </c>
      <c r="C2608" t="inlineStr">
        <is>
          <t>TRAIL_12M_EBITDA</t>
        </is>
      </c>
      <c r="E2608" t="inlineStr">
        <is>
          <t>LTM EBITDA</t>
        </is>
      </c>
      <c r="F2608" s="53">
        <f>_xll.BDP("ENTG UW Equity","TRAIL_12M_EBITDA")</f>
        <v/>
      </c>
    </row>
    <row r="2609">
      <c r="A2609" t="inlineStr">
        <is>
          <t>ENTG</t>
        </is>
      </c>
      <c r="B2609" t="inlineStr">
        <is>
          <t>ENTG UW Equity</t>
        </is>
      </c>
      <c r="C2609" t="inlineStr">
        <is>
          <t>SHORT_AND_LONG_TERM_DEBT</t>
        </is>
      </c>
      <c r="E2609" t="inlineStr">
        <is>
          <t>Total debt</t>
        </is>
      </c>
      <c r="F2609" s="53">
        <f>_xll.BDP("ENTG UW Equity","SHORT_AND_LONG_TERM_DEBT")</f>
        <v/>
      </c>
    </row>
    <row r="2610">
      <c r="A2610" t="inlineStr">
        <is>
          <t>ENTG</t>
        </is>
      </c>
      <c r="B2610" t="inlineStr">
        <is>
          <t>ENTG UW Equity</t>
        </is>
      </c>
      <c r="C2610" t="inlineStr">
        <is>
          <t>TOTAL_EQUITY</t>
        </is>
      </c>
      <c r="E2610" t="inlineStr">
        <is>
          <t>Total equity</t>
        </is>
      </c>
      <c r="F2610" s="53">
        <f>_xll.BDP("ENTG UW Equity","TOTAL_EQUITY")</f>
        <v/>
      </c>
    </row>
    <row r="2611">
      <c r="A2611" t="inlineStr">
        <is>
          <t>ENTG</t>
        </is>
      </c>
      <c r="B2611" t="inlineStr">
        <is>
          <t>ENTG UW Equity</t>
        </is>
      </c>
      <c r="C2611" t="inlineStr">
        <is>
          <t>BS_CASH_NEAR_CASH_ITEM</t>
        </is>
      </c>
      <c r="E2611" t="inlineStr">
        <is>
          <t>Cash &amp; equivalents</t>
        </is>
      </c>
      <c r="F2611" s="53">
        <f>_xll.BDP("ENTG UW Equity","BS_CASH_NEAR_CASH_ITEM")</f>
        <v/>
      </c>
    </row>
    <row r="2612">
      <c r="A2612" t="inlineStr">
        <is>
          <t>ENTG</t>
        </is>
      </c>
      <c r="B2612" t="inlineStr">
        <is>
          <t>ENTG UW Equity</t>
        </is>
      </c>
      <c r="C2612" t="inlineStr">
        <is>
          <t>BEST_EPS</t>
        </is>
      </c>
      <c r="D2612" t="inlineStr">
        <is>
          <t>24Y</t>
        </is>
      </c>
      <c r="E2612" t="inlineStr">
        <is>
          <t>EPS estimate FY2024</t>
        </is>
      </c>
      <c r="F2612" s="53">
        <f>_xll.BDP("ENTG UW Equity","BEST_EPS","BEST_FPERIOD_OVERRIDE","24Y")</f>
        <v/>
      </c>
    </row>
    <row r="2613">
      <c r="A2613" t="inlineStr">
        <is>
          <t>ENTG</t>
        </is>
      </c>
      <c r="B2613" t="inlineStr">
        <is>
          <t>ENTG UW Equity</t>
        </is>
      </c>
      <c r="C2613" t="inlineStr">
        <is>
          <t>BEST_SALES</t>
        </is>
      </c>
      <c r="D2613" t="inlineStr">
        <is>
          <t>24Y</t>
        </is>
      </c>
      <c r="E2613" t="inlineStr">
        <is>
          <t>Revenue estimate FY2024</t>
        </is>
      </c>
      <c r="F2613" s="53">
        <f>_xll.BDP("ENTG UW Equity","BEST_SALES","BEST_FPERIOD_OVERRIDE","24Y")</f>
        <v/>
      </c>
    </row>
    <row r="2614">
      <c r="A2614" t="inlineStr">
        <is>
          <t>ENTG</t>
        </is>
      </c>
      <c r="B2614" t="inlineStr">
        <is>
          <t>ENTG UW Equity</t>
        </is>
      </c>
      <c r="C2614" t="inlineStr">
        <is>
          <t>BEST_EBIT</t>
        </is>
      </c>
      <c r="D2614" t="inlineStr">
        <is>
          <t>24Y</t>
        </is>
      </c>
      <c r="E2614" t="inlineStr">
        <is>
          <t>EBIT estimate FY2024</t>
        </is>
      </c>
      <c r="F2614" s="53">
        <f>_xll.BDP("ENTG UW Equity","BEST_EBIT","BEST_FPERIOD_OVERRIDE","24Y")</f>
        <v/>
      </c>
    </row>
    <row r="2615">
      <c r="A2615" t="inlineStr">
        <is>
          <t>ENTG</t>
        </is>
      </c>
      <c r="B2615" t="inlineStr">
        <is>
          <t>ENTG UW Equity</t>
        </is>
      </c>
      <c r="C2615" t="inlineStr">
        <is>
          <t>BEST_EPS</t>
        </is>
      </c>
      <c r="D2615" t="inlineStr">
        <is>
          <t>25Y</t>
        </is>
      </c>
      <c r="E2615" t="inlineStr">
        <is>
          <t>EPS estimate FY2025</t>
        </is>
      </c>
      <c r="F2615" s="53">
        <f>_xll.BDP("ENTG UW Equity","BEST_EPS","BEST_FPERIOD_OVERRIDE","25Y")</f>
        <v/>
      </c>
    </row>
    <row r="2616">
      <c r="A2616" t="inlineStr">
        <is>
          <t>ENTG</t>
        </is>
      </c>
      <c r="B2616" t="inlineStr">
        <is>
          <t>ENTG UW Equity</t>
        </is>
      </c>
      <c r="C2616" t="inlineStr">
        <is>
          <t>BEST_SALES</t>
        </is>
      </c>
      <c r="D2616" t="inlineStr">
        <is>
          <t>25Y</t>
        </is>
      </c>
      <c r="E2616" t="inlineStr">
        <is>
          <t>Revenue estimate FY2025</t>
        </is>
      </c>
      <c r="F2616" s="53">
        <f>_xll.BDP("ENTG UW Equity","BEST_SALES","BEST_FPERIOD_OVERRIDE","25Y")</f>
        <v/>
      </c>
    </row>
    <row r="2617">
      <c r="A2617" t="inlineStr">
        <is>
          <t>ENTG</t>
        </is>
      </c>
      <c r="B2617" t="inlineStr">
        <is>
          <t>ENTG UW Equity</t>
        </is>
      </c>
      <c r="C2617" t="inlineStr">
        <is>
          <t>BEST_EBIT</t>
        </is>
      </c>
      <c r="D2617" t="inlineStr">
        <is>
          <t>25Y</t>
        </is>
      </c>
      <c r="E2617" t="inlineStr">
        <is>
          <t>EBIT estimate FY2025</t>
        </is>
      </c>
      <c r="F2617" s="53">
        <f>_xll.BDP("ENTG UW Equity","BEST_EBIT","BEST_FPERIOD_OVERRIDE","25Y")</f>
        <v/>
      </c>
    </row>
    <row r="2618">
      <c r="A2618" t="inlineStr">
        <is>
          <t>ENTG</t>
        </is>
      </c>
      <c r="B2618" t="inlineStr">
        <is>
          <t>ENTG UW Equity</t>
        </is>
      </c>
      <c r="C2618" t="inlineStr">
        <is>
          <t>BEST_EPS</t>
        </is>
      </c>
      <c r="D2618" t="inlineStr">
        <is>
          <t>26Y</t>
        </is>
      </c>
      <c r="E2618" t="inlineStr">
        <is>
          <t>EPS estimate FY2026</t>
        </is>
      </c>
      <c r="F2618" s="53">
        <f>_xll.BDP("ENTG UW Equity","BEST_EPS","BEST_FPERIOD_OVERRIDE","26Y")</f>
        <v/>
      </c>
    </row>
    <row r="2619">
      <c r="A2619" t="inlineStr">
        <is>
          <t>ENTG</t>
        </is>
      </c>
      <c r="B2619" t="inlineStr">
        <is>
          <t>ENTG UW Equity</t>
        </is>
      </c>
      <c r="C2619" t="inlineStr">
        <is>
          <t>BEST_SALES</t>
        </is>
      </c>
      <c r="D2619" t="inlineStr">
        <is>
          <t>26Y</t>
        </is>
      </c>
      <c r="E2619" t="inlineStr">
        <is>
          <t>Revenue estimate FY2026</t>
        </is>
      </c>
      <c r="F2619" s="53">
        <f>_xll.BDP("ENTG UW Equity","BEST_SALES","BEST_FPERIOD_OVERRIDE","26Y")</f>
        <v/>
      </c>
    </row>
    <row r="2620">
      <c r="A2620" t="inlineStr">
        <is>
          <t>ENTG</t>
        </is>
      </c>
      <c r="B2620" t="inlineStr">
        <is>
          <t>ENTG UW Equity</t>
        </is>
      </c>
      <c r="C2620" t="inlineStr">
        <is>
          <t>BEST_EBIT</t>
        </is>
      </c>
      <c r="D2620" t="inlineStr">
        <is>
          <t>26Y</t>
        </is>
      </c>
      <c r="E2620" t="inlineStr">
        <is>
          <t>EBIT estimate FY2026</t>
        </is>
      </c>
      <c r="F2620" s="53">
        <f>_xll.BDP("ENTG UW Equity","BEST_EBIT","BEST_FPERIOD_OVERRIDE","26Y")</f>
        <v/>
      </c>
    </row>
    <row r="2621">
      <c r="A2621" t="inlineStr">
        <is>
          <t>ENTG</t>
        </is>
      </c>
      <c r="B2621" t="inlineStr">
        <is>
          <t>ENTG UW Equity</t>
        </is>
      </c>
      <c r="C2621" t="inlineStr">
        <is>
          <t>BEST_EPS</t>
        </is>
      </c>
      <c r="D2621" t="inlineStr">
        <is>
          <t>27Y</t>
        </is>
      </c>
      <c r="E2621" t="inlineStr">
        <is>
          <t>EPS estimate FY2027</t>
        </is>
      </c>
      <c r="F2621" s="53">
        <f>_xll.BDP("ENTG UW Equity","BEST_EPS","BEST_FPERIOD_OVERRIDE","27Y")</f>
        <v/>
      </c>
    </row>
    <row r="2622">
      <c r="A2622" t="inlineStr">
        <is>
          <t>ENTG</t>
        </is>
      </c>
      <c r="B2622" t="inlineStr">
        <is>
          <t>ENTG UW Equity</t>
        </is>
      </c>
      <c r="C2622" t="inlineStr">
        <is>
          <t>BEST_SALES</t>
        </is>
      </c>
      <c r="D2622" t="inlineStr">
        <is>
          <t>27Y</t>
        </is>
      </c>
      <c r="E2622" t="inlineStr">
        <is>
          <t>Revenue estimate FY2027</t>
        </is>
      </c>
      <c r="F2622" s="53">
        <f>_xll.BDP("ENTG UW Equity","BEST_SALES","BEST_FPERIOD_OVERRIDE","27Y")</f>
        <v/>
      </c>
    </row>
    <row r="2623">
      <c r="A2623" t="inlineStr">
        <is>
          <t>ENTG</t>
        </is>
      </c>
      <c r="B2623" t="inlineStr">
        <is>
          <t>ENTG UW Equity</t>
        </is>
      </c>
      <c r="C2623" t="inlineStr">
        <is>
          <t>BEST_EBIT</t>
        </is>
      </c>
      <c r="D2623" t="inlineStr">
        <is>
          <t>27Y</t>
        </is>
      </c>
      <c r="E2623" t="inlineStr">
        <is>
          <t>EBIT estimate FY2027</t>
        </is>
      </c>
      <c r="F2623" s="53">
        <f>_xll.BDP("ENTG UW Equity","BEST_EBIT","BEST_FPERIOD_OVERRIDE","27Y")</f>
        <v/>
      </c>
    </row>
    <row r="2624">
      <c r="A2624" t="inlineStr">
        <is>
          <t>ENTG</t>
        </is>
      </c>
      <c r="B2624" t="inlineStr">
        <is>
          <t>ENTG UW Equity</t>
        </is>
      </c>
      <c r="C2624" t="inlineStr">
        <is>
          <t>BEST_EPS</t>
        </is>
      </c>
      <c r="D2624" t="inlineStr">
        <is>
          <t>28Y</t>
        </is>
      </c>
      <c r="E2624" t="inlineStr">
        <is>
          <t>EPS estimate FY2028</t>
        </is>
      </c>
      <c r="F2624" s="53">
        <f>_xll.BDP("ENTG UW Equity","BEST_EPS","BEST_FPERIOD_OVERRIDE","28Y")</f>
        <v/>
      </c>
    </row>
    <row r="2625">
      <c r="A2625" t="inlineStr">
        <is>
          <t>ENTG</t>
        </is>
      </c>
      <c r="B2625" t="inlineStr">
        <is>
          <t>ENTG UW Equity</t>
        </is>
      </c>
      <c r="C2625" t="inlineStr">
        <is>
          <t>BEST_SALES</t>
        </is>
      </c>
      <c r="D2625" t="inlineStr">
        <is>
          <t>28Y</t>
        </is>
      </c>
      <c r="E2625" t="inlineStr">
        <is>
          <t>Revenue estimate FY2028</t>
        </is>
      </c>
      <c r="F2625" s="53">
        <f>_xll.BDP("ENTG UW Equity","BEST_SALES","BEST_FPERIOD_OVERRIDE","28Y")</f>
        <v/>
      </c>
    </row>
    <row r="2626">
      <c r="A2626" t="inlineStr">
        <is>
          <t>ENTG</t>
        </is>
      </c>
      <c r="B2626" t="inlineStr">
        <is>
          <t>ENTG UW Equity</t>
        </is>
      </c>
      <c r="C2626" t="inlineStr">
        <is>
          <t>BEST_EBIT</t>
        </is>
      </c>
      <c r="D2626" t="inlineStr">
        <is>
          <t>28Y</t>
        </is>
      </c>
      <c r="E2626" t="inlineStr">
        <is>
          <t>EBIT estimate FY2028</t>
        </is>
      </c>
      <c r="F2626" s="53">
        <f>_xll.BDP("ENTG UW Equity","BEST_EBIT","BEST_FPERIOD_OVERRIDE","28Y")</f>
        <v/>
      </c>
    </row>
    <row r="2627">
      <c r="A2627" t="inlineStr">
        <is>
          <t>LSCC</t>
        </is>
      </c>
      <c r="B2627" t="inlineStr">
        <is>
          <t>LSCC UW Equity</t>
        </is>
      </c>
      <c r="C2627" t="inlineStr">
        <is>
          <t>PX_LAST</t>
        </is>
      </c>
      <c r="E2627" t="inlineStr">
        <is>
          <t>Last price</t>
        </is>
      </c>
      <c r="F2627" s="53">
        <f>_xll.BDP("LSCC UW Equity","PX_LAST")</f>
        <v/>
      </c>
    </row>
    <row r="2628">
      <c r="A2628" t="inlineStr">
        <is>
          <t>LSCC</t>
        </is>
      </c>
      <c r="B2628" t="inlineStr">
        <is>
          <t>LSCC UW Equity</t>
        </is>
      </c>
      <c r="C2628" t="inlineStr">
        <is>
          <t>CUR_MKT_CAP</t>
        </is>
      </c>
      <c r="E2628" t="inlineStr">
        <is>
          <t>Market cap (raw)</t>
        </is>
      </c>
      <c r="F2628" s="53">
        <f>_xll.BDP("LSCC UW Equity","CUR_MKT_CAP")</f>
        <v/>
      </c>
    </row>
    <row r="2629">
      <c r="A2629" t="inlineStr">
        <is>
          <t>LSCC</t>
        </is>
      </c>
      <c r="B2629" t="inlineStr">
        <is>
          <t>LSCC UW Equity</t>
        </is>
      </c>
      <c r="C2629" t="inlineStr">
        <is>
          <t>CHG_PCT_YTD</t>
        </is>
      </c>
      <c r="E2629" t="inlineStr">
        <is>
          <t>YTD price change %</t>
        </is>
      </c>
      <c r="F2629" s="53">
        <f>_xll.BDP("LSCC UW Equity","CHG_PCT_YTD")</f>
        <v/>
      </c>
    </row>
    <row r="2630">
      <c r="A2630" t="inlineStr">
        <is>
          <t>LSCC</t>
        </is>
      </c>
      <c r="B2630" t="inlineStr">
        <is>
          <t>LSCC UW Equity</t>
        </is>
      </c>
      <c r="C2630" t="inlineStr">
        <is>
          <t>NET_DEBT_TO_EBITDA</t>
        </is>
      </c>
      <c r="E2630" t="inlineStr">
        <is>
          <t>Net debt / EBITDA</t>
        </is>
      </c>
      <c r="F2630" s="53">
        <f>_xll.BDP("LSCC UW Equity","NET_DEBT_TO_EBITDA")</f>
        <v/>
      </c>
    </row>
    <row r="2631">
      <c r="A2631" t="inlineStr">
        <is>
          <t>LSCC</t>
        </is>
      </c>
      <c r="B2631" t="inlineStr">
        <is>
          <t>LSCC UW Equity</t>
        </is>
      </c>
      <c r="C2631" t="inlineStr">
        <is>
          <t>RETURN_ON_INV_CAPITAL</t>
        </is>
      </c>
      <c r="E2631" t="inlineStr">
        <is>
          <t>ROIC (LTM)</t>
        </is>
      </c>
      <c r="F2631" s="53">
        <f>_xll.BDP("LSCC UW Equity","RETURN_ON_INV_CAPITAL")</f>
        <v/>
      </c>
    </row>
    <row r="2632">
      <c r="A2632" t="inlineStr">
        <is>
          <t>LSCC</t>
        </is>
      </c>
      <c r="B2632" t="inlineStr">
        <is>
          <t>LSCC UW Equity</t>
        </is>
      </c>
      <c r="C2632" t="inlineStr">
        <is>
          <t>TRAIL_12M_OPER_INC</t>
        </is>
      </c>
      <c r="E2632" t="inlineStr">
        <is>
          <t>LTM operating income</t>
        </is>
      </c>
      <c r="F2632" s="53">
        <f>_xll.BDP("LSCC UW Equity","TRAIL_12M_OPER_INC")</f>
        <v/>
      </c>
    </row>
    <row r="2633">
      <c r="A2633" t="inlineStr">
        <is>
          <t>LSCC</t>
        </is>
      </c>
      <c r="B2633" t="inlineStr">
        <is>
          <t>LSCC UW Equity</t>
        </is>
      </c>
      <c r="C2633" t="inlineStr">
        <is>
          <t>TRAIL_12M_EBITDA</t>
        </is>
      </c>
      <c r="E2633" t="inlineStr">
        <is>
          <t>LTM EBITDA</t>
        </is>
      </c>
      <c r="F2633" s="53">
        <f>_xll.BDP("LSCC UW Equity","TRAIL_12M_EBITDA")</f>
        <v/>
      </c>
    </row>
    <row r="2634">
      <c r="A2634" t="inlineStr">
        <is>
          <t>LSCC</t>
        </is>
      </c>
      <c r="B2634" t="inlineStr">
        <is>
          <t>LSCC UW Equity</t>
        </is>
      </c>
      <c r="C2634" t="inlineStr">
        <is>
          <t>SHORT_AND_LONG_TERM_DEBT</t>
        </is>
      </c>
      <c r="E2634" t="inlineStr">
        <is>
          <t>Total debt</t>
        </is>
      </c>
      <c r="F2634" s="53">
        <f>_xll.BDP("LSCC UW Equity","SHORT_AND_LONG_TERM_DEBT")</f>
        <v/>
      </c>
    </row>
    <row r="2635">
      <c r="A2635" t="inlineStr">
        <is>
          <t>LSCC</t>
        </is>
      </c>
      <c r="B2635" t="inlineStr">
        <is>
          <t>LSCC UW Equity</t>
        </is>
      </c>
      <c r="C2635" t="inlineStr">
        <is>
          <t>TOTAL_EQUITY</t>
        </is>
      </c>
      <c r="E2635" t="inlineStr">
        <is>
          <t>Total equity</t>
        </is>
      </c>
      <c r="F2635" s="53">
        <f>_xll.BDP("LSCC UW Equity","TOTAL_EQUITY")</f>
        <v/>
      </c>
    </row>
    <row r="2636">
      <c r="A2636" t="inlineStr">
        <is>
          <t>LSCC</t>
        </is>
      </c>
      <c r="B2636" t="inlineStr">
        <is>
          <t>LSCC UW Equity</t>
        </is>
      </c>
      <c r="C2636" t="inlineStr">
        <is>
          <t>BS_CASH_NEAR_CASH_ITEM</t>
        </is>
      </c>
      <c r="E2636" t="inlineStr">
        <is>
          <t>Cash &amp; equivalents</t>
        </is>
      </c>
      <c r="F2636" s="53">
        <f>_xll.BDP("LSCC UW Equity","BS_CASH_NEAR_CASH_ITEM")</f>
        <v/>
      </c>
    </row>
    <row r="2637">
      <c r="A2637" t="inlineStr">
        <is>
          <t>LSCC</t>
        </is>
      </c>
      <c r="B2637" t="inlineStr">
        <is>
          <t>LSCC UW Equity</t>
        </is>
      </c>
      <c r="C2637" t="inlineStr">
        <is>
          <t>BEST_EPS</t>
        </is>
      </c>
      <c r="D2637" t="inlineStr">
        <is>
          <t>24Y</t>
        </is>
      </c>
      <c r="E2637" t="inlineStr">
        <is>
          <t>EPS estimate FY2024</t>
        </is>
      </c>
      <c r="F2637" s="53">
        <f>_xll.BDP("LSCC UW Equity","BEST_EPS","BEST_FPERIOD_OVERRIDE","24Y")</f>
        <v/>
      </c>
    </row>
    <row r="2638">
      <c r="A2638" t="inlineStr">
        <is>
          <t>LSCC</t>
        </is>
      </c>
      <c r="B2638" t="inlineStr">
        <is>
          <t>LSCC UW Equity</t>
        </is>
      </c>
      <c r="C2638" t="inlineStr">
        <is>
          <t>BEST_SALES</t>
        </is>
      </c>
      <c r="D2638" t="inlineStr">
        <is>
          <t>24Y</t>
        </is>
      </c>
      <c r="E2638" t="inlineStr">
        <is>
          <t>Revenue estimate FY2024</t>
        </is>
      </c>
      <c r="F2638" s="53">
        <f>_xll.BDP("LSCC UW Equity","BEST_SALES","BEST_FPERIOD_OVERRIDE","24Y")</f>
        <v/>
      </c>
    </row>
    <row r="2639">
      <c r="A2639" t="inlineStr">
        <is>
          <t>LSCC</t>
        </is>
      </c>
      <c r="B2639" t="inlineStr">
        <is>
          <t>LSCC UW Equity</t>
        </is>
      </c>
      <c r="C2639" t="inlineStr">
        <is>
          <t>BEST_EBIT</t>
        </is>
      </c>
      <c r="D2639" t="inlineStr">
        <is>
          <t>24Y</t>
        </is>
      </c>
      <c r="E2639" t="inlineStr">
        <is>
          <t>EBIT estimate FY2024</t>
        </is>
      </c>
      <c r="F2639" s="53">
        <f>_xll.BDP("LSCC UW Equity","BEST_EBIT","BEST_FPERIOD_OVERRIDE","24Y")</f>
        <v/>
      </c>
    </row>
    <row r="2640">
      <c r="A2640" t="inlineStr">
        <is>
          <t>LSCC</t>
        </is>
      </c>
      <c r="B2640" t="inlineStr">
        <is>
          <t>LSCC UW Equity</t>
        </is>
      </c>
      <c r="C2640" t="inlineStr">
        <is>
          <t>BEST_EPS</t>
        </is>
      </c>
      <c r="D2640" t="inlineStr">
        <is>
          <t>25Y</t>
        </is>
      </c>
      <c r="E2640" t="inlineStr">
        <is>
          <t>EPS estimate FY2025</t>
        </is>
      </c>
      <c r="F2640" s="53">
        <f>_xll.BDP("LSCC UW Equity","BEST_EPS","BEST_FPERIOD_OVERRIDE","25Y")</f>
        <v/>
      </c>
    </row>
    <row r="2641">
      <c r="A2641" t="inlineStr">
        <is>
          <t>LSCC</t>
        </is>
      </c>
      <c r="B2641" t="inlineStr">
        <is>
          <t>LSCC UW Equity</t>
        </is>
      </c>
      <c r="C2641" t="inlineStr">
        <is>
          <t>BEST_SALES</t>
        </is>
      </c>
      <c r="D2641" t="inlineStr">
        <is>
          <t>25Y</t>
        </is>
      </c>
      <c r="E2641" t="inlineStr">
        <is>
          <t>Revenue estimate FY2025</t>
        </is>
      </c>
      <c r="F2641" s="53">
        <f>_xll.BDP("LSCC UW Equity","BEST_SALES","BEST_FPERIOD_OVERRIDE","25Y")</f>
        <v/>
      </c>
    </row>
    <row r="2642">
      <c r="A2642" t="inlineStr">
        <is>
          <t>LSCC</t>
        </is>
      </c>
      <c r="B2642" t="inlineStr">
        <is>
          <t>LSCC UW Equity</t>
        </is>
      </c>
      <c r="C2642" t="inlineStr">
        <is>
          <t>BEST_EBIT</t>
        </is>
      </c>
      <c r="D2642" t="inlineStr">
        <is>
          <t>25Y</t>
        </is>
      </c>
      <c r="E2642" t="inlineStr">
        <is>
          <t>EBIT estimate FY2025</t>
        </is>
      </c>
      <c r="F2642" s="53">
        <f>_xll.BDP("LSCC UW Equity","BEST_EBIT","BEST_FPERIOD_OVERRIDE","25Y")</f>
        <v/>
      </c>
    </row>
    <row r="2643">
      <c r="A2643" t="inlineStr">
        <is>
          <t>LSCC</t>
        </is>
      </c>
      <c r="B2643" t="inlineStr">
        <is>
          <t>LSCC UW Equity</t>
        </is>
      </c>
      <c r="C2643" t="inlineStr">
        <is>
          <t>BEST_EPS</t>
        </is>
      </c>
      <c r="D2643" t="inlineStr">
        <is>
          <t>26Y</t>
        </is>
      </c>
      <c r="E2643" t="inlineStr">
        <is>
          <t>EPS estimate FY2026</t>
        </is>
      </c>
      <c r="F2643" s="53">
        <f>_xll.BDP("LSCC UW Equity","BEST_EPS","BEST_FPERIOD_OVERRIDE","26Y")</f>
        <v/>
      </c>
    </row>
    <row r="2644">
      <c r="A2644" t="inlineStr">
        <is>
          <t>LSCC</t>
        </is>
      </c>
      <c r="B2644" t="inlineStr">
        <is>
          <t>LSCC UW Equity</t>
        </is>
      </c>
      <c r="C2644" t="inlineStr">
        <is>
          <t>BEST_SALES</t>
        </is>
      </c>
      <c r="D2644" t="inlineStr">
        <is>
          <t>26Y</t>
        </is>
      </c>
      <c r="E2644" t="inlineStr">
        <is>
          <t>Revenue estimate FY2026</t>
        </is>
      </c>
      <c r="F2644" s="53">
        <f>_xll.BDP("LSCC UW Equity","BEST_SALES","BEST_FPERIOD_OVERRIDE","26Y")</f>
        <v/>
      </c>
    </row>
    <row r="2645">
      <c r="A2645" t="inlineStr">
        <is>
          <t>LSCC</t>
        </is>
      </c>
      <c r="B2645" t="inlineStr">
        <is>
          <t>LSCC UW Equity</t>
        </is>
      </c>
      <c r="C2645" t="inlineStr">
        <is>
          <t>BEST_EBIT</t>
        </is>
      </c>
      <c r="D2645" t="inlineStr">
        <is>
          <t>26Y</t>
        </is>
      </c>
      <c r="E2645" t="inlineStr">
        <is>
          <t>EBIT estimate FY2026</t>
        </is>
      </c>
      <c r="F2645" s="53">
        <f>_xll.BDP("LSCC UW Equity","BEST_EBIT","BEST_FPERIOD_OVERRIDE","26Y")</f>
        <v/>
      </c>
    </row>
    <row r="2646">
      <c r="A2646" t="inlineStr">
        <is>
          <t>LSCC</t>
        </is>
      </c>
      <c r="B2646" t="inlineStr">
        <is>
          <t>LSCC UW Equity</t>
        </is>
      </c>
      <c r="C2646" t="inlineStr">
        <is>
          <t>BEST_EPS</t>
        </is>
      </c>
      <c r="D2646" t="inlineStr">
        <is>
          <t>27Y</t>
        </is>
      </c>
      <c r="E2646" t="inlineStr">
        <is>
          <t>EPS estimate FY2027</t>
        </is>
      </c>
      <c r="F2646" s="53">
        <f>_xll.BDP("LSCC UW Equity","BEST_EPS","BEST_FPERIOD_OVERRIDE","27Y")</f>
        <v/>
      </c>
    </row>
    <row r="2647">
      <c r="A2647" t="inlineStr">
        <is>
          <t>LSCC</t>
        </is>
      </c>
      <c r="B2647" t="inlineStr">
        <is>
          <t>LSCC UW Equity</t>
        </is>
      </c>
      <c r="C2647" t="inlineStr">
        <is>
          <t>BEST_SALES</t>
        </is>
      </c>
      <c r="D2647" t="inlineStr">
        <is>
          <t>27Y</t>
        </is>
      </c>
      <c r="E2647" t="inlineStr">
        <is>
          <t>Revenue estimate FY2027</t>
        </is>
      </c>
      <c r="F2647" s="53">
        <f>_xll.BDP("LSCC UW Equity","BEST_SALES","BEST_FPERIOD_OVERRIDE","27Y")</f>
        <v/>
      </c>
    </row>
    <row r="2648">
      <c r="A2648" t="inlineStr">
        <is>
          <t>LSCC</t>
        </is>
      </c>
      <c r="B2648" t="inlineStr">
        <is>
          <t>LSCC UW Equity</t>
        </is>
      </c>
      <c r="C2648" t="inlineStr">
        <is>
          <t>BEST_EBIT</t>
        </is>
      </c>
      <c r="D2648" t="inlineStr">
        <is>
          <t>27Y</t>
        </is>
      </c>
      <c r="E2648" t="inlineStr">
        <is>
          <t>EBIT estimate FY2027</t>
        </is>
      </c>
      <c r="F2648" s="53">
        <f>_xll.BDP("LSCC UW Equity","BEST_EBIT","BEST_FPERIOD_OVERRIDE","27Y")</f>
        <v/>
      </c>
    </row>
    <row r="2649">
      <c r="A2649" t="inlineStr">
        <is>
          <t>LSCC</t>
        </is>
      </c>
      <c r="B2649" t="inlineStr">
        <is>
          <t>LSCC UW Equity</t>
        </is>
      </c>
      <c r="C2649" t="inlineStr">
        <is>
          <t>BEST_EPS</t>
        </is>
      </c>
      <c r="D2649" t="inlineStr">
        <is>
          <t>28Y</t>
        </is>
      </c>
      <c r="E2649" t="inlineStr">
        <is>
          <t>EPS estimate FY2028</t>
        </is>
      </c>
      <c r="F2649" s="53">
        <f>_xll.BDP("LSCC UW Equity","BEST_EPS","BEST_FPERIOD_OVERRIDE","28Y")</f>
        <v/>
      </c>
    </row>
    <row r="2650">
      <c r="A2650" t="inlineStr">
        <is>
          <t>LSCC</t>
        </is>
      </c>
      <c r="B2650" t="inlineStr">
        <is>
          <t>LSCC UW Equity</t>
        </is>
      </c>
      <c r="C2650" t="inlineStr">
        <is>
          <t>BEST_SALES</t>
        </is>
      </c>
      <c r="D2650" t="inlineStr">
        <is>
          <t>28Y</t>
        </is>
      </c>
      <c r="E2650" t="inlineStr">
        <is>
          <t>Revenue estimate FY2028</t>
        </is>
      </c>
      <c r="F2650" s="53">
        <f>_xll.BDP("LSCC UW Equity","BEST_SALES","BEST_FPERIOD_OVERRIDE","28Y")</f>
        <v/>
      </c>
    </row>
    <row r="2651">
      <c r="A2651" t="inlineStr">
        <is>
          <t>LSCC</t>
        </is>
      </c>
      <c r="B2651" t="inlineStr">
        <is>
          <t>LSCC UW Equity</t>
        </is>
      </c>
      <c r="C2651" t="inlineStr">
        <is>
          <t>BEST_EBIT</t>
        </is>
      </c>
      <c r="D2651" t="inlineStr">
        <is>
          <t>28Y</t>
        </is>
      </c>
      <c r="E2651" t="inlineStr">
        <is>
          <t>EBIT estimate FY2028</t>
        </is>
      </c>
      <c r="F2651" s="53">
        <f>_xll.BDP("LSCC UW Equity","BEST_EBIT","BEST_FPERIOD_OVERRIDE","28Y")</f>
        <v/>
      </c>
    </row>
    <row r="2652">
      <c r="A2652" t="inlineStr">
        <is>
          <t>MCHP</t>
        </is>
      </c>
      <c r="B2652" t="inlineStr">
        <is>
          <t>MCHP UW Equity</t>
        </is>
      </c>
      <c r="C2652" t="inlineStr">
        <is>
          <t>PX_LAST</t>
        </is>
      </c>
      <c r="E2652" t="inlineStr">
        <is>
          <t>Last price</t>
        </is>
      </c>
      <c r="F2652" s="53">
        <f>_xll.BDP("MCHP UW Equity","PX_LAST")</f>
        <v/>
      </c>
    </row>
    <row r="2653">
      <c r="A2653" t="inlineStr">
        <is>
          <t>MCHP</t>
        </is>
      </c>
      <c r="B2653" t="inlineStr">
        <is>
          <t>MCHP UW Equity</t>
        </is>
      </c>
      <c r="C2653" t="inlineStr">
        <is>
          <t>CUR_MKT_CAP</t>
        </is>
      </c>
      <c r="E2653" t="inlineStr">
        <is>
          <t>Market cap (raw)</t>
        </is>
      </c>
      <c r="F2653" s="53">
        <f>_xll.BDP("MCHP UW Equity","CUR_MKT_CAP")</f>
        <v/>
      </c>
    </row>
    <row r="2654">
      <c r="A2654" t="inlineStr">
        <is>
          <t>MCHP</t>
        </is>
      </c>
      <c r="B2654" t="inlineStr">
        <is>
          <t>MCHP UW Equity</t>
        </is>
      </c>
      <c r="C2654" t="inlineStr">
        <is>
          <t>CHG_PCT_YTD</t>
        </is>
      </c>
      <c r="E2654" t="inlineStr">
        <is>
          <t>YTD price change %</t>
        </is>
      </c>
      <c r="F2654" s="53">
        <f>_xll.BDP("MCHP UW Equity","CHG_PCT_YTD")</f>
        <v/>
      </c>
    </row>
    <row r="2655">
      <c r="A2655" t="inlineStr">
        <is>
          <t>MCHP</t>
        </is>
      </c>
      <c r="B2655" t="inlineStr">
        <is>
          <t>MCHP UW Equity</t>
        </is>
      </c>
      <c r="C2655" t="inlineStr">
        <is>
          <t>NET_DEBT_TO_EBITDA</t>
        </is>
      </c>
      <c r="E2655" t="inlineStr">
        <is>
          <t>Net debt / EBITDA</t>
        </is>
      </c>
      <c r="F2655" s="53">
        <f>_xll.BDP("MCHP UW Equity","NET_DEBT_TO_EBITDA")</f>
        <v/>
      </c>
    </row>
    <row r="2656">
      <c r="A2656" t="inlineStr">
        <is>
          <t>MCHP</t>
        </is>
      </c>
      <c r="B2656" t="inlineStr">
        <is>
          <t>MCHP UW Equity</t>
        </is>
      </c>
      <c r="C2656" t="inlineStr">
        <is>
          <t>RETURN_ON_INV_CAPITAL</t>
        </is>
      </c>
      <c r="E2656" t="inlineStr">
        <is>
          <t>ROIC (LTM)</t>
        </is>
      </c>
      <c r="F2656" s="53">
        <f>_xll.BDP("MCHP UW Equity","RETURN_ON_INV_CAPITAL")</f>
        <v/>
      </c>
    </row>
    <row r="2657">
      <c r="A2657" t="inlineStr">
        <is>
          <t>MCHP</t>
        </is>
      </c>
      <c r="B2657" t="inlineStr">
        <is>
          <t>MCHP UW Equity</t>
        </is>
      </c>
      <c r="C2657" t="inlineStr">
        <is>
          <t>TRAIL_12M_OPER_INC</t>
        </is>
      </c>
      <c r="E2657" t="inlineStr">
        <is>
          <t>LTM operating income</t>
        </is>
      </c>
      <c r="F2657" s="53">
        <f>_xll.BDP("MCHP UW Equity","TRAIL_12M_OPER_INC")</f>
        <v/>
      </c>
    </row>
    <row r="2658">
      <c r="A2658" t="inlineStr">
        <is>
          <t>MCHP</t>
        </is>
      </c>
      <c r="B2658" t="inlineStr">
        <is>
          <t>MCHP UW Equity</t>
        </is>
      </c>
      <c r="C2658" t="inlineStr">
        <is>
          <t>TRAIL_12M_EBITDA</t>
        </is>
      </c>
      <c r="E2658" t="inlineStr">
        <is>
          <t>LTM EBITDA</t>
        </is>
      </c>
      <c r="F2658" s="53">
        <f>_xll.BDP("MCHP UW Equity","TRAIL_12M_EBITDA")</f>
        <v/>
      </c>
    </row>
    <row r="2659">
      <c r="A2659" t="inlineStr">
        <is>
          <t>MCHP</t>
        </is>
      </c>
      <c r="B2659" t="inlineStr">
        <is>
          <t>MCHP UW Equity</t>
        </is>
      </c>
      <c r="C2659" t="inlineStr">
        <is>
          <t>SHORT_AND_LONG_TERM_DEBT</t>
        </is>
      </c>
      <c r="E2659" t="inlineStr">
        <is>
          <t>Total debt</t>
        </is>
      </c>
      <c r="F2659" s="53">
        <f>_xll.BDP("MCHP UW Equity","SHORT_AND_LONG_TERM_DEBT")</f>
        <v/>
      </c>
    </row>
    <row r="2660">
      <c r="A2660" t="inlineStr">
        <is>
          <t>MCHP</t>
        </is>
      </c>
      <c r="B2660" t="inlineStr">
        <is>
          <t>MCHP UW Equity</t>
        </is>
      </c>
      <c r="C2660" t="inlineStr">
        <is>
          <t>TOTAL_EQUITY</t>
        </is>
      </c>
      <c r="E2660" t="inlineStr">
        <is>
          <t>Total equity</t>
        </is>
      </c>
      <c r="F2660" s="53">
        <f>_xll.BDP("MCHP UW Equity","TOTAL_EQUITY")</f>
        <v/>
      </c>
    </row>
    <row r="2661">
      <c r="A2661" t="inlineStr">
        <is>
          <t>MCHP</t>
        </is>
      </c>
      <c r="B2661" t="inlineStr">
        <is>
          <t>MCHP UW Equity</t>
        </is>
      </c>
      <c r="C2661" t="inlineStr">
        <is>
          <t>BS_CASH_NEAR_CASH_ITEM</t>
        </is>
      </c>
      <c r="E2661" t="inlineStr">
        <is>
          <t>Cash &amp; equivalents</t>
        </is>
      </c>
      <c r="F2661" s="53">
        <f>_xll.BDP("MCHP UW Equity","BS_CASH_NEAR_CASH_ITEM")</f>
        <v/>
      </c>
    </row>
    <row r="2662">
      <c r="A2662" t="inlineStr">
        <is>
          <t>MCHP</t>
        </is>
      </c>
      <c r="B2662" t="inlineStr">
        <is>
          <t>MCHP UW Equity</t>
        </is>
      </c>
      <c r="C2662" t="inlineStr">
        <is>
          <t>BEST_EPS</t>
        </is>
      </c>
      <c r="D2662" t="inlineStr">
        <is>
          <t>24Y</t>
        </is>
      </c>
      <c r="E2662" t="inlineStr">
        <is>
          <t>EPS estimate FY2024</t>
        </is>
      </c>
      <c r="F2662" s="53">
        <f>_xll.BDP("MCHP UW Equity","BEST_EPS","BEST_FPERIOD_OVERRIDE","24Y")</f>
        <v/>
      </c>
    </row>
    <row r="2663">
      <c r="A2663" t="inlineStr">
        <is>
          <t>MCHP</t>
        </is>
      </c>
      <c r="B2663" t="inlineStr">
        <is>
          <t>MCHP UW Equity</t>
        </is>
      </c>
      <c r="C2663" t="inlineStr">
        <is>
          <t>BEST_SALES</t>
        </is>
      </c>
      <c r="D2663" t="inlineStr">
        <is>
          <t>24Y</t>
        </is>
      </c>
      <c r="E2663" t="inlineStr">
        <is>
          <t>Revenue estimate FY2024</t>
        </is>
      </c>
      <c r="F2663" s="53">
        <f>_xll.BDP("MCHP UW Equity","BEST_SALES","BEST_FPERIOD_OVERRIDE","24Y")</f>
        <v/>
      </c>
    </row>
    <row r="2664">
      <c r="A2664" t="inlineStr">
        <is>
          <t>MCHP</t>
        </is>
      </c>
      <c r="B2664" t="inlineStr">
        <is>
          <t>MCHP UW Equity</t>
        </is>
      </c>
      <c r="C2664" t="inlineStr">
        <is>
          <t>BEST_EBIT</t>
        </is>
      </c>
      <c r="D2664" t="inlineStr">
        <is>
          <t>24Y</t>
        </is>
      </c>
      <c r="E2664" t="inlineStr">
        <is>
          <t>EBIT estimate FY2024</t>
        </is>
      </c>
      <c r="F2664" s="53">
        <f>_xll.BDP("MCHP UW Equity","BEST_EBIT","BEST_FPERIOD_OVERRIDE","24Y")</f>
        <v/>
      </c>
    </row>
    <row r="2665">
      <c r="A2665" t="inlineStr">
        <is>
          <t>MCHP</t>
        </is>
      </c>
      <c r="B2665" t="inlineStr">
        <is>
          <t>MCHP UW Equity</t>
        </is>
      </c>
      <c r="C2665" t="inlineStr">
        <is>
          <t>BEST_EPS</t>
        </is>
      </c>
      <c r="D2665" t="inlineStr">
        <is>
          <t>25Y</t>
        </is>
      </c>
      <c r="E2665" t="inlineStr">
        <is>
          <t>EPS estimate FY2025</t>
        </is>
      </c>
      <c r="F2665" s="53">
        <f>_xll.BDP("MCHP UW Equity","BEST_EPS","BEST_FPERIOD_OVERRIDE","25Y")</f>
        <v/>
      </c>
    </row>
    <row r="2666">
      <c r="A2666" t="inlineStr">
        <is>
          <t>MCHP</t>
        </is>
      </c>
      <c r="B2666" t="inlineStr">
        <is>
          <t>MCHP UW Equity</t>
        </is>
      </c>
      <c r="C2666" t="inlineStr">
        <is>
          <t>BEST_SALES</t>
        </is>
      </c>
      <c r="D2666" t="inlineStr">
        <is>
          <t>25Y</t>
        </is>
      </c>
      <c r="E2666" t="inlineStr">
        <is>
          <t>Revenue estimate FY2025</t>
        </is>
      </c>
      <c r="F2666" s="53">
        <f>_xll.BDP("MCHP UW Equity","BEST_SALES","BEST_FPERIOD_OVERRIDE","25Y")</f>
        <v/>
      </c>
    </row>
    <row r="2667">
      <c r="A2667" t="inlineStr">
        <is>
          <t>MCHP</t>
        </is>
      </c>
      <c r="B2667" t="inlineStr">
        <is>
          <t>MCHP UW Equity</t>
        </is>
      </c>
      <c r="C2667" t="inlineStr">
        <is>
          <t>BEST_EBIT</t>
        </is>
      </c>
      <c r="D2667" t="inlineStr">
        <is>
          <t>25Y</t>
        </is>
      </c>
      <c r="E2667" t="inlineStr">
        <is>
          <t>EBIT estimate FY2025</t>
        </is>
      </c>
      <c r="F2667" s="53">
        <f>_xll.BDP("MCHP UW Equity","BEST_EBIT","BEST_FPERIOD_OVERRIDE","25Y")</f>
        <v/>
      </c>
    </row>
    <row r="2668">
      <c r="A2668" t="inlineStr">
        <is>
          <t>MCHP</t>
        </is>
      </c>
      <c r="B2668" t="inlineStr">
        <is>
          <t>MCHP UW Equity</t>
        </is>
      </c>
      <c r="C2668" t="inlineStr">
        <is>
          <t>BEST_EPS</t>
        </is>
      </c>
      <c r="D2668" t="inlineStr">
        <is>
          <t>26Y</t>
        </is>
      </c>
      <c r="E2668" t="inlineStr">
        <is>
          <t>EPS estimate FY2026</t>
        </is>
      </c>
      <c r="F2668" s="53">
        <f>_xll.BDP("MCHP UW Equity","BEST_EPS","BEST_FPERIOD_OVERRIDE","26Y")</f>
        <v/>
      </c>
    </row>
    <row r="2669">
      <c r="A2669" t="inlineStr">
        <is>
          <t>MCHP</t>
        </is>
      </c>
      <c r="B2669" t="inlineStr">
        <is>
          <t>MCHP UW Equity</t>
        </is>
      </c>
      <c r="C2669" t="inlineStr">
        <is>
          <t>BEST_SALES</t>
        </is>
      </c>
      <c r="D2669" t="inlineStr">
        <is>
          <t>26Y</t>
        </is>
      </c>
      <c r="E2669" t="inlineStr">
        <is>
          <t>Revenue estimate FY2026</t>
        </is>
      </c>
      <c r="F2669" s="53">
        <f>_xll.BDP("MCHP UW Equity","BEST_SALES","BEST_FPERIOD_OVERRIDE","26Y")</f>
        <v/>
      </c>
    </row>
    <row r="2670">
      <c r="A2670" t="inlineStr">
        <is>
          <t>MCHP</t>
        </is>
      </c>
      <c r="B2670" t="inlineStr">
        <is>
          <t>MCHP UW Equity</t>
        </is>
      </c>
      <c r="C2670" t="inlineStr">
        <is>
          <t>BEST_EBIT</t>
        </is>
      </c>
      <c r="D2670" t="inlineStr">
        <is>
          <t>26Y</t>
        </is>
      </c>
      <c r="E2670" t="inlineStr">
        <is>
          <t>EBIT estimate FY2026</t>
        </is>
      </c>
      <c r="F2670" s="53">
        <f>_xll.BDP("MCHP UW Equity","BEST_EBIT","BEST_FPERIOD_OVERRIDE","26Y")</f>
        <v/>
      </c>
    </row>
    <row r="2671">
      <c r="A2671" t="inlineStr">
        <is>
          <t>MCHP</t>
        </is>
      </c>
      <c r="B2671" t="inlineStr">
        <is>
          <t>MCHP UW Equity</t>
        </is>
      </c>
      <c r="C2671" t="inlineStr">
        <is>
          <t>BEST_EPS</t>
        </is>
      </c>
      <c r="D2671" t="inlineStr">
        <is>
          <t>27Y</t>
        </is>
      </c>
      <c r="E2671" t="inlineStr">
        <is>
          <t>EPS estimate FY2027</t>
        </is>
      </c>
      <c r="F2671" s="53">
        <f>_xll.BDP("MCHP UW Equity","BEST_EPS","BEST_FPERIOD_OVERRIDE","27Y")</f>
        <v/>
      </c>
    </row>
    <row r="2672">
      <c r="A2672" t="inlineStr">
        <is>
          <t>MCHP</t>
        </is>
      </c>
      <c r="B2672" t="inlineStr">
        <is>
          <t>MCHP UW Equity</t>
        </is>
      </c>
      <c r="C2672" t="inlineStr">
        <is>
          <t>BEST_SALES</t>
        </is>
      </c>
      <c r="D2672" t="inlineStr">
        <is>
          <t>27Y</t>
        </is>
      </c>
      <c r="E2672" t="inlineStr">
        <is>
          <t>Revenue estimate FY2027</t>
        </is>
      </c>
      <c r="F2672" s="53">
        <f>_xll.BDP("MCHP UW Equity","BEST_SALES","BEST_FPERIOD_OVERRIDE","27Y")</f>
        <v/>
      </c>
    </row>
    <row r="2673">
      <c r="A2673" t="inlineStr">
        <is>
          <t>MCHP</t>
        </is>
      </c>
      <c r="B2673" t="inlineStr">
        <is>
          <t>MCHP UW Equity</t>
        </is>
      </c>
      <c r="C2673" t="inlineStr">
        <is>
          <t>BEST_EBIT</t>
        </is>
      </c>
      <c r="D2673" t="inlineStr">
        <is>
          <t>27Y</t>
        </is>
      </c>
      <c r="E2673" t="inlineStr">
        <is>
          <t>EBIT estimate FY2027</t>
        </is>
      </c>
      <c r="F2673" s="53">
        <f>_xll.BDP("MCHP UW Equity","BEST_EBIT","BEST_FPERIOD_OVERRIDE","27Y")</f>
        <v/>
      </c>
    </row>
    <row r="2674">
      <c r="A2674" t="inlineStr">
        <is>
          <t>MCHP</t>
        </is>
      </c>
      <c r="B2674" t="inlineStr">
        <is>
          <t>MCHP UW Equity</t>
        </is>
      </c>
      <c r="C2674" t="inlineStr">
        <is>
          <t>BEST_EPS</t>
        </is>
      </c>
      <c r="D2674" t="inlineStr">
        <is>
          <t>28Y</t>
        </is>
      </c>
      <c r="E2674" t="inlineStr">
        <is>
          <t>EPS estimate FY2028</t>
        </is>
      </c>
      <c r="F2674" s="53">
        <f>_xll.BDP("MCHP UW Equity","BEST_EPS","BEST_FPERIOD_OVERRIDE","28Y")</f>
        <v/>
      </c>
    </row>
    <row r="2675">
      <c r="A2675" t="inlineStr">
        <is>
          <t>MCHP</t>
        </is>
      </c>
      <c r="B2675" t="inlineStr">
        <is>
          <t>MCHP UW Equity</t>
        </is>
      </c>
      <c r="C2675" t="inlineStr">
        <is>
          <t>BEST_SALES</t>
        </is>
      </c>
      <c r="D2675" t="inlineStr">
        <is>
          <t>28Y</t>
        </is>
      </c>
      <c r="E2675" t="inlineStr">
        <is>
          <t>Revenue estimate FY2028</t>
        </is>
      </c>
      <c r="F2675" s="53">
        <f>_xll.BDP("MCHP UW Equity","BEST_SALES","BEST_FPERIOD_OVERRIDE","28Y")</f>
        <v/>
      </c>
    </row>
    <row r="2676">
      <c r="A2676" t="inlineStr">
        <is>
          <t>MCHP</t>
        </is>
      </c>
      <c r="B2676" t="inlineStr">
        <is>
          <t>MCHP UW Equity</t>
        </is>
      </c>
      <c r="C2676" t="inlineStr">
        <is>
          <t>BEST_EBIT</t>
        </is>
      </c>
      <c r="D2676" t="inlineStr">
        <is>
          <t>28Y</t>
        </is>
      </c>
      <c r="E2676" t="inlineStr">
        <is>
          <t>EBIT estimate FY2028</t>
        </is>
      </c>
      <c r="F2676" s="53">
        <f>_xll.BDP("MCHP UW Equity","BEST_EBIT","BEST_FPERIOD_OVERRIDE","28Y")</f>
        <v/>
      </c>
    </row>
    <row r="2677">
      <c r="A2677" t="inlineStr">
        <is>
          <t>CRUS</t>
        </is>
      </c>
      <c r="B2677" t="inlineStr">
        <is>
          <t>CRUS UW Equity</t>
        </is>
      </c>
      <c r="C2677" t="inlineStr">
        <is>
          <t>PX_LAST</t>
        </is>
      </c>
      <c r="E2677" t="inlineStr">
        <is>
          <t>Last price</t>
        </is>
      </c>
      <c r="F2677" s="53">
        <f>_xll.BDP("CRUS UW Equity","PX_LAST")</f>
        <v/>
      </c>
    </row>
    <row r="2678">
      <c r="A2678" t="inlineStr">
        <is>
          <t>CRUS</t>
        </is>
      </c>
      <c r="B2678" t="inlineStr">
        <is>
          <t>CRUS UW Equity</t>
        </is>
      </c>
      <c r="C2678" t="inlineStr">
        <is>
          <t>CUR_MKT_CAP</t>
        </is>
      </c>
      <c r="E2678" t="inlineStr">
        <is>
          <t>Market cap (raw)</t>
        </is>
      </c>
      <c r="F2678" s="53">
        <f>_xll.BDP("CRUS UW Equity","CUR_MKT_CAP")</f>
        <v/>
      </c>
    </row>
    <row r="2679">
      <c r="A2679" t="inlineStr">
        <is>
          <t>CRUS</t>
        </is>
      </c>
      <c r="B2679" t="inlineStr">
        <is>
          <t>CRUS UW Equity</t>
        </is>
      </c>
      <c r="C2679" t="inlineStr">
        <is>
          <t>CHG_PCT_YTD</t>
        </is>
      </c>
      <c r="E2679" t="inlineStr">
        <is>
          <t>YTD price change %</t>
        </is>
      </c>
      <c r="F2679" s="53">
        <f>_xll.BDP("CRUS UW Equity","CHG_PCT_YTD")</f>
        <v/>
      </c>
    </row>
    <row r="2680">
      <c r="A2680" t="inlineStr">
        <is>
          <t>CRUS</t>
        </is>
      </c>
      <c r="B2680" t="inlineStr">
        <is>
          <t>CRUS UW Equity</t>
        </is>
      </c>
      <c r="C2680" t="inlineStr">
        <is>
          <t>NET_DEBT_TO_EBITDA</t>
        </is>
      </c>
      <c r="E2680" t="inlineStr">
        <is>
          <t>Net debt / EBITDA</t>
        </is>
      </c>
      <c r="F2680" s="53">
        <f>_xll.BDP("CRUS UW Equity","NET_DEBT_TO_EBITDA")</f>
        <v/>
      </c>
    </row>
    <row r="2681">
      <c r="A2681" t="inlineStr">
        <is>
          <t>CRUS</t>
        </is>
      </c>
      <c r="B2681" t="inlineStr">
        <is>
          <t>CRUS UW Equity</t>
        </is>
      </c>
      <c r="C2681" t="inlineStr">
        <is>
          <t>RETURN_ON_INV_CAPITAL</t>
        </is>
      </c>
      <c r="E2681" t="inlineStr">
        <is>
          <t>ROIC (LTM)</t>
        </is>
      </c>
      <c r="F2681" s="53">
        <f>_xll.BDP("CRUS UW Equity","RETURN_ON_INV_CAPITAL")</f>
        <v/>
      </c>
    </row>
    <row r="2682">
      <c r="A2682" t="inlineStr">
        <is>
          <t>CRUS</t>
        </is>
      </c>
      <c r="B2682" t="inlineStr">
        <is>
          <t>CRUS UW Equity</t>
        </is>
      </c>
      <c r="C2682" t="inlineStr">
        <is>
          <t>TRAIL_12M_OPER_INC</t>
        </is>
      </c>
      <c r="E2682" t="inlineStr">
        <is>
          <t>LTM operating income</t>
        </is>
      </c>
      <c r="F2682" s="53">
        <f>_xll.BDP("CRUS UW Equity","TRAIL_12M_OPER_INC")</f>
        <v/>
      </c>
    </row>
    <row r="2683">
      <c r="A2683" t="inlineStr">
        <is>
          <t>CRUS</t>
        </is>
      </c>
      <c r="B2683" t="inlineStr">
        <is>
          <t>CRUS UW Equity</t>
        </is>
      </c>
      <c r="C2683" t="inlineStr">
        <is>
          <t>TRAIL_12M_EBITDA</t>
        </is>
      </c>
      <c r="E2683" t="inlineStr">
        <is>
          <t>LTM EBITDA</t>
        </is>
      </c>
      <c r="F2683" s="53">
        <f>_xll.BDP("CRUS UW Equity","TRAIL_12M_EBITDA")</f>
        <v/>
      </c>
    </row>
    <row r="2684">
      <c r="A2684" t="inlineStr">
        <is>
          <t>CRUS</t>
        </is>
      </c>
      <c r="B2684" t="inlineStr">
        <is>
          <t>CRUS UW Equity</t>
        </is>
      </c>
      <c r="C2684" t="inlineStr">
        <is>
          <t>SHORT_AND_LONG_TERM_DEBT</t>
        </is>
      </c>
      <c r="E2684" t="inlineStr">
        <is>
          <t>Total debt</t>
        </is>
      </c>
      <c r="F2684" s="53">
        <f>_xll.BDP("CRUS UW Equity","SHORT_AND_LONG_TERM_DEBT")</f>
        <v/>
      </c>
    </row>
    <row r="2685">
      <c r="A2685" t="inlineStr">
        <is>
          <t>CRUS</t>
        </is>
      </c>
      <c r="B2685" t="inlineStr">
        <is>
          <t>CRUS UW Equity</t>
        </is>
      </c>
      <c r="C2685" t="inlineStr">
        <is>
          <t>TOTAL_EQUITY</t>
        </is>
      </c>
      <c r="E2685" t="inlineStr">
        <is>
          <t>Total equity</t>
        </is>
      </c>
      <c r="F2685" s="53">
        <f>_xll.BDP("CRUS UW Equity","TOTAL_EQUITY")</f>
        <v/>
      </c>
    </row>
    <row r="2686">
      <c r="A2686" t="inlineStr">
        <is>
          <t>CRUS</t>
        </is>
      </c>
      <c r="B2686" t="inlineStr">
        <is>
          <t>CRUS UW Equity</t>
        </is>
      </c>
      <c r="C2686" t="inlineStr">
        <is>
          <t>BS_CASH_NEAR_CASH_ITEM</t>
        </is>
      </c>
      <c r="E2686" t="inlineStr">
        <is>
          <t>Cash &amp; equivalents</t>
        </is>
      </c>
      <c r="F2686" s="53">
        <f>_xll.BDP("CRUS UW Equity","BS_CASH_NEAR_CASH_ITEM")</f>
        <v/>
      </c>
    </row>
    <row r="2687">
      <c r="A2687" t="inlineStr">
        <is>
          <t>CRUS</t>
        </is>
      </c>
      <c r="B2687" t="inlineStr">
        <is>
          <t>CRUS UW Equity</t>
        </is>
      </c>
      <c r="C2687" t="inlineStr">
        <is>
          <t>BEST_EPS</t>
        </is>
      </c>
      <c r="D2687" t="inlineStr">
        <is>
          <t>24Y</t>
        </is>
      </c>
      <c r="E2687" t="inlineStr">
        <is>
          <t>EPS estimate FY2024</t>
        </is>
      </c>
      <c r="F2687" s="53">
        <f>_xll.BDP("CRUS UW Equity","BEST_EPS","BEST_FPERIOD_OVERRIDE","24Y")</f>
        <v/>
      </c>
    </row>
    <row r="2688">
      <c r="A2688" t="inlineStr">
        <is>
          <t>CRUS</t>
        </is>
      </c>
      <c r="B2688" t="inlineStr">
        <is>
          <t>CRUS UW Equity</t>
        </is>
      </c>
      <c r="C2688" t="inlineStr">
        <is>
          <t>BEST_SALES</t>
        </is>
      </c>
      <c r="D2688" t="inlineStr">
        <is>
          <t>24Y</t>
        </is>
      </c>
      <c r="E2688" t="inlineStr">
        <is>
          <t>Revenue estimate FY2024</t>
        </is>
      </c>
      <c r="F2688" s="53">
        <f>_xll.BDP("CRUS UW Equity","BEST_SALES","BEST_FPERIOD_OVERRIDE","24Y")</f>
        <v/>
      </c>
    </row>
    <row r="2689">
      <c r="A2689" t="inlineStr">
        <is>
          <t>CRUS</t>
        </is>
      </c>
      <c r="B2689" t="inlineStr">
        <is>
          <t>CRUS UW Equity</t>
        </is>
      </c>
      <c r="C2689" t="inlineStr">
        <is>
          <t>BEST_EBIT</t>
        </is>
      </c>
      <c r="D2689" t="inlineStr">
        <is>
          <t>24Y</t>
        </is>
      </c>
      <c r="E2689" t="inlineStr">
        <is>
          <t>EBIT estimate FY2024</t>
        </is>
      </c>
      <c r="F2689" s="53">
        <f>_xll.BDP("CRUS UW Equity","BEST_EBIT","BEST_FPERIOD_OVERRIDE","24Y")</f>
        <v/>
      </c>
    </row>
    <row r="2690">
      <c r="A2690" t="inlineStr">
        <is>
          <t>CRUS</t>
        </is>
      </c>
      <c r="B2690" t="inlineStr">
        <is>
          <t>CRUS UW Equity</t>
        </is>
      </c>
      <c r="C2690" t="inlineStr">
        <is>
          <t>BEST_EPS</t>
        </is>
      </c>
      <c r="D2690" t="inlineStr">
        <is>
          <t>25Y</t>
        </is>
      </c>
      <c r="E2690" t="inlineStr">
        <is>
          <t>EPS estimate FY2025</t>
        </is>
      </c>
      <c r="F2690" s="53">
        <f>_xll.BDP("CRUS UW Equity","BEST_EPS","BEST_FPERIOD_OVERRIDE","25Y")</f>
        <v/>
      </c>
    </row>
    <row r="2691">
      <c r="A2691" t="inlineStr">
        <is>
          <t>CRUS</t>
        </is>
      </c>
      <c r="B2691" t="inlineStr">
        <is>
          <t>CRUS UW Equity</t>
        </is>
      </c>
      <c r="C2691" t="inlineStr">
        <is>
          <t>BEST_SALES</t>
        </is>
      </c>
      <c r="D2691" t="inlineStr">
        <is>
          <t>25Y</t>
        </is>
      </c>
      <c r="E2691" t="inlineStr">
        <is>
          <t>Revenue estimate FY2025</t>
        </is>
      </c>
      <c r="F2691" s="53">
        <f>_xll.BDP("CRUS UW Equity","BEST_SALES","BEST_FPERIOD_OVERRIDE","25Y")</f>
        <v/>
      </c>
    </row>
    <row r="2692">
      <c r="A2692" t="inlineStr">
        <is>
          <t>CRUS</t>
        </is>
      </c>
      <c r="B2692" t="inlineStr">
        <is>
          <t>CRUS UW Equity</t>
        </is>
      </c>
      <c r="C2692" t="inlineStr">
        <is>
          <t>BEST_EBIT</t>
        </is>
      </c>
      <c r="D2692" t="inlineStr">
        <is>
          <t>25Y</t>
        </is>
      </c>
      <c r="E2692" t="inlineStr">
        <is>
          <t>EBIT estimate FY2025</t>
        </is>
      </c>
      <c r="F2692" s="53">
        <f>_xll.BDP("CRUS UW Equity","BEST_EBIT","BEST_FPERIOD_OVERRIDE","25Y")</f>
        <v/>
      </c>
    </row>
    <row r="2693">
      <c r="A2693" t="inlineStr">
        <is>
          <t>CRUS</t>
        </is>
      </c>
      <c r="B2693" t="inlineStr">
        <is>
          <t>CRUS UW Equity</t>
        </is>
      </c>
      <c r="C2693" t="inlineStr">
        <is>
          <t>BEST_EPS</t>
        </is>
      </c>
      <c r="D2693" t="inlineStr">
        <is>
          <t>26Y</t>
        </is>
      </c>
      <c r="E2693" t="inlineStr">
        <is>
          <t>EPS estimate FY2026</t>
        </is>
      </c>
      <c r="F2693" s="53">
        <f>_xll.BDP("CRUS UW Equity","BEST_EPS","BEST_FPERIOD_OVERRIDE","26Y")</f>
        <v/>
      </c>
    </row>
    <row r="2694">
      <c r="A2694" t="inlineStr">
        <is>
          <t>CRUS</t>
        </is>
      </c>
      <c r="B2694" t="inlineStr">
        <is>
          <t>CRUS UW Equity</t>
        </is>
      </c>
      <c r="C2694" t="inlineStr">
        <is>
          <t>BEST_SALES</t>
        </is>
      </c>
      <c r="D2694" t="inlineStr">
        <is>
          <t>26Y</t>
        </is>
      </c>
      <c r="E2694" t="inlineStr">
        <is>
          <t>Revenue estimate FY2026</t>
        </is>
      </c>
      <c r="F2694" s="53">
        <f>_xll.BDP("CRUS UW Equity","BEST_SALES","BEST_FPERIOD_OVERRIDE","26Y")</f>
        <v/>
      </c>
    </row>
    <row r="2695">
      <c r="A2695" t="inlineStr">
        <is>
          <t>CRUS</t>
        </is>
      </c>
      <c r="B2695" t="inlineStr">
        <is>
          <t>CRUS UW Equity</t>
        </is>
      </c>
      <c r="C2695" t="inlineStr">
        <is>
          <t>BEST_EBIT</t>
        </is>
      </c>
      <c r="D2695" t="inlineStr">
        <is>
          <t>26Y</t>
        </is>
      </c>
      <c r="E2695" t="inlineStr">
        <is>
          <t>EBIT estimate FY2026</t>
        </is>
      </c>
      <c r="F2695" s="53">
        <f>_xll.BDP("CRUS UW Equity","BEST_EBIT","BEST_FPERIOD_OVERRIDE","26Y")</f>
        <v/>
      </c>
    </row>
    <row r="2696">
      <c r="A2696" t="inlineStr">
        <is>
          <t>CRUS</t>
        </is>
      </c>
      <c r="B2696" t="inlineStr">
        <is>
          <t>CRUS UW Equity</t>
        </is>
      </c>
      <c r="C2696" t="inlineStr">
        <is>
          <t>BEST_EPS</t>
        </is>
      </c>
      <c r="D2696" t="inlineStr">
        <is>
          <t>27Y</t>
        </is>
      </c>
      <c r="E2696" t="inlineStr">
        <is>
          <t>EPS estimate FY2027</t>
        </is>
      </c>
      <c r="F2696" s="53">
        <f>_xll.BDP("CRUS UW Equity","BEST_EPS","BEST_FPERIOD_OVERRIDE","27Y")</f>
        <v/>
      </c>
    </row>
    <row r="2697">
      <c r="A2697" t="inlineStr">
        <is>
          <t>CRUS</t>
        </is>
      </c>
      <c r="B2697" t="inlineStr">
        <is>
          <t>CRUS UW Equity</t>
        </is>
      </c>
      <c r="C2697" t="inlineStr">
        <is>
          <t>BEST_SALES</t>
        </is>
      </c>
      <c r="D2697" t="inlineStr">
        <is>
          <t>27Y</t>
        </is>
      </c>
      <c r="E2697" t="inlineStr">
        <is>
          <t>Revenue estimate FY2027</t>
        </is>
      </c>
      <c r="F2697" s="53">
        <f>_xll.BDP("CRUS UW Equity","BEST_SALES","BEST_FPERIOD_OVERRIDE","27Y")</f>
        <v/>
      </c>
    </row>
    <row r="2698">
      <c r="A2698" t="inlineStr">
        <is>
          <t>CRUS</t>
        </is>
      </c>
      <c r="B2698" t="inlineStr">
        <is>
          <t>CRUS UW Equity</t>
        </is>
      </c>
      <c r="C2698" t="inlineStr">
        <is>
          <t>BEST_EBIT</t>
        </is>
      </c>
      <c r="D2698" t="inlineStr">
        <is>
          <t>27Y</t>
        </is>
      </c>
      <c r="E2698" t="inlineStr">
        <is>
          <t>EBIT estimate FY2027</t>
        </is>
      </c>
      <c r="F2698" s="53">
        <f>_xll.BDP("CRUS UW Equity","BEST_EBIT","BEST_FPERIOD_OVERRIDE","27Y")</f>
        <v/>
      </c>
    </row>
    <row r="2699">
      <c r="A2699" t="inlineStr">
        <is>
          <t>CRUS</t>
        </is>
      </c>
      <c r="B2699" t="inlineStr">
        <is>
          <t>CRUS UW Equity</t>
        </is>
      </c>
      <c r="C2699" t="inlineStr">
        <is>
          <t>BEST_EPS</t>
        </is>
      </c>
      <c r="D2699" t="inlineStr">
        <is>
          <t>28Y</t>
        </is>
      </c>
      <c r="E2699" t="inlineStr">
        <is>
          <t>EPS estimate FY2028</t>
        </is>
      </c>
      <c r="F2699" s="53">
        <f>_xll.BDP("CRUS UW Equity","BEST_EPS","BEST_FPERIOD_OVERRIDE","28Y")</f>
        <v/>
      </c>
    </row>
    <row r="2700">
      <c r="A2700" t="inlineStr">
        <is>
          <t>CRUS</t>
        </is>
      </c>
      <c r="B2700" t="inlineStr">
        <is>
          <t>CRUS UW Equity</t>
        </is>
      </c>
      <c r="C2700" t="inlineStr">
        <is>
          <t>BEST_SALES</t>
        </is>
      </c>
      <c r="D2700" t="inlineStr">
        <is>
          <t>28Y</t>
        </is>
      </c>
      <c r="E2700" t="inlineStr">
        <is>
          <t>Revenue estimate FY2028</t>
        </is>
      </c>
      <c r="F2700" s="53">
        <f>_xll.BDP("CRUS UW Equity","BEST_SALES","BEST_FPERIOD_OVERRIDE","28Y")</f>
        <v/>
      </c>
    </row>
    <row r="2701">
      <c r="A2701" t="inlineStr">
        <is>
          <t>CRUS</t>
        </is>
      </c>
      <c r="B2701" t="inlineStr">
        <is>
          <t>CRUS UW Equity</t>
        </is>
      </c>
      <c r="C2701" t="inlineStr">
        <is>
          <t>BEST_EBIT</t>
        </is>
      </c>
      <c r="D2701" t="inlineStr">
        <is>
          <t>28Y</t>
        </is>
      </c>
      <c r="E2701" t="inlineStr">
        <is>
          <t>EBIT estimate FY2028</t>
        </is>
      </c>
      <c r="F2701" s="53">
        <f>_xll.BDP("CRUS UW Equity","BEST_EBIT","BEST_FPERIOD_OVERRIDE","28Y")</f>
        <v/>
      </c>
    </row>
    <row r="2702">
      <c r="A2702" t="inlineStr">
        <is>
          <t>AMKR</t>
        </is>
      </c>
      <c r="B2702" t="inlineStr">
        <is>
          <t>AMKR UW Equity</t>
        </is>
      </c>
      <c r="C2702" t="inlineStr">
        <is>
          <t>PX_LAST</t>
        </is>
      </c>
      <c r="E2702" t="inlineStr">
        <is>
          <t>Last price</t>
        </is>
      </c>
      <c r="F2702" s="53">
        <f>_xll.BDP("AMKR UW Equity","PX_LAST")</f>
        <v/>
      </c>
    </row>
    <row r="2703">
      <c r="A2703" t="inlineStr">
        <is>
          <t>AMKR</t>
        </is>
      </c>
      <c r="B2703" t="inlineStr">
        <is>
          <t>AMKR UW Equity</t>
        </is>
      </c>
      <c r="C2703" t="inlineStr">
        <is>
          <t>CUR_MKT_CAP</t>
        </is>
      </c>
      <c r="E2703" t="inlineStr">
        <is>
          <t>Market cap (raw)</t>
        </is>
      </c>
      <c r="F2703" s="53">
        <f>_xll.BDP("AMKR UW Equity","CUR_MKT_CAP")</f>
        <v/>
      </c>
    </row>
    <row r="2704">
      <c r="A2704" t="inlineStr">
        <is>
          <t>AMKR</t>
        </is>
      </c>
      <c r="B2704" t="inlineStr">
        <is>
          <t>AMKR UW Equity</t>
        </is>
      </c>
      <c r="C2704" t="inlineStr">
        <is>
          <t>CHG_PCT_YTD</t>
        </is>
      </c>
      <c r="E2704" t="inlineStr">
        <is>
          <t>YTD price change %</t>
        </is>
      </c>
      <c r="F2704" s="53">
        <f>_xll.BDP("AMKR UW Equity","CHG_PCT_YTD")</f>
        <v/>
      </c>
    </row>
    <row r="2705">
      <c r="A2705" t="inlineStr">
        <is>
          <t>AMKR</t>
        </is>
      </c>
      <c r="B2705" t="inlineStr">
        <is>
          <t>AMKR UW Equity</t>
        </is>
      </c>
      <c r="C2705" t="inlineStr">
        <is>
          <t>NET_DEBT_TO_EBITDA</t>
        </is>
      </c>
      <c r="E2705" t="inlineStr">
        <is>
          <t>Net debt / EBITDA</t>
        </is>
      </c>
      <c r="F2705" s="53">
        <f>_xll.BDP("AMKR UW Equity","NET_DEBT_TO_EBITDA")</f>
        <v/>
      </c>
    </row>
    <row r="2706">
      <c r="A2706" t="inlineStr">
        <is>
          <t>AMKR</t>
        </is>
      </c>
      <c r="B2706" t="inlineStr">
        <is>
          <t>AMKR UW Equity</t>
        </is>
      </c>
      <c r="C2706" t="inlineStr">
        <is>
          <t>RETURN_ON_INV_CAPITAL</t>
        </is>
      </c>
      <c r="E2706" t="inlineStr">
        <is>
          <t>ROIC (LTM)</t>
        </is>
      </c>
      <c r="F2706" s="53">
        <f>_xll.BDP("AMKR UW Equity","RETURN_ON_INV_CAPITAL")</f>
        <v/>
      </c>
    </row>
    <row r="2707">
      <c r="A2707" t="inlineStr">
        <is>
          <t>AMKR</t>
        </is>
      </c>
      <c r="B2707" t="inlineStr">
        <is>
          <t>AMKR UW Equity</t>
        </is>
      </c>
      <c r="C2707" t="inlineStr">
        <is>
          <t>TRAIL_12M_OPER_INC</t>
        </is>
      </c>
      <c r="E2707" t="inlineStr">
        <is>
          <t>LTM operating income</t>
        </is>
      </c>
      <c r="F2707" s="53">
        <f>_xll.BDP("AMKR UW Equity","TRAIL_12M_OPER_INC")</f>
        <v/>
      </c>
    </row>
    <row r="2708">
      <c r="A2708" t="inlineStr">
        <is>
          <t>AMKR</t>
        </is>
      </c>
      <c r="B2708" t="inlineStr">
        <is>
          <t>AMKR UW Equity</t>
        </is>
      </c>
      <c r="C2708" t="inlineStr">
        <is>
          <t>TRAIL_12M_EBITDA</t>
        </is>
      </c>
      <c r="E2708" t="inlineStr">
        <is>
          <t>LTM EBITDA</t>
        </is>
      </c>
      <c r="F2708" s="53">
        <f>_xll.BDP("AMKR UW Equity","TRAIL_12M_EBITDA")</f>
        <v/>
      </c>
    </row>
    <row r="2709">
      <c r="A2709" t="inlineStr">
        <is>
          <t>AMKR</t>
        </is>
      </c>
      <c r="B2709" t="inlineStr">
        <is>
          <t>AMKR UW Equity</t>
        </is>
      </c>
      <c r="C2709" t="inlineStr">
        <is>
          <t>SHORT_AND_LONG_TERM_DEBT</t>
        </is>
      </c>
      <c r="E2709" t="inlineStr">
        <is>
          <t>Total debt</t>
        </is>
      </c>
      <c r="F2709" s="53">
        <f>_xll.BDP("AMKR UW Equity","SHORT_AND_LONG_TERM_DEBT")</f>
        <v/>
      </c>
    </row>
    <row r="2710">
      <c r="A2710" t="inlineStr">
        <is>
          <t>AMKR</t>
        </is>
      </c>
      <c r="B2710" t="inlineStr">
        <is>
          <t>AMKR UW Equity</t>
        </is>
      </c>
      <c r="C2710" t="inlineStr">
        <is>
          <t>TOTAL_EQUITY</t>
        </is>
      </c>
      <c r="E2710" t="inlineStr">
        <is>
          <t>Total equity</t>
        </is>
      </c>
      <c r="F2710" s="53">
        <f>_xll.BDP("AMKR UW Equity","TOTAL_EQUITY")</f>
        <v/>
      </c>
    </row>
    <row r="2711">
      <c r="A2711" t="inlineStr">
        <is>
          <t>AMKR</t>
        </is>
      </c>
      <c r="B2711" t="inlineStr">
        <is>
          <t>AMKR UW Equity</t>
        </is>
      </c>
      <c r="C2711" t="inlineStr">
        <is>
          <t>BS_CASH_NEAR_CASH_ITEM</t>
        </is>
      </c>
      <c r="E2711" t="inlineStr">
        <is>
          <t>Cash &amp; equivalents</t>
        </is>
      </c>
      <c r="F2711" s="53">
        <f>_xll.BDP("AMKR UW Equity","BS_CASH_NEAR_CASH_ITEM")</f>
        <v/>
      </c>
    </row>
    <row r="2712">
      <c r="A2712" t="inlineStr">
        <is>
          <t>AMKR</t>
        </is>
      </c>
      <c r="B2712" t="inlineStr">
        <is>
          <t>AMKR UW Equity</t>
        </is>
      </c>
      <c r="C2712" t="inlineStr">
        <is>
          <t>BEST_EPS</t>
        </is>
      </c>
      <c r="D2712" t="inlineStr">
        <is>
          <t>24Y</t>
        </is>
      </c>
      <c r="E2712" t="inlineStr">
        <is>
          <t>EPS estimate FY2024</t>
        </is>
      </c>
      <c r="F2712" s="53">
        <f>_xll.BDP("AMKR UW Equity","BEST_EPS","BEST_FPERIOD_OVERRIDE","24Y")</f>
        <v/>
      </c>
    </row>
    <row r="2713">
      <c r="A2713" t="inlineStr">
        <is>
          <t>AMKR</t>
        </is>
      </c>
      <c r="B2713" t="inlineStr">
        <is>
          <t>AMKR UW Equity</t>
        </is>
      </c>
      <c r="C2713" t="inlineStr">
        <is>
          <t>BEST_SALES</t>
        </is>
      </c>
      <c r="D2713" t="inlineStr">
        <is>
          <t>24Y</t>
        </is>
      </c>
      <c r="E2713" t="inlineStr">
        <is>
          <t>Revenue estimate FY2024</t>
        </is>
      </c>
      <c r="F2713" s="53">
        <f>_xll.BDP("AMKR UW Equity","BEST_SALES","BEST_FPERIOD_OVERRIDE","24Y")</f>
        <v/>
      </c>
    </row>
    <row r="2714">
      <c r="A2714" t="inlineStr">
        <is>
          <t>AMKR</t>
        </is>
      </c>
      <c r="B2714" t="inlineStr">
        <is>
          <t>AMKR UW Equity</t>
        </is>
      </c>
      <c r="C2714" t="inlineStr">
        <is>
          <t>BEST_EBIT</t>
        </is>
      </c>
      <c r="D2714" t="inlineStr">
        <is>
          <t>24Y</t>
        </is>
      </c>
      <c r="E2714" t="inlineStr">
        <is>
          <t>EBIT estimate FY2024</t>
        </is>
      </c>
      <c r="F2714" s="53">
        <f>_xll.BDP("AMKR UW Equity","BEST_EBIT","BEST_FPERIOD_OVERRIDE","24Y")</f>
        <v/>
      </c>
    </row>
    <row r="2715">
      <c r="A2715" t="inlineStr">
        <is>
          <t>AMKR</t>
        </is>
      </c>
      <c r="B2715" t="inlineStr">
        <is>
          <t>AMKR UW Equity</t>
        </is>
      </c>
      <c r="C2715" t="inlineStr">
        <is>
          <t>BEST_EPS</t>
        </is>
      </c>
      <c r="D2715" t="inlineStr">
        <is>
          <t>25Y</t>
        </is>
      </c>
      <c r="E2715" t="inlineStr">
        <is>
          <t>EPS estimate FY2025</t>
        </is>
      </c>
      <c r="F2715" s="53">
        <f>_xll.BDP("AMKR UW Equity","BEST_EPS","BEST_FPERIOD_OVERRIDE","25Y")</f>
        <v/>
      </c>
    </row>
    <row r="2716">
      <c r="A2716" t="inlineStr">
        <is>
          <t>AMKR</t>
        </is>
      </c>
      <c r="B2716" t="inlineStr">
        <is>
          <t>AMKR UW Equity</t>
        </is>
      </c>
      <c r="C2716" t="inlineStr">
        <is>
          <t>BEST_SALES</t>
        </is>
      </c>
      <c r="D2716" t="inlineStr">
        <is>
          <t>25Y</t>
        </is>
      </c>
      <c r="E2716" t="inlineStr">
        <is>
          <t>Revenue estimate FY2025</t>
        </is>
      </c>
      <c r="F2716" s="53">
        <f>_xll.BDP("AMKR UW Equity","BEST_SALES","BEST_FPERIOD_OVERRIDE","25Y")</f>
        <v/>
      </c>
    </row>
    <row r="2717">
      <c r="A2717" t="inlineStr">
        <is>
          <t>AMKR</t>
        </is>
      </c>
      <c r="B2717" t="inlineStr">
        <is>
          <t>AMKR UW Equity</t>
        </is>
      </c>
      <c r="C2717" t="inlineStr">
        <is>
          <t>BEST_EBIT</t>
        </is>
      </c>
      <c r="D2717" t="inlineStr">
        <is>
          <t>25Y</t>
        </is>
      </c>
      <c r="E2717" t="inlineStr">
        <is>
          <t>EBIT estimate FY2025</t>
        </is>
      </c>
      <c r="F2717" s="53">
        <f>_xll.BDP("AMKR UW Equity","BEST_EBIT","BEST_FPERIOD_OVERRIDE","25Y")</f>
        <v/>
      </c>
    </row>
    <row r="2718">
      <c r="A2718" t="inlineStr">
        <is>
          <t>AMKR</t>
        </is>
      </c>
      <c r="B2718" t="inlineStr">
        <is>
          <t>AMKR UW Equity</t>
        </is>
      </c>
      <c r="C2718" t="inlineStr">
        <is>
          <t>BEST_EPS</t>
        </is>
      </c>
      <c r="D2718" t="inlineStr">
        <is>
          <t>26Y</t>
        </is>
      </c>
      <c r="E2718" t="inlineStr">
        <is>
          <t>EPS estimate FY2026</t>
        </is>
      </c>
      <c r="F2718" s="53">
        <f>_xll.BDP("AMKR UW Equity","BEST_EPS","BEST_FPERIOD_OVERRIDE","26Y")</f>
        <v/>
      </c>
    </row>
    <row r="2719">
      <c r="A2719" t="inlineStr">
        <is>
          <t>AMKR</t>
        </is>
      </c>
      <c r="B2719" t="inlineStr">
        <is>
          <t>AMKR UW Equity</t>
        </is>
      </c>
      <c r="C2719" t="inlineStr">
        <is>
          <t>BEST_SALES</t>
        </is>
      </c>
      <c r="D2719" t="inlineStr">
        <is>
          <t>26Y</t>
        </is>
      </c>
      <c r="E2719" t="inlineStr">
        <is>
          <t>Revenue estimate FY2026</t>
        </is>
      </c>
      <c r="F2719" s="53">
        <f>_xll.BDP("AMKR UW Equity","BEST_SALES","BEST_FPERIOD_OVERRIDE","26Y")</f>
        <v/>
      </c>
    </row>
    <row r="2720">
      <c r="A2720" t="inlineStr">
        <is>
          <t>AMKR</t>
        </is>
      </c>
      <c r="B2720" t="inlineStr">
        <is>
          <t>AMKR UW Equity</t>
        </is>
      </c>
      <c r="C2720" t="inlineStr">
        <is>
          <t>BEST_EBIT</t>
        </is>
      </c>
      <c r="D2720" t="inlineStr">
        <is>
          <t>26Y</t>
        </is>
      </c>
      <c r="E2720" t="inlineStr">
        <is>
          <t>EBIT estimate FY2026</t>
        </is>
      </c>
      <c r="F2720" s="53">
        <f>_xll.BDP("AMKR UW Equity","BEST_EBIT","BEST_FPERIOD_OVERRIDE","26Y")</f>
        <v/>
      </c>
    </row>
    <row r="2721">
      <c r="A2721" t="inlineStr">
        <is>
          <t>AMKR</t>
        </is>
      </c>
      <c r="B2721" t="inlineStr">
        <is>
          <t>AMKR UW Equity</t>
        </is>
      </c>
      <c r="C2721" t="inlineStr">
        <is>
          <t>BEST_EPS</t>
        </is>
      </c>
      <c r="D2721" t="inlineStr">
        <is>
          <t>27Y</t>
        </is>
      </c>
      <c r="E2721" t="inlineStr">
        <is>
          <t>EPS estimate FY2027</t>
        </is>
      </c>
      <c r="F2721" s="53">
        <f>_xll.BDP("AMKR UW Equity","BEST_EPS","BEST_FPERIOD_OVERRIDE","27Y")</f>
        <v/>
      </c>
    </row>
    <row r="2722">
      <c r="A2722" t="inlineStr">
        <is>
          <t>AMKR</t>
        </is>
      </c>
      <c r="B2722" t="inlineStr">
        <is>
          <t>AMKR UW Equity</t>
        </is>
      </c>
      <c r="C2722" t="inlineStr">
        <is>
          <t>BEST_SALES</t>
        </is>
      </c>
      <c r="D2722" t="inlineStr">
        <is>
          <t>27Y</t>
        </is>
      </c>
      <c r="E2722" t="inlineStr">
        <is>
          <t>Revenue estimate FY2027</t>
        </is>
      </c>
      <c r="F2722" s="53">
        <f>_xll.BDP("AMKR UW Equity","BEST_SALES","BEST_FPERIOD_OVERRIDE","27Y")</f>
        <v/>
      </c>
    </row>
    <row r="2723">
      <c r="A2723" t="inlineStr">
        <is>
          <t>AMKR</t>
        </is>
      </c>
      <c r="B2723" t="inlineStr">
        <is>
          <t>AMKR UW Equity</t>
        </is>
      </c>
      <c r="C2723" t="inlineStr">
        <is>
          <t>BEST_EBIT</t>
        </is>
      </c>
      <c r="D2723" t="inlineStr">
        <is>
          <t>27Y</t>
        </is>
      </c>
      <c r="E2723" t="inlineStr">
        <is>
          <t>EBIT estimate FY2027</t>
        </is>
      </c>
      <c r="F2723" s="53">
        <f>_xll.BDP("AMKR UW Equity","BEST_EBIT","BEST_FPERIOD_OVERRIDE","27Y")</f>
        <v/>
      </c>
    </row>
    <row r="2724">
      <c r="A2724" t="inlineStr">
        <is>
          <t>AMKR</t>
        </is>
      </c>
      <c r="B2724" t="inlineStr">
        <is>
          <t>AMKR UW Equity</t>
        </is>
      </c>
      <c r="C2724" t="inlineStr">
        <is>
          <t>BEST_EPS</t>
        </is>
      </c>
      <c r="D2724" t="inlineStr">
        <is>
          <t>28Y</t>
        </is>
      </c>
      <c r="E2724" t="inlineStr">
        <is>
          <t>EPS estimate FY2028</t>
        </is>
      </c>
      <c r="F2724" s="53">
        <f>_xll.BDP("AMKR UW Equity","BEST_EPS","BEST_FPERIOD_OVERRIDE","28Y")</f>
        <v/>
      </c>
    </row>
    <row r="2725">
      <c r="A2725" t="inlineStr">
        <is>
          <t>AMKR</t>
        </is>
      </c>
      <c r="B2725" t="inlineStr">
        <is>
          <t>AMKR UW Equity</t>
        </is>
      </c>
      <c r="C2725" t="inlineStr">
        <is>
          <t>BEST_SALES</t>
        </is>
      </c>
      <c r="D2725" t="inlineStr">
        <is>
          <t>28Y</t>
        </is>
      </c>
      <c r="E2725" t="inlineStr">
        <is>
          <t>Revenue estimate FY2028</t>
        </is>
      </c>
      <c r="F2725" s="53">
        <f>_xll.BDP("AMKR UW Equity","BEST_SALES","BEST_FPERIOD_OVERRIDE","28Y")</f>
        <v/>
      </c>
    </row>
    <row r="2726">
      <c r="A2726" t="inlineStr">
        <is>
          <t>AMKR</t>
        </is>
      </c>
      <c r="B2726" t="inlineStr">
        <is>
          <t>AMKR UW Equity</t>
        </is>
      </c>
      <c r="C2726" t="inlineStr">
        <is>
          <t>BEST_EBIT</t>
        </is>
      </c>
      <c r="D2726" t="inlineStr">
        <is>
          <t>28Y</t>
        </is>
      </c>
      <c r="E2726" t="inlineStr">
        <is>
          <t>EBIT estimate FY2028</t>
        </is>
      </c>
      <c r="F2726" s="53">
        <f>_xll.BDP("AMKR UW Equity","BEST_EBIT","BEST_FPERIOD_OVERRIDE","28Y")</f>
        <v/>
      </c>
    </row>
    <row r="2727">
      <c r="A2727" t="inlineStr">
        <is>
          <t>TER</t>
        </is>
      </c>
      <c r="B2727" t="inlineStr">
        <is>
          <t>TER UW Equity</t>
        </is>
      </c>
      <c r="C2727" t="inlineStr">
        <is>
          <t>PX_LAST</t>
        </is>
      </c>
      <c r="E2727" t="inlineStr">
        <is>
          <t>Last price</t>
        </is>
      </c>
      <c r="F2727" s="53">
        <f>_xll.BDP("TER UW Equity","PX_LAST")</f>
        <v/>
      </c>
    </row>
    <row r="2728">
      <c r="A2728" t="inlineStr">
        <is>
          <t>TER</t>
        </is>
      </c>
      <c r="B2728" t="inlineStr">
        <is>
          <t>TER UW Equity</t>
        </is>
      </c>
      <c r="C2728" t="inlineStr">
        <is>
          <t>CUR_MKT_CAP</t>
        </is>
      </c>
      <c r="E2728" t="inlineStr">
        <is>
          <t>Market cap (raw)</t>
        </is>
      </c>
      <c r="F2728" s="53">
        <f>_xll.BDP("TER UW Equity","CUR_MKT_CAP")</f>
        <v/>
      </c>
    </row>
    <row r="2729">
      <c r="A2729" t="inlineStr">
        <is>
          <t>TER</t>
        </is>
      </c>
      <c r="B2729" t="inlineStr">
        <is>
          <t>TER UW Equity</t>
        </is>
      </c>
      <c r="C2729" t="inlineStr">
        <is>
          <t>CHG_PCT_YTD</t>
        </is>
      </c>
      <c r="E2729" t="inlineStr">
        <is>
          <t>YTD price change %</t>
        </is>
      </c>
      <c r="F2729" s="53">
        <f>_xll.BDP("TER UW Equity","CHG_PCT_YTD")</f>
        <v/>
      </c>
    </row>
    <row r="2730">
      <c r="A2730" t="inlineStr">
        <is>
          <t>TER</t>
        </is>
      </c>
      <c r="B2730" t="inlineStr">
        <is>
          <t>TER UW Equity</t>
        </is>
      </c>
      <c r="C2730" t="inlineStr">
        <is>
          <t>NET_DEBT_TO_EBITDA</t>
        </is>
      </c>
      <c r="E2730" t="inlineStr">
        <is>
          <t>Net debt / EBITDA</t>
        </is>
      </c>
      <c r="F2730" s="53">
        <f>_xll.BDP("TER UW Equity","NET_DEBT_TO_EBITDA")</f>
        <v/>
      </c>
    </row>
    <row r="2731">
      <c r="A2731" t="inlineStr">
        <is>
          <t>TER</t>
        </is>
      </c>
      <c r="B2731" t="inlineStr">
        <is>
          <t>TER UW Equity</t>
        </is>
      </c>
      <c r="C2731" t="inlineStr">
        <is>
          <t>RETURN_ON_INV_CAPITAL</t>
        </is>
      </c>
      <c r="E2731" t="inlineStr">
        <is>
          <t>ROIC (LTM)</t>
        </is>
      </c>
      <c r="F2731" s="53">
        <f>_xll.BDP("TER UW Equity","RETURN_ON_INV_CAPITAL")</f>
        <v/>
      </c>
    </row>
    <row r="2732">
      <c r="A2732" t="inlineStr">
        <is>
          <t>TER</t>
        </is>
      </c>
      <c r="B2732" t="inlineStr">
        <is>
          <t>TER UW Equity</t>
        </is>
      </c>
      <c r="C2732" t="inlineStr">
        <is>
          <t>TRAIL_12M_OPER_INC</t>
        </is>
      </c>
      <c r="E2732" t="inlineStr">
        <is>
          <t>LTM operating income</t>
        </is>
      </c>
      <c r="F2732" s="53">
        <f>_xll.BDP("TER UW Equity","TRAIL_12M_OPER_INC")</f>
        <v/>
      </c>
    </row>
    <row r="2733">
      <c r="A2733" t="inlineStr">
        <is>
          <t>TER</t>
        </is>
      </c>
      <c r="B2733" t="inlineStr">
        <is>
          <t>TER UW Equity</t>
        </is>
      </c>
      <c r="C2733" t="inlineStr">
        <is>
          <t>TRAIL_12M_EBITDA</t>
        </is>
      </c>
      <c r="E2733" t="inlineStr">
        <is>
          <t>LTM EBITDA</t>
        </is>
      </c>
      <c r="F2733" s="53">
        <f>_xll.BDP("TER UW Equity","TRAIL_12M_EBITDA")</f>
        <v/>
      </c>
    </row>
    <row r="2734">
      <c r="A2734" t="inlineStr">
        <is>
          <t>TER</t>
        </is>
      </c>
      <c r="B2734" t="inlineStr">
        <is>
          <t>TER UW Equity</t>
        </is>
      </c>
      <c r="C2734" t="inlineStr">
        <is>
          <t>SHORT_AND_LONG_TERM_DEBT</t>
        </is>
      </c>
      <c r="E2734" t="inlineStr">
        <is>
          <t>Total debt</t>
        </is>
      </c>
      <c r="F2734" s="53">
        <f>_xll.BDP("TER UW Equity","SHORT_AND_LONG_TERM_DEBT")</f>
        <v/>
      </c>
    </row>
    <row r="2735">
      <c r="A2735" t="inlineStr">
        <is>
          <t>TER</t>
        </is>
      </c>
      <c r="B2735" t="inlineStr">
        <is>
          <t>TER UW Equity</t>
        </is>
      </c>
      <c r="C2735" t="inlineStr">
        <is>
          <t>TOTAL_EQUITY</t>
        </is>
      </c>
      <c r="E2735" t="inlineStr">
        <is>
          <t>Total equity</t>
        </is>
      </c>
      <c r="F2735" s="53">
        <f>_xll.BDP("TER UW Equity","TOTAL_EQUITY")</f>
        <v/>
      </c>
    </row>
    <row r="2736">
      <c r="A2736" t="inlineStr">
        <is>
          <t>TER</t>
        </is>
      </c>
      <c r="B2736" t="inlineStr">
        <is>
          <t>TER UW Equity</t>
        </is>
      </c>
      <c r="C2736" t="inlineStr">
        <is>
          <t>BS_CASH_NEAR_CASH_ITEM</t>
        </is>
      </c>
      <c r="E2736" t="inlineStr">
        <is>
          <t>Cash &amp; equivalents</t>
        </is>
      </c>
      <c r="F2736" s="53">
        <f>_xll.BDP("TER UW Equity","BS_CASH_NEAR_CASH_ITEM")</f>
        <v/>
      </c>
    </row>
    <row r="2737">
      <c r="A2737" t="inlineStr">
        <is>
          <t>TER</t>
        </is>
      </c>
      <c r="B2737" t="inlineStr">
        <is>
          <t>TER UW Equity</t>
        </is>
      </c>
      <c r="C2737" t="inlineStr">
        <is>
          <t>BEST_EPS</t>
        </is>
      </c>
      <c r="D2737" t="inlineStr">
        <is>
          <t>24Y</t>
        </is>
      </c>
      <c r="E2737" t="inlineStr">
        <is>
          <t>EPS estimate FY2024</t>
        </is>
      </c>
      <c r="F2737" s="53">
        <f>_xll.BDP("TER UW Equity","BEST_EPS","BEST_FPERIOD_OVERRIDE","24Y")</f>
        <v/>
      </c>
    </row>
    <row r="2738">
      <c r="A2738" t="inlineStr">
        <is>
          <t>TER</t>
        </is>
      </c>
      <c r="B2738" t="inlineStr">
        <is>
          <t>TER UW Equity</t>
        </is>
      </c>
      <c r="C2738" t="inlineStr">
        <is>
          <t>BEST_SALES</t>
        </is>
      </c>
      <c r="D2738" t="inlineStr">
        <is>
          <t>24Y</t>
        </is>
      </c>
      <c r="E2738" t="inlineStr">
        <is>
          <t>Revenue estimate FY2024</t>
        </is>
      </c>
      <c r="F2738" s="53">
        <f>_xll.BDP("TER UW Equity","BEST_SALES","BEST_FPERIOD_OVERRIDE","24Y")</f>
        <v/>
      </c>
    </row>
    <row r="2739">
      <c r="A2739" t="inlineStr">
        <is>
          <t>TER</t>
        </is>
      </c>
      <c r="B2739" t="inlineStr">
        <is>
          <t>TER UW Equity</t>
        </is>
      </c>
      <c r="C2739" t="inlineStr">
        <is>
          <t>BEST_EBIT</t>
        </is>
      </c>
      <c r="D2739" t="inlineStr">
        <is>
          <t>24Y</t>
        </is>
      </c>
      <c r="E2739" t="inlineStr">
        <is>
          <t>EBIT estimate FY2024</t>
        </is>
      </c>
      <c r="F2739" s="53">
        <f>_xll.BDP("TER UW Equity","BEST_EBIT","BEST_FPERIOD_OVERRIDE","24Y")</f>
        <v/>
      </c>
    </row>
    <row r="2740">
      <c r="A2740" t="inlineStr">
        <is>
          <t>TER</t>
        </is>
      </c>
      <c r="B2740" t="inlineStr">
        <is>
          <t>TER UW Equity</t>
        </is>
      </c>
      <c r="C2740" t="inlineStr">
        <is>
          <t>BEST_EPS</t>
        </is>
      </c>
      <c r="D2740" t="inlineStr">
        <is>
          <t>25Y</t>
        </is>
      </c>
      <c r="E2740" t="inlineStr">
        <is>
          <t>EPS estimate FY2025</t>
        </is>
      </c>
      <c r="F2740" s="53">
        <f>_xll.BDP("TER UW Equity","BEST_EPS","BEST_FPERIOD_OVERRIDE","25Y")</f>
        <v/>
      </c>
    </row>
    <row r="2741">
      <c r="A2741" t="inlineStr">
        <is>
          <t>TER</t>
        </is>
      </c>
      <c r="B2741" t="inlineStr">
        <is>
          <t>TER UW Equity</t>
        </is>
      </c>
      <c r="C2741" t="inlineStr">
        <is>
          <t>BEST_SALES</t>
        </is>
      </c>
      <c r="D2741" t="inlineStr">
        <is>
          <t>25Y</t>
        </is>
      </c>
      <c r="E2741" t="inlineStr">
        <is>
          <t>Revenue estimate FY2025</t>
        </is>
      </c>
      <c r="F2741" s="53">
        <f>_xll.BDP("TER UW Equity","BEST_SALES","BEST_FPERIOD_OVERRIDE","25Y")</f>
        <v/>
      </c>
    </row>
    <row r="2742">
      <c r="A2742" t="inlineStr">
        <is>
          <t>TER</t>
        </is>
      </c>
      <c r="B2742" t="inlineStr">
        <is>
          <t>TER UW Equity</t>
        </is>
      </c>
      <c r="C2742" t="inlineStr">
        <is>
          <t>BEST_EBIT</t>
        </is>
      </c>
      <c r="D2742" t="inlineStr">
        <is>
          <t>25Y</t>
        </is>
      </c>
      <c r="E2742" t="inlineStr">
        <is>
          <t>EBIT estimate FY2025</t>
        </is>
      </c>
      <c r="F2742" s="53">
        <f>_xll.BDP("TER UW Equity","BEST_EBIT","BEST_FPERIOD_OVERRIDE","25Y")</f>
        <v/>
      </c>
    </row>
    <row r="2743">
      <c r="A2743" t="inlineStr">
        <is>
          <t>TER</t>
        </is>
      </c>
      <c r="B2743" t="inlineStr">
        <is>
          <t>TER UW Equity</t>
        </is>
      </c>
      <c r="C2743" t="inlineStr">
        <is>
          <t>BEST_EPS</t>
        </is>
      </c>
      <c r="D2743" t="inlineStr">
        <is>
          <t>26Y</t>
        </is>
      </c>
      <c r="E2743" t="inlineStr">
        <is>
          <t>EPS estimate FY2026</t>
        </is>
      </c>
      <c r="F2743" s="53">
        <f>_xll.BDP("TER UW Equity","BEST_EPS","BEST_FPERIOD_OVERRIDE","26Y")</f>
        <v/>
      </c>
    </row>
    <row r="2744">
      <c r="A2744" t="inlineStr">
        <is>
          <t>TER</t>
        </is>
      </c>
      <c r="B2744" t="inlineStr">
        <is>
          <t>TER UW Equity</t>
        </is>
      </c>
      <c r="C2744" t="inlineStr">
        <is>
          <t>BEST_SALES</t>
        </is>
      </c>
      <c r="D2744" t="inlineStr">
        <is>
          <t>26Y</t>
        </is>
      </c>
      <c r="E2744" t="inlineStr">
        <is>
          <t>Revenue estimate FY2026</t>
        </is>
      </c>
      <c r="F2744" s="53">
        <f>_xll.BDP("TER UW Equity","BEST_SALES","BEST_FPERIOD_OVERRIDE","26Y")</f>
        <v/>
      </c>
    </row>
    <row r="2745">
      <c r="A2745" t="inlineStr">
        <is>
          <t>TER</t>
        </is>
      </c>
      <c r="B2745" t="inlineStr">
        <is>
          <t>TER UW Equity</t>
        </is>
      </c>
      <c r="C2745" t="inlineStr">
        <is>
          <t>BEST_EBIT</t>
        </is>
      </c>
      <c r="D2745" t="inlineStr">
        <is>
          <t>26Y</t>
        </is>
      </c>
      <c r="E2745" t="inlineStr">
        <is>
          <t>EBIT estimate FY2026</t>
        </is>
      </c>
      <c r="F2745" s="53">
        <f>_xll.BDP("TER UW Equity","BEST_EBIT","BEST_FPERIOD_OVERRIDE","26Y")</f>
        <v/>
      </c>
    </row>
    <row r="2746">
      <c r="A2746" t="inlineStr">
        <is>
          <t>TER</t>
        </is>
      </c>
      <c r="B2746" t="inlineStr">
        <is>
          <t>TER UW Equity</t>
        </is>
      </c>
      <c r="C2746" t="inlineStr">
        <is>
          <t>BEST_EPS</t>
        </is>
      </c>
      <c r="D2746" t="inlineStr">
        <is>
          <t>27Y</t>
        </is>
      </c>
      <c r="E2746" t="inlineStr">
        <is>
          <t>EPS estimate FY2027</t>
        </is>
      </c>
      <c r="F2746" s="53">
        <f>_xll.BDP("TER UW Equity","BEST_EPS","BEST_FPERIOD_OVERRIDE","27Y")</f>
        <v/>
      </c>
    </row>
    <row r="2747">
      <c r="A2747" t="inlineStr">
        <is>
          <t>TER</t>
        </is>
      </c>
      <c r="B2747" t="inlineStr">
        <is>
          <t>TER UW Equity</t>
        </is>
      </c>
      <c r="C2747" t="inlineStr">
        <is>
          <t>BEST_SALES</t>
        </is>
      </c>
      <c r="D2747" t="inlineStr">
        <is>
          <t>27Y</t>
        </is>
      </c>
      <c r="E2747" t="inlineStr">
        <is>
          <t>Revenue estimate FY2027</t>
        </is>
      </c>
      <c r="F2747" s="53">
        <f>_xll.BDP("TER UW Equity","BEST_SALES","BEST_FPERIOD_OVERRIDE","27Y")</f>
        <v/>
      </c>
    </row>
    <row r="2748">
      <c r="A2748" t="inlineStr">
        <is>
          <t>TER</t>
        </is>
      </c>
      <c r="B2748" t="inlineStr">
        <is>
          <t>TER UW Equity</t>
        </is>
      </c>
      <c r="C2748" t="inlineStr">
        <is>
          <t>BEST_EBIT</t>
        </is>
      </c>
      <c r="D2748" t="inlineStr">
        <is>
          <t>27Y</t>
        </is>
      </c>
      <c r="E2748" t="inlineStr">
        <is>
          <t>EBIT estimate FY2027</t>
        </is>
      </c>
      <c r="F2748" s="53">
        <f>_xll.BDP("TER UW Equity","BEST_EBIT","BEST_FPERIOD_OVERRIDE","27Y")</f>
        <v/>
      </c>
    </row>
    <row r="2749">
      <c r="A2749" t="inlineStr">
        <is>
          <t>TER</t>
        </is>
      </c>
      <c r="B2749" t="inlineStr">
        <is>
          <t>TER UW Equity</t>
        </is>
      </c>
      <c r="C2749" t="inlineStr">
        <is>
          <t>BEST_EPS</t>
        </is>
      </c>
      <c r="D2749" t="inlineStr">
        <is>
          <t>28Y</t>
        </is>
      </c>
      <c r="E2749" t="inlineStr">
        <is>
          <t>EPS estimate FY2028</t>
        </is>
      </c>
      <c r="F2749" s="53">
        <f>_xll.BDP("TER UW Equity","BEST_EPS","BEST_FPERIOD_OVERRIDE","28Y")</f>
        <v/>
      </c>
    </row>
    <row r="2750">
      <c r="A2750" t="inlineStr">
        <is>
          <t>TER</t>
        </is>
      </c>
      <c r="B2750" t="inlineStr">
        <is>
          <t>TER UW Equity</t>
        </is>
      </c>
      <c r="C2750" t="inlineStr">
        <is>
          <t>BEST_SALES</t>
        </is>
      </c>
      <c r="D2750" t="inlineStr">
        <is>
          <t>28Y</t>
        </is>
      </c>
      <c r="E2750" t="inlineStr">
        <is>
          <t>Revenue estimate FY2028</t>
        </is>
      </c>
      <c r="F2750" s="53">
        <f>_xll.BDP("TER UW Equity","BEST_SALES","BEST_FPERIOD_OVERRIDE","28Y")</f>
        <v/>
      </c>
    </row>
    <row r="2751">
      <c r="A2751" t="inlineStr">
        <is>
          <t>TER</t>
        </is>
      </c>
      <c r="B2751" t="inlineStr">
        <is>
          <t>TER UW Equity</t>
        </is>
      </c>
      <c r="C2751" t="inlineStr">
        <is>
          <t>BEST_EBIT</t>
        </is>
      </c>
      <c r="D2751" t="inlineStr">
        <is>
          <t>28Y</t>
        </is>
      </c>
      <c r="E2751" t="inlineStr">
        <is>
          <t>EBIT estimate FY2028</t>
        </is>
      </c>
      <c r="F2751" s="53">
        <f>_xll.BDP("TER UW Equity","BEST_EBIT","BEST_FPERIOD_OVERRIDE","28Y")</f>
        <v/>
      </c>
    </row>
    <row r="2752">
      <c r="A2752" t="inlineStr">
        <is>
          <t>AEHR</t>
        </is>
      </c>
      <c r="B2752" t="inlineStr">
        <is>
          <t>AEHR US Equity</t>
        </is>
      </c>
      <c r="C2752" t="inlineStr">
        <is>
          <t>PX_LAST</t>
        </is>
      </c>
      <c r="E2752" t="inlineStr">
        <is>
          <t>Last price</t>
        </is>
      </c>
      <c r="F2752" s="53">
        <f>_xll.BDP("AEHR US Equity","PX_LAST")</f>
        <v/>
      </c>
    </row>
    <row r="2753">
      <c r="A2753" t="inlineStr">
        <is>
          <t>AEHR</t>
        </is>
      </c>
      <c r="B2753" t="inlineStr">
        <is>
          <t>AEHR US Equity</t>
        </is>
      </c>
      <c r="C2753" t="inlineStr">
        <is>
          <t>CUR_MKT_CAP</t>
        </is>
      </c>
      <c r="E2753" t="inlineStr">
        <is>
          <t>Market cap (raw)</t>
        </is>
      </c>
      <c r="F2753" s="53">
        <f>_xll.BDP("AEHR US Equity","CUR_MKT_CAP")</f>
        <v/>
      </c>
    </row>
    <row r="2754">
      <c r="A2754" t="inlineStr">
        <is>
          <t>AEHR</t>
        </is>
      </c>
      <c r="B2754" t="inlineStr">
        <is>
          <t>AEHR US Equity</t>
        </is>
      </c>
      <c r="C2754" t="inlineStr">
        <is>
          <t>CHG_PCT_YTD</t>
        </is>
      </c>
      <c r="E2754" t="inlineStr">
        <is>
          <t>YTD price change %</t>
        </is>
      </c>
      <c r="F2754" s="53">
        <f>_xll.BDP("AEHR US Equity","CHG_PCT_YTD")</f>
        <v/>
      </c>
    </row>
    <row r="2755">
      <c r="A2755" t="inlineStr">
        <is>
          <t>AEHR</t>
        </is>
      </c>
      <c r="B2755" t="inlineStr">
        <is>
          <t>AEHR US Equity</t>
        </is>
      </c>
      <c r="C2755" t="inlineStr">
        <is>
          <t>NET_DEBT_TO_EBITDA</t>
        </is>
      </c>
      <c r="E2755" t="inlineStr">
        <is>
          <t>Net debt / EBITDA</t>
        </is>
      </c>
      <c r="F2755" s="53">
        <f>_xll.BDP("AEHR US Equity","NET_DEBT_TO_EBITDA")</f>
        <v/>
      </c>
    </row>
    <row r="2756">
      <c r="A2756" t="inlineStr">
        <is>
          <t>AEHR</t>
        </is>
      </c>
      <c r="B2756" t="inlineStr">
        <is>
          <t>AEHR US Equity</t>
        </is>
      </c>
      <c r="C2756" t="inlineStr">
        <is>
          <t>RETURN_ON_INV_CAPITAL</t>
        </is>
      </c>
      <c r="E2756" t="inlineStr">
        <is>
          <t>ROIC (LTM)</t>
        </is>
      </c>
      <c r="F2756" s="53">
        <f>_xll.BDP("AEHR US Equity","RETURN_ON_INV_CAPITAL")</f>
        <v/>
      </c>
    </row>
    <row r="2757">
      <c r="A2757" t="inlineStr">
        <is>
          <t>AEHR</t>
        </is>
      </c>
      <c r="B2757" t="inlineStr">
        <is>
          <t>AEHR US Equity</t>
        </is>
      </c>
      <c r="C2757" t="inlineStr">
        <is>
          <t>TRAIL_12M_OPER_INC</t>
        </is>
      </c>
      <c r="E2757" t="inlineStr">
        <is>
          <t>LTM operating income</t>
        </is>
      </c>
      <c r="F2757" s="53">
        <f>_xll.BDP("AEHR US Equity","TRAIL_12M_OPER_INC")</f>
        <v/>
      </c>
    </row>
    <row r="2758">
      <c r="A2758" t="inlineStr">
        <is>
          <t>AEHR</t>
        </is>
      </c>
      <c r="B2758" t="inlineStr">
        <is>
          <t>AEHR US Equity</t>
        </is>
      </c>
      <c r="C2758" t="inlineStr">
        <is>
          <t>TRAIL_12M_EBITDA</t>
        </is>
      </c>
      <c r="E2758" t="inlineStr">
        <is>
          <t>LTM EBITDA</t>
        </is>
      </c>
      <c r="F2758" s="53">
        <f>_xll.BDP("AEHR US Equity","TRAIL_12M_EBITDA")</f>
        <v/>
      </c>
    </row>
    <row r="2759">
      <c r="A2759" t="inlineStr">
        <is>
          <t>AEHR</t>
        </is>
      </c>
      <c r="B2759" t="inlineStr">
        <is>
          <t>AEHR US Equity</t>
        </is>
      </c>
      <c r="C2759" t="inlineStr">
        <is>
          <t>SHORT_AND_LONG_TERM_DEBT</t>
        </is>
      </c>
      <c r="E2759" t="inlineStr">
        <is>
          <t>Total debt</t>
        </is>
      </c>
      <c r="F2759" s="53">
        <f>_xll.BDP("AEHR US Equity","SHORT_AND_LONG_TERM_DEBT")</f>
        <v/>
      </c>
    </row>
    <row r="2760">
      <c r="A2760" t="inlineStr">
        <is>
          <t>AEHR</t>
        </is>
      </c>
      <c r="B2760" t="inlineStr">
        <is>
          <t>AEHR US Equity</t>
        </is>
      </c>
      <c r="C2760" t="inlineStr">
        <is>
          <t>TOTAL_EQUITY</t>
        </is>
      </c>
      <c r="E2760" t="inlineStr">
        <is>
          <t>Total equity</t>
        </is>
      </c>
      <c r="F2760" s="53">
        <f>_xll.BDP("AEHR US Equity","TOTAL_EQUITY")</f>
        <v/>
      </c>
    </row>
    <row r="2761">
      <c r="A2761" t="inlineStr">
        <is>
          <t>AEHR</t>
        </is>
      </c>
      <c r="B2761" t="inlineStr">
        <is>
          <t>AEHR US Equity</t>
        </is>
      </c>
      <c r="C2761" t="inlineStr">
        <is>
          <t>BS_CASH_NEAR_CASH_ITEM</t>
        </is>
      </c>
      <c r="E2761" t="inlineStr">
        <is>
          <t>Cash &amp; equivalents</t>
        </is>
      </c>
      <c r="F2761" s="53">
        <f>_xll.BDP("AEHR US Equity","BS_CASH_NEAR_CASH_ITEM")</f>
        <v/>
      </c>
    </row>
    <row r="2762">
      <c r="A2762" t="inlineStr">
        <is>
          <t>AEHR</t>
        </is>
      </c>
      <c r="B2762" t="inlineStr">
        <is>
          <t>AEHR US Equity</t>
        </is>
      </c>
      <c r="C2762" t="inlineStr">
        <is>
          <t>BEST_EPS</t>
        </is>
      </c>
      <c r="D2762" t="inlineStr">
        <is>
          <t>24Y</t>
        </is>
      </c>
      <c r="E2762" t="inlineStr">
        <is>
          <t>EPS estimate FY2024</t>
        </is>
      </c>
      <c r="F2762" s="53">
        <f>_xll.BDP("AEHR US Equity","BEST_EPS","BEST_FPERIOD_OVERRIDE","24Y")</f>
        <v/>
      </c>
    </row>
    <row r="2763">
      <c r="A2763" t="inlineStr">
        <is>
          <t>AEHR</t>
        </is>
      </c>
      <c r="B2763" t="inlineStr">
        <is>
          <t>AEHR US Equity</t>
        </is>
      </c>
      <c r="C2763" t="inlineStr">
        <is>
          <t>BEST_SALES</t>
        </is>
      </c>
      <c r="D2763" t="inlineStr">
        <is>
          <t>24Y</t>
        </is>
      </c>
      <c r="E2763" t="inlineStr">
        <is>
          <t>Revenue estimate FY2024</t>
        </is>
      </c>
      <c r="F2763" s="53">
        <f>_xll.BDP("AEHR US Equity","BEST_SALES","BEST_FPERIOD_OVERRIDE","24Y")</f>
        <v/>
      </c>
    </row>
    <row r="2764">
      <c r="A2764" t="inlineStr">
        <is>
          <t>AEHR</t>
        </is>
      </c>
      <c r="B2764" t="inlineStr">
        <is>
          <t>AEHR US Equity</t>
        </is>
      </c>
      <c r="C2764" t="inlineStr">
        <is>
          <t>BEST_EBIT</t>
        </is>
      </c>
      <c r="D2764" t="inlineStr">
        <is>
          <t>24Y</t>
        </is>
      </c>
      <c r="E2764" t="inlineStr">
        <is>
          <t>EBIT estimate FY2024</t>
        </is>
      </c>
      <c r="F2764" s="53">
        <f>_xll.BDP("AEHR US Equity","BEST_EBIT","BEST_FPERIOD_OVERRIDE","24Y")</f>
        <v/>
      </c>
    </row>
    <row r="2765">
      <c r="A2765" t="inlineStr">
        <is>
          <t>AEHR</t>
        </is>
      </c>
      <c r="B2765" t="inlineStr">
        <is>
          <t>AEHR US Equity</t>
        </is>
      </c>
      <c r="C2765" t="inlineStr">
        <is>
          <t>BEST_EPS</t>
        </is>
      </c>
      <c r="D2765" t="inlineStr">
        <is>
          <t>25Y</t>
        </is>
      </c>
      <c r="E2765" t="inlineStr">
        <is>
          <t>EPS estimate FY2025</t>
        </is>
      </c>
      <c r="F2765" s="53">
        <f>_xll.BDP("AEHR US Equity","BEST_EPS","BEST_FPERIOD_OVERRIDE","25Y")</f>
        <v/>
      </c>
    </row>
    <row r="2766">
      <c r="A2766" t="inlineStr">
        <is>
          <t>AEHR</t>
        </is>
      </c>
      <c r="B2766" t="inlineStr">
        <is>
          <t>AEHR US Equity</t>
        </is>
      </c>
      <c r="C2766" t="inlineStr">
        <is>
          <t>BEST_SALES</t>
        </is>
      </c>
      <c r="D2766" t="inlineStr">
        <is>
          <t>25Y</t>
        </is>
      </c>
      <c r="E2766" t="inlineStr">
        <is>
          <t>Revenue estimate FY2025</t>
        </is>
      </c>
      <c r="F2766" s="53">
        <f>_xll.BDP("AEHR US Equity","BEST_SALES","BEST_FPERIOD_OVERRIDE","25Y")</f>
        <v/>
      </c>
    </row>
    <row r="2767">
      <c r="A2767" t="inlineStr">
        <is>
          <t>AEHR</t>
        </is>
      </c>
      <c r="B2767" t="inlineStr">
        <is>
          <t>AEHR US Equity</t>
        </is>
      </c>
      <c r="C2767" t="inlineStr">
        <is>
          <t>BEST_EBIT</t>
        </is>
      </c>
      <c r="D2767" t="inlineStr">
        <is>
          <t>25Y</t>
        </is>
      </c>
      <c r="E2767" t="inlineStr">
        <is>
          <t>EBIT estimate FY2025</t>
        </is>
      </c>
      <c r="F2767" s="53">
        <f>_xll.BDP("AEHR US Equity","BEST_EBIT","BEST_FPERIOD_OVERRIDE","25Y")</f>
        <v/>
      </c>
    </row>
    <row r="2768">
      <c r="A2768" t="inlineStr">
        <is>
          <t>AEHR</t>
        </is>
      </c>
      <c r="B2768" t="inlineStr">
        <is>
          <t>AEHR US Equity</t>
        </is>
      </c>
      <c r="C2768" t="inlineStr">
        <is>
          <t>BEST_EPS</t>
        </is>
      </c>
      <c r="D2768" t="inlineStr">
        <is>
          <t>26Y</t>
        </is>
      </c>
      <c r="E2768" t="inlineStr">
        <is>
          <t>EPS estimate FY2026</t>
        </is>
      </c>
      <c r="F2768" s="53">
        <f>_xll.BDP("AEHR US Equity","BEST_EPS","BEST_FPERIOD_OVERRIDE","26Y")</f>
        <v/>
      </c>
    </row>
    <row r="2769">
      <c r="A2769" t="inlineStr">
        <is>
          <t>AEHR</t>
        </is>
      </c>
      <c r="B2769" t="inlineStr">
        <is>
          <t>AEHR US Equity</t>
        </is>
      </c>
      <c r="C2769" t="inlineStr">
        <is>
          <t>BEST_SALES</t>
        </is>
      </c>
      <c r="D2769" t="inlineStr">
        <is>
          <t>26Y</t>
        </is>
      </c>
      <c r="E2769" t="inlineStr">
        <is>
          <t>Revenue estimate FY2026</t>
        </is>
      </c>
      <c r="F2769" s="53">
        <f>_xll.BDP("AEHR US Equity","BEST_SALES","BEST_FPERIOD_OVERRIDE","26Y")</f>
        <v/>
      </c>
    </row>
    <row r="2770">
      <c r="A2770" t="inlineStr">
        <is>
          <t>AEHR</t>
        </is>
      </c>
      <c r="B2770" t="inlineStr">
        <is>
          <t>AEHR US Equity</t>
        </is>
      </c>
      <c r="C2770" t="inlineStr">
        <is>
          <t>BEST_EBIT</t>
        </is>
      </c>
      <c r="D2770" t="inlineStr">
        <is>
          <t>26Y</t>
        </is>
      </c>
      <c r="E2770" t="inlineStr">
        <is>
          <t>EBIT estimate FY2026</t>
        </is>
      </c>
      <c r="F2770" s="53">
        <f>_xll.BDP("AEHR US Equity","BEST_EBIT","BEST_FPERIOD_OVERRIDE","26Y")</f>
        <v/>
      </c>
    </row>
    <row r="2771">
      <c r="A2771" t="inlineStr">
        <is>
          <t>AEHR</t>
        </is>
      </c>
      <c r="B2771" t="inlineStr">
        <is>
          <t>AEHR US Equity</t>
        </is>
      </c>
      <c r="C2771" t="inlineStr">
        <is>
          <t>BEST_EPS</t>
        </is>
      </c>
      <c r="D2771" t="inlineStr">
        <is>
          <t>27Y</t>
        </is>
      </c>
      <c r="E2771" t="inlineStr">
        <is>
          <t>EPS estimate FY2027</t>
        </is>
      </c>
      <c r="F2771" s="53">
        <f>_xll.BDP("AEHR US Equity","BEST_EPS","BEST_FPERIOD_OVERRIDE","27Y")</f>
        <v/>
      </c>
    </row>
    <row r="2772">
      <c r="A2772" t="inlineStr">
        <is>
          <t>AEHR</t>
        </is>
      </c>
      <c r="B2772" t="inlineStr">
        <is>
          <t>AEHR US Equity</t>
        </is>
      </c>
      <c r="C2772" t="inlineStr">
        <is>
          <t>BEST_SALES</t>
        </is>
      </c>
      <c r="D2772" t="inlineStr">
        <is>
          <t>27Y</t>
        </is>
      </c>
      <c r="E2772" t="inlineStr">
        <is>
          <t>Revenue estimate FY2027</t>
        </is>
      </c>
      <c r="F2772" s="53">
        <f>_xll.BDP("AEHR US Equity","BEST_SALES","BEST_FPERIOD_OVERRIDE","27Y")</f>
        <v/>
      </c>
    </row>
    <row r="2773">
      <c r="A2773" t="inlineStr">
        <is>
          <t>AEHR</t>
        </is>
      </c>
      <c r="B2773" t="inlineStr">
        <is>
          <t>AEHR US Equity</t>
        </is>
      </c>
      <c r="C2773" t="inlineStr">
        <is>
          <t>BEST_EBIT</t>
        </is>
      </c>
      <c r="D2773" t="inlineStr">
        <is>
          <t>27Y</t>
        </is>
      </c>
      <c r="E2773" t="inlineStr">
        <is>
          <t>EBIT estimate FY2027</t>
        </is>
      </c>
      <c r="F2773" s="53">
        <f>_xll.BDP("AEHR US Equity","BEST_EBIT","BEST_FPERIOD_OVERRIDE","27Y")</f>
        <v/>
      </c>
    </row>
    <row r="2774">
      <c r="A2774" t="inlineStr">
        <is>
          <t>AEHR</t>
        </is>
      </c>
      <c r="B2774" t="inlineStr">
        <is>
          <t>AEHR US Equity</t>
        </is>
      </c>
      <c r="C2774" t="inlineStr">
        <is>
          <t>BEST_EPS</t>
        </is>
      </c>
      <c r="D2774" t="inlineStr">
        <is>
          <t>28Y</t>
        </is>
      </c>
      <c r="E2774" t="inlineStr">
        <is>
          <t>EPS estimate FY2028</t>
        </is>
      </c>
      <c r="F2774" s="53">
        <f>_xll.BDP("AEHR US Equity","BEST_EPS","BEST_FPERIOD_OVERRIDE","28Y")</f>
        <v/>
      </c>
    </row>
    <row r="2775">
      <c r="A2775" t="inlineStr">
        <is>
          <t>AEHR</t>
        </is>
      </c>
      <c r="B2775" t="inlineStr">
        <is>
          <t>AEHR US Equity</t>
        </is>
      </c>
      <c r="C2775" t="inlineStr">
        <is>
          <t>BEST_SALES</t>
        </is>
      </c>
      <c r="D2775" t="inlineStr">
        <is>
          <t>28Y</t>
        </is>
      </c>
      <c r="E2775" t="inlineStr">
        <is>
          <t>Revenue estimate FY2028</t>
        </is>
      </c>
      <c r="F2775" s="53">
        <f>_xll.BDP("AEHR US Equity","BEST_SALES","BEST_FPERIOD_OVERRIDE","28Y")</f>
        <v/>
      </c>
    </row>
    <row r="2776">
      <c r="A2776" t="inlineStr">
        <is>
          <t>AEHR</t>
        </is>
      </c>
      <c r="B2776" t="inlineStr">
        <is>
          <t>AEHR US Equity</t>
        </is>
      </c>
      <c r="C2776" t="inlineStr">
        <is>
          <t>BEST_EBIT</t>
        </is>
      </c>
      <c r="D2776" t="inlineStr">
        <is>
          <t>28Y</t>
        </is>
      </c>
      <c r="E2776" t="inlineStr">
        <is>
          <t>EBIT estimate FY2028</t>
        </is>
      </c>
      <c r="F2776" s="53">
        <f>_xll.BDP("AEHR US Equity","BEST_EBIT","BEST_FPERIOD_OVERRIDE","28Y")</f>
        <v/>
      </c>
    </row>
    <row r="2777">
      <c r="A2777" t="inlineStr">
        <is>
          <t>VRT</t>
        </is>
      </c>
      <c r="B2777" t="inlineStr">
        <is>
          <t>VRT US Equity</t>
        </is>
      </c>
      <c r="C2777" t="inlineStr">
        <is>
          <t>PX_LAST</t>
        </is>
      </c>
      <c r="E2777" t="inlineStr">
        <is>
          <t>Last price</t>
        </is>
      </c>
      <c r="F2777" s="53">
        <f>_xll.BDP("VRT US Equity","PX_LAST")</f>
        <v/>
      </c>
    </row>
    <row r="2778">
      <c r="A2778" t="inlineStr">
        <is>
          <t>VRT</t>
        </is>
      </c>
      <c r="B2778" t="inlineStr">
        <is>
          <t>VRT US Equity</t>
        </is>
      </c>
      <c r="C2778" t="inlineStr">
        <is>
          <t>CUR_MKT_CAP</t>
        </is>
      </c>
      <c r="E2778" t="inlineStr">
        <is>
          <t>Market cap (raw)</t>
        </is>
      </c>
      <c r="F2778" s="53">
        <f>_xll.BDP("VRT US Equity","CUR_MKT_CAP")</f>
        <v/>
      </c>
    </row>
    <row r="2779">
      <c r="A2779" t="inlineStr">
        <is>
          <t>VRT</t>
        </is>
      </c>
      <c r="B2779" t="inlineStr">
        <is>
          <t>VRT US Equity</t>
        </is>
      </c>
      <c r="C2779" t="inlineStr">
        <is>
          <t>CHG_PCT_YTD</t>
        </is>
      </c>
      <c r="E2779" t="inlineStr">
        <is>
          <t>YTD price change %</t>
        </is>
      </c>
      <c r="F2779" s="53">
        <f>_xll.BDP("VRT US Equity","CHG_PCT_YTD")</f>
        <v/>
      </c>
    </row>
    <row r="2780">
      <c r="A2780" t="inlineStr">
        <is>
          <t>VRT</t>
        </is>
      </c>
      <c r="B2780" t="inlineStr">
        <is>
          <t>VRT US Equity</t>
        </is>
      </c>
      <c r="C2780" t="inlineStr">
        <is>
          <t>NET_DEBT_TO_EBITDA</t>
        </is>
      </c>
      <c r="E2780" t="inlineStr">
        <is>
          <t>Net debt / EBITDA</t>
        </is>
      </c>
      <c r="F2780" s="53">
        <f>_xll.BDP("VRT US Equity","NET_DEBT_TO_EBITDA")</f>
        <v/>
      </c>
    </row>
    <row r="2781">
      <c r="A2781" t="inlineStr">
        <is>
          <t>VRT</t>
        </is>
      </c>
      <c r="B2781" t="inlineStr">
        <is>
          <t>VRT US Equity</t>
        </is>
      </c>
      <c r="C2781" t="inlineStr">
        <is>
          <t>RETURN_ON_INV_CAPITAL</t>
        </is>
      </c>
      <c r="E2781" t="inlineStr">
        <is>
          <t>ROIC (LTM)</t>
        </is>
      </c>
      <c r="F2781" s="53">
        <f>_xll.BDP("VRT US Equity","RETURN_ON_INV_CAPITAL")</f>
        <v/>
      </c>
    </row>
    <row r="2782">
      <c r="A2782" t="inlineStr">
        <is>
          <t>VRT</t>
        </is>
      </c>
      <c r="B2782" t="inlineStr">
        <is>
          <t>VRT US Equity</t>
        </is>
      </c>
      <c r="C2782" t="inlineStr">
        <is>
          <t>TRAIL_12M_OPER_INC</t>
        </is>
      </c>
      <c r="E2782" t="inlineStr">
        <is>
          <t>LTM operating income</t>
        </is>
      </c>
      <c r="F2782" s="53">
        <f>_xll.BDP("VRT US Equity","TRAIL_12M_OPER_INC")</f>
        <v/>
      </c>
    </row>
    <row r="2783">
      <c r="A2783" t="inlineStr">
        <is>
          <t>VRT</t>
        </is>
      </c>
      <c r="B2783" t="inlineStr">
        <is>
          <t>VRT US Equity</t>
        </is>
      </c>
      <c r="C2783" t="inlineStr">
        <is>
          <t>TRAIL_12M_EBITDA</t>
        </is>
      </c>
      <c r="E2783" t="inlineStr">
        <is>
          <t>LTM EBITDA</t>
        </is>
      </c>
      <c r="F2783" s="53">
        <f>_xll.BDP("VRT US Equity","TRAIL_12M_EBITDA")</f>
        <v/>
      </c>
    </row>
    <row r="2784">
      <c r="A2784" t="inlineStr">
        <is>
          <t>VRT</t>
        </is>
      </c>
      <c r="B2784" t="inlineStr">
        <is>
          <t>VRT US Equity</t>
        </is>
      </c>
      <c r="C2784" t="inlineStr">
        <is>
          <t>SHORT_AND_LONG_TERM_DEBT</t>
        </is>
      </c>
      <c r="E2784" t="inlineStr">
        <is>
          <t>Total debt</t>
        </is>
      </c>
      <c r="F2784" s="53">
        <f>_xll.BDP("VRT US Equity","SHORT_AND_LONG_TERM_DEBT")</f>
        <v/>
      </c>
    </row>
    <row r="2785">
      <c r="A2785" t="inlineStr">
        <is>
          <t>VRT</t>
        </is>
      </c>
      <c r="B2785" t="inlineStr">
        <is>
          <t>VRT US Equity</t>
        </is>
      </c>
      <c r="C2785" t="inlineStr">
        <is>
          <t>TOTAL_EQUITY</t>
        </is>
      </c>
      <c r="E2785" t="inlineStr">
        <is>
          <t>Total equity</t>
        </is>
      </c>
      <c r="F2785" s="53">
        <f>_xll.BDP("VRT US Equity","TOTAL_EQUITY")</f>
        <v/>
      </c>
    </row>
    <row r="2786">
      <c r="A2786" t="inlineStr">
        <is>
          <t>VRT</t>
        </is>
      </c>
      <c r="B2786" t="inlineStr">
        <is>
          <t>VRT US Equity</t>
        </is>
      </c>
      <c r="C2786" t="inlineStr">
        <is>
          <t>BS_CASH_NEAR_CASH_ITEM</t>
        </is>
      </c>
      <c r="E2786" t="inlineStr">
        <is>
          <t>Cash &amp; equivalents</t>
        </is>
      </c>
      <c r="F2786" s="53">
        <f>_xll.BDP("VRT US Equity","BS_CASH_NEAR_CASH_ITEM")</f>
        <v/>
      </c>
    </row>
    <row r="2787">
      <c r="A2787" t="inlineStr">
        <is>
          <t>VRT</t>
        </is>
      </c>
      <c r="B2787" t="inlineStr">
        <is>
          <t>VRT US Equity</t>
        </is>
      </c>
      <c r="C2787" t="inlineStr">
        <is>
          <t>BEST_EPS</t>
        </is>
      </c>
      <c r="D2787" t="inlineStr">
        <is>
          <t>24Y</t>
        </is>
      </c>
      <c r="E2787" t="inlineStr">
        <is>
          <t>EPS estimate FY2024</t>
        </is>
      </c>
      <c r="F2787" s="53">
        <f>_xll.BDP("VRT US Equity","BEST_EPS","BEST_FPERIOD_OVERRIDE","24Y")</f>
        <v/>
      </c>
    </row>
    <row r="2788">
      <c r="A2788" t="inlineStr">
        <is>
          <t>VRT</t>
        </is>
      </c>
      <c r="B2788" t="inlineStr">
        <is>
          <t>VRT US Equity</t>
        </is>
      </c>
      <c r="C2788" t="inlineStr">
        <is>
          <t>BEST_SALES</t>
        </is>
      </c>
      <c r="D2788" t="inlineStr">
        <is>
          <t>24Y</t>
        </is>
      </c>
      <c r="E2788" t="inlineStr">
        <is>
          <t>Revenue estimate FY2024</t>
        </is>
      </c>
      <c r="F2788" s="53">
        <f>_xll.BDP("VRT US Equity","BEST_SALES","BEST_FPERIOD_OVERRIDE","24Y")</f>
        <v/>
      </c>
    </row>
    <row r="2789">
      <c r="A2789" t="inlineStr">
        <is>
          <t>VRT</t>
        </is>
      </c>
      <c r="B2789" t="inlineStr">
        <is>
          <t>VRT US Equity</t>
        </is>
      </c>
      <c r="C2789" t="inlineStr">
        <is>
          <t>BEST_EBIT</t>
        </is>
      </c>
      <c r="D2789" t="inlineStr">
        <is>
          <t>24Y</t>
        </is>
      </c>
      <c r="E2789" t="inlineStr">
        <is>
          <t>EBIT estimate FY2024</t>
        </is>
      </c>
      <c r="F2789" s="53">
        <f>_xll.BDP("VRT US Equity","BEST_EBIT","BEST_FPERIOD_OVERRIDE","24Y")</f>
        <v/>
      </c>
    </row>
    <row r="2790">
      <c r="A2790" t="inlineStr">
        <is>
          <t>VRT</t>
        </is>
      </c>
      <c r="B2790" t="inlineStr">
        <is>
          <t>VRT US Equity</t>
        </is>
      </c>
      <c r="C2790" t="inlineStr">
        <is>
          <t>BEST_EPS</t>
        </is>
      </c>
      <c r="D2790" t="inlineStr">
        <is>
          <t>25Y</t>
        </is>
      </c>
      <c r="E2790" t="inlineStr">
        <is>
          <t>EPS estimate FY2025</t>
        </is>
      </c>
      <c r="F2790" s="53">
        <f>_xll.BDP("VRT US Equity","BEST_EPS","BEST_FPERIOD_OVERRIDE","25Y")</f>
        <v/>
      </c>
    </row>
    <row r="2791">
      <c r="A2791" t="inlineStr">
        <is>
          <t>VRT</t>
        </is>
      </c>
      <c r="B2791" t="inlineStr">
        <is>
          <t>VRT US Equity</t>
        </is>
      </c>
      <c r="C2791" t="inlineStr">
        <is>
          <t>BEST_SALES</t>
        </is>
      </c>
      <c r="D2791" t="inlineStr">
        <is>
          <t>25Y</t>
        </is>
      </c>
      <c r="E2791" t="inlineStr">
        <is>
          <t>Revenue estimate FY2025</t>
        </is>
      </c>
      <c r="F2791" s="53">
        <f>_xll.BDP("VRT US Equity","BEST_SALES","BEST_FPERIOD_OVERRIDE","25Y")</f>
        <v/>
      </c>
    </row>
    <row r="2792">
      <c r="A2792" t="inlineStr">
        <is>
          <t>VRT</t>
        </is>
      </c>
      <c r="B2792" t="inlineStr">
        <is>
          <t>VRT US Equity</t>
        </is>
      </c>
      <c r="C2792" t="inlineStr">
        <is>
          <t>BEST_EBIT</t>
        </is>
      </c>
      <c r="D2792" t="inlineStr">
        <is>
          <t>25Y</t>
        </is>
      </c>
      <c r="E2792" t="inlineStr">
        <is>
          <t>EBIT estimate FY2025</t>
        </is>
      </c>
      <c r="F2792" s="53">
        <f>_xll.BDP("VRT US Equity","BEST_EBIT","BEST_FPERIOD_OVERRIDE","25Y")</f>
        <v/>
      </c>
    </row>
    <row r="2793">
      <c r="A2793" t="inlineStr">
        <is>
          <t>VRT</t>
        </is>
      </c>
      <c r="B2793" t="inlineStr">
        <is>
          <t>VRT US Equity</t>
        </is>
      </c>
      <c r="C2793" t="inlineStr">
        <is>
          <t>BEST_EPS</t>
        </is>
      </c>
      <c r="D2793" t="inlineStr">
        <is>
          <t>26Y</t>
        </is>
      </c>
      <c r="E2793" t="inlineStr">
        <is>
          <t>EPS estimate FY2026</t>
        </is>
      </c>
      <c r="F2793" s="53">
        <f>_xll.BDP("VRT US Equity","BEST_EPS","BEST_FPERIOD_OVERRIDE","26Y")</f>
        <v/>
      </c>
    </row>
    <row r="2794">
      <c r="A2794" t="inlineStr">
        <is>
          <t>VRT</t>
        </is>
      </c>
      <c r="B2794" t="inlineStr">
        <is>
          <t>VRT US Equity</t>
        </is>
      </c>
      <c r="C2794" t="inlineStr">
        <is>
          <t>BEST_SALES</t>
        </is>
      </c>
      <c r="D2794" t="inlineStr">
        <is>
          <t>26Y</t>
        </is>
      </c>
      <c r="E2794" t="inlineStr">
        <is>
          <t>Revenue estimate FY2026</t>
        </is>
      </c>
      <c r="F2794" s="53">
        <f>_xll.BDP("VRT US Equity","BEST_SALES","BEST_FPERIOD_OVERRIDE","26Y")</f>
        <v/>
      </c>
    </row>
    <row r="2795">
      <c r="A2795" t="inlineStr">
        <is>
          <t>VRT</t>
        </is>
      </c>
      <c r="B2795" t="inlineStr">
        <is>
          <t>VRT US Equity</t>
        </is>
      </c>
      <c r="C2795" t="inlineStr">
        <is>
          <t>BEST_EBIT</t>
        </is>
      </c>
      <c r="D2795" t="inlineStr">
        <is>
          <t>26Y</t>
        </is>
      </c>
      <c r="E2795" t="inlineStr">
        <is>
          <t>EBIT estimate FY2026</t>
        </is>
      </c>
      <c r="F2795" s="53">
        <f>_xll.BDP("VRT US Equity","BEST_EBIT","BEST_FPERIOD_OVERRIDE","26Y")</f>
        <v/>
      </c>
    </row>
    <row r="2796">
      <c r="A2796" t="inlineStr">
        <is>
          <t>VRT</t>
        </is>
      </c>
      <c r="B2796" t="inlineStr">
        <is>
          <t>VRT US Equity</t>
        </is>
      </c>
      <c r="C2796" t="inlineStr">
        <is>
          <t>BEST_EPS</t>
        </is>
      </c>
      <c r="D2796" t="inlineStr">
        <is>
          <t>27Y</t>
        </is>
      </c>
      <c r="E2796" t="inlineStr">
        <is>
          <t>EPS estimate FY2027</t>
        </is>
      </c>
      <c r="F2796" s="53">
        <f>_xll.BDP("VRT US Equity","BEST_EPS","BEST_FPERIOD_OVERRIDE","27Y")</f>
        <v/>
      </c>
    </row>
    <row r="2797">
      <c r="A2797" t="inlineStr">
        <is>
          <t>VRT</t>
        </is>
      </c>
      <c r="B2797" t="inlineStr">
        <is>
          <t>VRT US Equity</t>
        </is>
      </c>
      <c r="C2797" t="inlineStr">
        <is>
          <t>BEST_SALES</t>
        </is>
      </c>
      <c r="D2797" t="inlineStr">
        <is>
          <t>27Y</t>
        </is>
      </c>
      <c r="E2797" t="inlineStr">
        <is>
          <t>Revenue estimate FY2027</t>
        </is>
      </c>
      <c r="F2797" s="53">
        <f>_xll.BDP("VRT US Equity","BEST_SALES","BEST_FPERIOD_OVERRIDE","27Y")</f>
        <v/>
      </c>
    </row>
    <row r="2798">
      <c r="A2798" t="inlineStr">
        <is>
          <t>VRT</t>
        </is>
      </c>
      <c r="B2798" t="inlineStr">
        <is>
          <t>VRT US Equity</t>
        </is>
      </c>
      <c r="C2798" t="inlineStr">
        <is>
          <t>BEST_EBIT</t>
        </is>
      </c>
      <c r="D2798" t="inlineStr">
        <is>
          <t>27Y</t>
        </is>
      </c>
      <c r="E2798" t="inlineStr">
        <is>
          <t>EBIT estimate FY2027</t>
        </is>
      </c>
      <c r="F2798" s="53">
        <f>_xll.BDP("VRT US Equity","BEST_EBIT","BEST_FPERIOD_OVERRIDE","27Y")</f>
        <v/>
      </c>
    </row>
    <row r="2799">
      <c r="A2799" t="inlineStr">
        <is>
          <t>VRT</t>
        </is>
      </c>
      <c r="B2799" t="inlineStr">
        <is>
          <t>VRT US Equity</t>
        </is>
      </c>
      <c r="C2799" t="inlineStr">
        <is>
          <t>BEST_EPS</t>
        </is>
      </c>
      <c r="D2799" t="inlineStr">
        <is>
          <t>28Y</t>
        </is>
      </c>
      <c r="E2799" t="inlineStr">
        <is>
          <t>EPS estimate FY2028</t>
        </is>
      </c>
      <c r="F2799" s="53">
        <f>_xll.BDP("VRT US Equity","BEST_EPS","BEST_FPERIOD_OVERRIDE","28Y")</f>
        <v/>
      </c>
    </row>
    <row r="2800">
      <c r="A2800" t="inlineStr">
        <is>
          <t>VRT</t>
        </is>
      </c>
      <c r="B2800" t="inlineStr">
        <is>
          <t>VRT US Equity</t>
        </is>
      </c>
      <c r="C2800" t="inlineStr">
        <is>
          <t>BEST_SALES</t>
        </is>
      </c>
      <c r="D2800" t="inlineStr">
        <is>
          <t>28Y</t>
        </is>
      </c>
      <c r="E2800" t="inlineStr">
        <is>
          <t>Revenue estimate FY2028</t>
        </is>
      </c>
      <c r="F2800" s="53">
        <f>_xll.BDP("VRT US Equity","BEST_SALES","BEST_FPERIOD_OVERRIDE","28Y")</f>
        <v/>
      </c>
    </row>
    <row r="2801">
      <c r="A2801" t="inlineStr">
        <is>
          <t>VRT</t>
        </is>
      </c>
      <c r="B2801" t="inlineStr">
        <is>
          <t>VRT US Equity</t>
        </is>
      </c>
      <c r="C2801" t="inlineStr">
        <is>
          <t>BEST_EBIT</t>
        </is>
      </c>
      <c r="D2801" t="inlineStr">
        <is>
          <t>28Y</t>
        </is>
      </c>
      <c r="E2801" t="inlineStr">
        <is>
          <t>EBIT estimate FY2028</t>
        </is>
      </c>
      <c r="F2801" s="53">
        <f>_xll.BDP("VRT US Equity","BEST_EBIT","BEST_FPERIOD_OVERRIDE","28Y")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71"/>
  <sheetViews>
    <sheetView tabSelected="1" zoomScale="70" zoomScaleNormal="70" workbookViewId="0">
      <selection activeCell="A1" sqref="A1"/>
    </sheetView>
  </sheetViews>
  <sheetFormatPr baseColWidth="8" defaultRowHeight="14.25"/>
  <cols>
    <col width="9.53125" customWidth="1" min="1" max="1"/>
    <col hidden="1" outlineLevel="1" width="14.33203125" customWidth="1" min="2" max="2"/>
    <col collapsed="1" width="18.19921875" bestFit="1" customWidth="1" min="3" max="3"/>
    <col width="8.33203125" bestFit="1" customWidth="1" min="4" max="4"/>
    <col width="8.59765625" customWidth="1" min="5" max="15"/>
    <col width="3.6640625" customWidth="1" min="16" max="16"/>
    <col width="10" customWidth="1" min="17" max="17"/>
    <col width="3.3984375" customWidth="1" min="18" max="18"/>
    <col width="4.6640625" customWidth="1" min="19" max="19"/>
    <col width="7.59765625" customWidth="1" min="20" max="20"/>
    <col width="8.59765625" customWidth="1" min="21" max="34"/>
    <col width="5.19921875" bestFit="1" customWidth="1" min="36" max="40"/>
    <col width="22.73046875" bestFit="1" customWidth="1" min="41" max="41"/>
    <col width="10.19921875" bestFit="1" customWidth="1" min="42" max="46"/>
    <col width="6.1328125" bestFit="1" customWidth="1" min="47" max="47"/>
    <col width="10.19921875" bestFit="1" customWidth="1" min="48" max="50"/>
    <col width="8.796875" bestFit="1" customWidth="1" min="51" max="52"/>
    <col width="8.9296875" bestFit="1" customWidth="1" min="53" max="53"/>
    <col width="9.33203125" bestFit="1" customWidth="1" min="54" max="54"/>
    <col width="7.86328125" bestFit="1" customWidth="1" min="55" max="55"/>
    <col width="7" bestFit="1" customWidth="1" min="56" max="56"/>
    <col width="14.1328125" bestFit="1" customWidth="1" min="57" max="57"/>
    <col width="5" bestFit="1" customWidth="1" min="63" max="70"/>
  </cols>
  <sheetData>
    <row r="1" ht="15.4" customHeight="1">
      <c r="C1" t="inlineStr"/>
      <c r="F1" s="1" t="inlineStr">
        <is>
          <t>PE</t>
        </is>
      </c>
      <c r="G1" s="1" t="n"/>
      <c r="H1" s="1" t="n"/>
      <c r="J1" s="1" t="inlineStr">
        <is>
          <t>2026 estimates</t>
        </is>
      </c>
      <c r="K1" s="1" t="n"/>
      <c r="L1" s="1" t="n"/>
      <c r="M1" s="1" t="inlineStr">
        <is>
          <t>Growth: 2025-2028</t>
        </is>
      </c>
      <c r="N1" s="1" t="n"/>
      <c r="O1" s="2" t="n"/>
      <c r="T1" s="2" t="inlineStr">
        <is>
          <t>Ratio: 2026 PE vs</t>
        </is>
      </c>
      <c r="AB1" s="1" t="inlineStr">
        <is>
          <t>LTM</t>
        </is>
      </c>
      <c r="AC1" s="1" t="n"/>
      <c r="AD1" s="1" t="n"/>
      <c r="AE1" s="1" t="n"/>
      <c r="AF1" s="1" t="n"/>
      <c r="AG1" s="1" t="n"/>
      <c r="AH1" s="2" t="inlineStr">
        <is>
          <t>BBG</t>
        </is>
      </c>
      <c r="AJ1" s="2" t="inlineStr">
        <is>
          <t>EPS</t>
        </is>
      </c>
      <c r="AP1" s="2" t="inlineStr">
        <is>
          <t>Rev</t>
        </is>
      </c>
      <c r="AQ1" s="2" t="n"/>
      <c r="AR1" s="2" t="n"/>
      <c r="AV1" s="2" t="inlineStr">
        <is>
          <t>EBIT</t>
        </is>
      </c>
      <c r="AW1" s="2" t="n"/>
      <c r="AX1" s="2" t="n"/>
      <c r="BB1" t="inlineStr">
        <is>
          <t>EV</t>
        </is>
      </c>
      <c r="BC1" t="inlineStr">
        <is>
          <t>Net Debt</t>
        </is>
      </c>
      <c r="BD1" t="inlineStr">
        <is>
          <t>Mkt cap</t>
        </is>
      </c>
      <c r="BE1" t="inlineStr">
        <is>
          <t>LTM EBITDA</t>
        </is>
      </c>
    </row>
    <row r="2" ht="15.4" customHeight="1">
      <c r="C2" t="inlineStr">
        <is>
          <t>FYE</t>
        </is>
      </c>
      <c r="D2" s="2" t="inlineStr">
        <is>
          <t>Mkt cap</t>
        </is>
      </c>
      <c r="E2" s="3" t="inlineStr">
        <is>
          <t>Price</t>
        </is>
      </c>
      <c r="F2" s="4" t="n">
        <v>2026</v>
      </c>
      <c r="G2" s="4" t="n">
        <v>2027</v>
      </c>
      <c r="H2" s="4" t="n">
        <v>2028</v>
      </c>
      <c r="I2" s="3" t="inlineStr">
        <is>
          <t>Net levg</t>
        </is>
      </c>
      <c r="J2" s="1" t="inlineStr">
        <is>
          <t>Revenue</t>
        </is>
      </c>
      <c r="K2" s="1" t="inlineStr">
        <is>
          <t>Op margin</t>
        </is>
      </c>
      <c r="L2" s="1" t="inlineStr">
        <is>
          <t>ROIC</t>
        </is>
      </c>
      <c r="M2" s="1" t="inlineStr">
        <is>
          <t>Rev</t>
        </is>
      </c>
      <c r="N2" s="1" t="inlineStr">
        <is>
          <t>Op inc</t>
        </is>
      </c>
      <c r="O2" s="1" t="inlineStr">
        <is>
          <t>EPS</t>
        </is>
      </c>
      <c r="P2" s="5" t="n"/>
      <c r="Q2" s="1" t="inlineStr">
        <is>
          <t>YTD px chg</t>
        </is>
      </c>
      <c r="R2" s="5" t="n"/>
      <c r="S2" s="5" t="n"/>
      <c r="T2" s="6" t="inlineStr">
        <is>
          <t>25-'28 EPS gwth</t>
        </is>
      </c>
      <c r="V2" t="inlineStr">
        <is>
          <t>FYE:</t>
        </is>
      </c>
      <c r="AB2" s="1" t="inlineStr">
        <is>
          <t>Op inc</t>
        </is>
      </c>
      <c r="AC2" s="1" t="inlineStr">
        <is>
          <t>Debt</t>
        </is>
      </c>
      <c r="AD2" s="1" t="inlineStr">
        <is>
          <t>Equity</t>
        </is>
      </c>
      <c r="AE2" s="1" t="inlineStr">
        <is>
          <t>Cash</t>
        </is>
      </c>
      <c r="AF2" s="1" t="inlineStr">
        <is>
          <t>LTI</t>
        </is>
      </c>
      <c r="AG2" s="1" t="inlineStr">
        <is>
          <t>Total capital</t>
        </is>
      </c>
      <c r="AH2" s="1" t="inlineStr">
        <is>
          <t>ROIC</t>
        </is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P2" t="n">
        <v>2024</v>
      </c>
      <c r="AQ2" t="n">
        <v>2025</v>
      </c>
      <c r="AR2" t="n">
        <v>2026</v>
      </c>
      <c r="AS2" t="n">
        <v>2027</v>
      </c>
      <c r="AT2" t="n">
        <v>2028</v>
      </c>
      <c r="AV2" t="n">
        <v>2024</v>
      </c>
      <c r="AW2" t="n">
        <v>2025</v>
      </c>
      <c r="AX2" t="n">
        <v>2026</v>
      </c>
      <c r="AY2" t="n">
        <v>2027</v>
      </c>
      <c r="AZ2" t="n">
        <v>2028</v>
      </c>
    </row>
    <row r="3">
      <c r="A3" s="7" t="inlineStr">
        <is>
          <t>Large-cap technology</t>
        </is>
      </c>
      <c r="B3" s="8" t="n"/>
      <c r="C3" s="9" t="inlineStr">
        <is>
          <t xml:space="preserve"> </t>
        </is>
      </c>
      <c r="D3" s="9" t="n"/>
      <c r="E3" s="63" t="n"/>
      <c r="F3" s="64" t="n"/>
      <c r="G3" s="64" t="n"/>
      <c r="H3" s="64" t="n"/>
      <c r="I3" s="65" t="n"/>
      <c r="J3" s="66" t="n"/>
      <c r="K3" s="66" t="n"/>
      <c r="L3" s="66" t="n"/>
      <c r="M3" s="66" t="n"/>
      <c r="N3" s="66" t="n"/>
      <c r="O3" s="66" t="n"/>
      <c r="P3" s="8" t="n"/>
      <c r="Q3" s="8" t="n"/>
      <c r="R3" s="8" t="n"/>
      <c r="S3" s="8" t="n"/>
      <c r="T3" s="14" t="n"/>
      <c r="AB3" s="15" t="n"/>
      <c r="AC3" s="15" t="n"/>
      <c r="AD3" s="15" t="n"/>
      <c r="AE3" s="15" t="n"/>
      <c r="AF3" s="16" t="n"/>
      <c r="AG3" s="15" t="n"/>
      <c r="AH3" s="67" t="n"/>
      <c r="AJ3" s="15" t="n"/>
      <c r="AK3" s="15" t="n"/>
      <c r="AL3" s="15" t="n"/>
      <c r="AM3" s="15" t="n"/>
      <c r="AN3" s="15" t="n"/>
      <c r="AP3" s="15" t="n"/>
      <c r="AQ3" s="15" t="n"/>
      <c r="AR3" s="15" t="n"/>
      <c r="AS3" s="15" t="n"/>
      <c r="AT3" s="15" t="n"/>
      <c r="AV3" s="15" t="n"/>
      <c r="AW3" s="15" t="n"/>
      <c r="AX3" s="15" t="n"/>
      <c r="AY3" s="15" t="n"/>
      <c r="AZ3" s="15" t="n"/>
      <c r="BB3" s="68" t="n"/>
      <c r="BC3" s="68" t="n"/>
      <c r="BD3" s="15" t="n"/>
      <c r="BE3" s="16" t="n"/>
    </row>
    <row r="4">
      <c r="A4" s="19" t="inlineStr">
        <is>
          <t>META</t>
        </is>
      </c>
      <c r="B4">
        <f>A4&amp;" US Equity"</f>
        <v/>
      </c>
      <c r="C4" s="15" t="inlineStr">
        <is>
          <t>Dec</t>
        </is>
      </c>
      <c r="D4" s="93">
        <f>BDP("=A4&amp;" US Equity"","CUR_MKT_CAP")/1000000000</f>
        <v/>
      </c>
      <c r="E4" s="94">
        <f>BDP("=A4&amp;" US Equity"","PX_LAST")</f>
        <v/>
      </c>
      <c r="F4" s="95">
        <f>IF(BDP("=A4&amp;" US Equity"","BEST_EPS","BEST_FPERIOD_OVERRIDE","26Y")&lt;&gt;0,$E$4/BDP("=A4&amp;" US Equity"","BEST_EPS","BEST_FPERIOD_OVERRIDE","26Y"),"")</f>
        <v/>
      </c>
      <c r="G4" s="95">
        <f>IF(BDP("=A4&amp;" US Equity"","BEST_EPS","BEST_FPERIOD_OVERRIDE","27Y")&lt;&gt;0,$E$4/BDP("=A4&amp;" US Equity"","BEST_EPS","BEST_FPERIOD_OVERRIDE","27Y"),"")</f>
        <v/>
      </c>
      <c r="H4" s="95">
        <f>IF(BDP("=A4&amp;" US Equity"","BEST_EPS","BEST_FPERIOD_OVERRIDE","28Y")&lt;&gt;0,$E$4/BDP("=A4&amp;" US Equity"","BEST_EPS","BEST_FPERIOD_OVERRIDE","28Y"),"")</f>
        <v/>
      </c>
      <c r="I4" s="96">
        <f>BDP("=A4&amp;" US Equity"","NET_DEBT_TO_EBITDA")</f>
        <v/>
      </c>
      <c r="J4" s="93">
        <f>BDP("=A4&amp;" US Equity"","BEST_SALES","BEST_FPERIOD_OVERRIDE","26Y")/1000</f>
        <v/>
      </c>
      <c r="K4" s="97">
        <f>IF(BDP("=A4&amp;" US Equity"","BEST_SALES","BEST_FPERIOD_OVERRIDE","26Y")&lt;&gt;0,BDP("=A4&amp;" US Equity"","BEST_EBIT","BEST_FPERIOD_OVERRIDE","26Y")/BDP("=A4&amp;" US Equity"","BEST_SALES","BEST_FPERIOD_OVERRIDE","26Y"),"")</f>
        <v/>
      </c>
      <c r="L4" s="97">
        <f>BDP("=A4&amp;" US Equity"","RETURN_ON_INV_CAPITAL")/100</f>
        <v/>
      </c>
      <c r="M4" s="97">
        <f>IF(AND(BDP("=A4&amp;" US Equity"","BEST_SALES","BEST_FPERIOD_OVERRIDE","25Y")&gt;0,BDP("=A4&amp;" US Equity"","BEST_SALES","BEST_FPERIOD_OVERRIDE","28Y")&gt;0),(BDP("=A4&amp;" US Equity"","BEST_SALES","BEST_FPERIOD_OVERRIDE","28Y")/BDP("=A4&amp;" US Equity"","BEST_SALES","BEST_FPERIOD_OVERRIDE","25Y"))^(1/3)-1,"")</f>
        <v/>
      </c>
      <c r="N4" s="97">
        <f>IF(AND(BDP("=A4&amp;" US Equity"","BEST_EBIT","BEST_FPERIOD_OVERRIDE","25Y")&gt;0,BDP("=A4&amp;" US Equity"","BEST_EBIT","BEST_FPERIOD_OVERRIDE","28Y")&gt;0),(BDP("=A4&amp;" US Equity"","BEST_EBIT","BEST_FPERIOD_OVERRIDE","28Y")/BDP("=A4&amp;" US Equity"","BEST_EBIT","BEST_FPERIOD_OVERRIDE","25Y"))^(1/3)-1,"")</f>
        <v/>
      </c>
      <c r="O4" s="97">
        <f>IF(AND(BDP("=A4&amp;" US Equity"","BEST_EPS","BEST_FPERIOD_OVERRIDE","25Y")&gt;0,BDP("=A4&amp;" US Equity"","BEST_EPS","BEST_FPERIOD_OVERRIDE","28Y")&gt;0),(BDP("=A4&amp;" US Equity"","BEST_EPS","BEST_FPERIOD_OVERRIDE","28Y")/BDP("=A4&amp;" US Equity"","BEST_EPS","BEST_FPERIOD_OVERRIDE","25Y"))^(1/3)-1,"")</f>
        <v/>
      </c>
      <c r="Q4" s="97">
        <f>BDP("=A4&amp;" US Equity"","CHG_PCT_YTD")/100</f>
        <v/>
      </c>
      <c r="T4" s="74">
        <f>IF(AND(F4&lt;&gt;"",O4&lt;&gt;"",O4&lt;&gt;0),F4/(O4*100),"")</f>
        <v/>
      </c>
      <c r="V4" s="98">
        <f>_xll.BDP("META US Equity","EQY_FISCAL_YR_END")</f>
        <v/>
      </c>
      <c r="AB4" s="93">
        <f>BDP("=A4&amp;" US Equity"","TRAIL_12M_OPER_INC")</f>
        <v/>
      </c>
      <c r="AC4" s="93">
        <f>BDP("=A4&amp;" US Equity"","SHORT_AND_LONG_TERM_DEBT")</f>
        <v/>
      </c>
      <c r="AD4" s="93">
        <f>BDP("=A4&amp;" US Equity"","TOTAL_EQUITY")</f>
        <v/>
      </c>
      <c r="AE4" s="93">
        <f>BDP("=A4&amp;" US Equity"","BS_CASH_NEAR_CASH_ITEM")</f>
        <v/>
      </c>
      <c r="AF4" s="99">
        <f>BDP("=A4&amp;" US Equity"","BS_LT_INVEST")</f>
        <v/>
      </c>
      <c r="AG4" s="15">
        <f>AC4+AD4</f>
        <v/>
      </c>
      <c r="AH4" s="100">
        <f>BDP("=A4&amp;" US Equity"","RETURN_ON_INV_CAPITAL")/100</f>
        <v/>
      </c>
      <c r="AJ4" s="93">
        <f>BDP("=A4&amp;" US Equity"","BEST_EPS","BEST_FPERIOD_OVERRIDE","24Y")</f>
        <v/>
      </c>
      <c r="AK4" s="93">
        <f>BDP("=A4&amp;" US Equity"","BEST_EPS","BEST_FPERIOD_OVERRIDE","25Y")</f>
        <v/>
      </c>
      <c r="AL4" s="93">
        <f>BDP("=A4&amp;" US Equity"","BEST_EPS","BEST_FPERIOD_OVERRIDE","26Y")</f>
        <v/>
      </c>
      <c r="AM4" s="93">
        <f>BDP("=A4&amp;" US Equity"","BEST_EPS","BEST_FPERIOD_OVERRIDE","27Y")</f>
        <v/>
      </c>
      <c r="AN4" s="93">
        <f>BDP("=A4&amp;" US Equity"","BEST_EPS","BEST_FPERIOD_OVERRIDE","28Y")</f>
        <v/>
      </c>
      <c r="AP4" s="93">
        <f>BDP("=A4&amp;" US Equity"","BEST_SALES","BEST_FPERIOD_OVERRIDE","24Y")</f>
        <v/>
      </c>
      <c r="AQ4" s="93">
        <f>BDP("=A4&amp;" US Equity"","BEST_SALES","BEST_FPERIOD_OVERRIDE","25Y")</f>
        <v/>
      </c>
      <c r="AR4" s="93">
        <f>BDP("=A4&amp;" US Equity"","BEST_SALES","BEST_FPERIOD_OVERRIDE","26Y")</f>
        <v/>
      </c>
      <c r="AS4" s="93">
        <f>BDP("=A4&amp;" US Equity"","BEST_SALES","BEST_FPERIOD_OVERRIDE","27Y")</f>
        <v/>
      </c>
      <c r="AT4" s="93">
        <f>BDP("=A4&amp;" US Equity"","BEST_SALES","BEST_FPERIOD_OVERRIDE","28Y")</f>
        <v/>
      </c>
      <c r="AV4" s="93">
        <f>BDP("=A4&amp;" US Equity"","BEST_EBIT","BEST_FPERIOD_OVERRIDE","24Y")</f>
        <v/>
      </c>
      <c r="AW4" s="93">
        <f>BDP("=A4&amp;" US Equity"","BEST_EBIT","BEST_FPERIOD_OVERRIDE","25Y")</f>
        <v/>
      </c>
      <c r="AX4" s="93">
        <f>BDP("=A4&amp;" US Equity"","BEST_EBIT","BEST_FPERIOD_OVERRIDE","26Y")</f>
        <v/>
      </c>
      <c r="AY4" s="93">
        <f>BDP("=A4&amp;" US Equity"","BEST_EBIT","BEST_FPERIOD_OVERRIDE","27Y")</f>
        <v/>
      </c>
      <c r="AZ4" s="93">
        <f>BDP("=A4&amp;" US Equity"","BEST_EBIT","BEST_FPERIOD_OVERRIDE","28Y")</f>
        <v/>
      </c>
      <c r="BB4" s="68">
        <f>D4+BC4</f>
        <v/>
      </c>
      <c r="BC4" s="68">
        <f>AC4-AE4</f>
        <v/>
      </c>
      <c r="BD4" s="15">
        <f>D4</f>
        <v/>
      </c>
      <c r="BE4" s="99">
        <f>BDP("=A4&amp;" US Equity"","TRAIL_12M_EBITDA")</f>
        <v/>
      </c>
    </row>
    <row r="5">
      <c r="A5" s="19" t="inlineStr">
        <is>
          <t>TSM</t>
        </is>
      </c>
      <c r="B5">
        <f>A5&amp;" US Equity"</f>
        <v/>
      </c>
      <c r="C5" s="15" t="inlineStr">
        <is>
          <t>Dec</t>
        </is>
      </c>
      <c r="D5" s="93">
        <f>BDP("=A5&amp;" US Equity"","CUR_MKT_CAP")/1000000000</f>
        <v/>
      </c>
      <c r="E5" s="94">
        <f>BDP("=A5&amp;" US Equity"","PX_LAST")</f>
        <v/>
      </c>
      <c r="F5" s="95">
        <f>IF(BDP("=A5&amp;" US Equity"","BEST_EPS","BEST_FPERIOD_OVERRIDE","26Y")&lt;&gt;0,$E$5/BDP("=A5&amp;" US Equity"","BEST_EPS","BEST_FPERIOD_OVERRIDE","26Y"),"")</f>
        <v/>
      </c>
      <c r="G5" s="95">
        <f>IF(BDP("=A5&amp;" US Equity"","BEST_EPS","BEST_FPERIOD_OVERRIDE","27Y")&lt;&gt;0,$E$5/BDP("=A5&amp;" US Equity"","BEST_EPS","BEST_FPERIOD_OVERRIDE","27Y"),"")</f>
        <v/>
      </c>
      <c r="H5" s="95">
        <f>IF(BDP("=A5&amp;" US Equity"","BEST_EPS","BEST_FPERIOD_OVERRIDE","28Y")&lt;&gt;0,$E$5/BDP("=A5&amp;" US Equity"","BEST_EPS","BEST_FPERIOD_OVERRIDE","28Y"),"")</f>
        <v/>
      </c>
      <c r="I5" s="96">
        <f>BDP("=A5&amp;" US Equity"","NET_DEBT_TO_EBITDA")</f>
        <v/>
      </c>
      <c r="J5" s="93">
        <f>BDP("=A5&amp;" US Equity"","BEST_SALES","BEST_FPERIOD_OVERRIDE","26Y")/1000</f>
        <v/>
      </c>
      <c r="K5" s="97">
        <f>IF(BDP("=A5&amp;" US Equity"","BEST_SALES","BEST_FPERIOD_OVERRIDE","26Y")&lt;&gt;0,BDP("=A5&amp;" US Equity"","BEST_EBIT","BEST_FPERIOD_OVERRIDE","26Y")/BDP("=A5&amp;" US Equity"","BEST_SALES","BEST_FPERIOD_OVERRIDE","26Y"),"")</f>
        <v/>
      </c>
      <c r="L5" s="97">
        <f>BDP("=A5&amp;" US Equity"","RETURN_ON_INV_CAPITAL")/100</f>
        <v/>
      </c>
      <c r="M5" s="97">
        <f>IF(AND(BDP("=A5&amp;" US Equity"","BEST_SALES","BEST_FPERIOD_OVERRIDE","25Y")&gt;0,BDP("=A5&amp;" US Equity"","BEST_SALES","BEST_FPERIOD_OVERRIDE","28Y")&gt;0),(BDP("=A5&amp;" US Equity"","BEST_SALES","BEST_FPERIOD_OVERRIDE","28Y")/BDP("=A5&amp;" US Equity"","BEST_SALES","BEST_FPERIOD_OVERRIDE","25Y"))^(1/3)-1,"")</f>
        <v/>
      </c>
      <c r="N5" s="97">
        <f>IF(AND(BDP("=A5&amp;" US Equity"","BEST_EBIT","BEST_FPERIOD_OVERRIDE","25Y")&gt;0,BDP("=A5&amp;" US Equity"","BEST_EBIT","BEST_FPERIOD_OVERRIDE","28Y")&gt;0),(BDP("=A5&amp;" US Equity"","BEST_EBIT","BEST_FPERIOD_OVERRIDE","28Y")/BDP("=A5&amp;" US Equity"","BEST_EBIT","BEST_FPERIOD_OVERRIDE","25Y"))^(1/3)-1,"")</f>
        <v/>
      </c>
      <c r="O5" s="97">
        <f>IF(AND(BDP("=A5&amp;" US Equity"","BEST_EPS","BEST_FPERIOD_OVERRIDE","25Y")&gt;0,BDP("=A5&amp;" US Equity"","BEST_EPS","BEST_FPERIOD_OVERRIDE","28Y")&gt;0),(BDP("=A5&amp;" US Equity"","BEST_EPS","BEST_FPERIOD_OVERRIDE","28Y")/BDP("=A5&amp;" US Equity"","BEST_EPS","BEST_FPERIOD_OVERRIDE","25Y"))^(1/3)-1,"")</f>
        <v/>
      </c>
      <c r="Q5" s="97">
        <f>BDP("=A5&amp;" US Equity"","CHG_PCT_YTD")/100</f>
        <v/>
      </c>
      <c r="T5" s="74">
        <f>IF(AND(F5&lt;&gt;"",O5&lt;&gt;"",O5&lt;&gt;0),F5/(O5*100),"")</f>
        <v/>
      </c>
      <c r="AB5" s="93">
        <f>BDP("=A5&amp;" US Equity"","TRAIL_12M_OPER_INC")</f>
        <v/>
      </c>
      <c r="AC5" s="93">
        <f>BDP("=A5&amp;" US Equity"","SHORT_AND_LONG_TERM_DEBT")</f>
        <v/>
      </c>
      <c r="AD5" s="93">
        <f>BDP("=A5&amp;" US Equity"","TOTAL_EQUITY")</f>
        <v/>
      </c>
      <c r="AE5" s="93">
        <f>BDP("=A5&amp;" US Equity"","BS_CASH_NEAR_CASH_ITEM")</f>
        <v/>
      </c>
      <c r="AF5" s="99">
        <f>BDP("=A5&amp;" US Equity"","BS_LT_INVEST")</f>
        <v/>
      </c>
      <c r="AG5" s="15">
        <f>AC5+AD5</f>
        <v/>
      </c>
      <c r="AH5" s="100">
        <f>BDP("=A5&amp;" US Equity"","RETURN_ON_INV_CAPITAL")/100</f>
        <v/>
      </c>
      <c r="AJ5" s="93">
        <f>BDP("=A5&amp;" US Equity"","BEST_EPS","BEST_FPERIOD_OVERRIDE","24Y")</f>
        <v/>
      </c>
      <c r="AK5" s="93">
        <f>BDP("=A5&amp;" US Equity"","BEST_EPS","BEST_FPERIOD_OVERRIDE","25Y")</f>
        <v/>
      </c>
      <c r="AL5" s="93">
        <f>BDP("=A5&amp;" US Equity"","BEST_EPS","BEST_FPERIOD_OVERRIDE","26Y")</f>
        <v/>
      </c>
      <c r="AM5" s="93">
        <f>BDP("=A5&amp;" US Equity"","BEST_EPS","BEST_FPERIOD_OVERRIDE","27Y")</f>
        <v/>
      </c>
      <c r="AN5" s="93">
        <f>BDP("=A5&amp;" US Equity"","BEST_EPS","BEST_FPERIOD_OVERRIDE","28Y")</f>
        <v/>
      </c>
      <c r="AP5" s="93">
        <f>BDP("=A5&amp;" US Equity"","BEST_SALES","BEST_FPERIOD_OVERRIDE","24Y")</f>
        <v/>
      </c>
      <c r="AQ5" s="93">
        <f>BDP("=A5&amp;" US Equity"","BEST_SALES","BEST_FPERIOD_OVERRIDE","25Y")</f>
        <v/>
      </c>
      <c r="AR5" s="93">
        <f>BDP("=A5&amp;" US Equity"","BEST_SALES","BEST_FPERIOD_OVERRIDE","26Y")</f>
        <v/>
      </c>
      <c r="AS5" s="93">
        <f>BDP("=A5&amp;" US Equity"","BEST_SALES","BEST_FPERIOD_OVERRIDE","27Y")</f>
        <v/>
      </c>
      <c r="AT5" s="93">
        <f>BDP("=A5&amp;" US Equity"","BEST_SALES","BEST_FPERIOD_OVERRIDE","28Y")</f>
        <v/>
      </c>
      <c r="AV5" s="93">
        <f>BDP("=A5&amp;" US Equity"","BEST_EBIT","BEST_FPERIOD_OVERRIDE","24Y")</f>
        <v/>
      </c>
      <c r="AW5" s="93">
        <f>BDP("=A5&amp;" US Equity"","BEST_EBIT","BEST_FPERIOD_OVERRIDE","25Y")</f>
        <v/>
      </c>
      <c r="AX5" s="93">
        <f>BDP("=A5&amp;" US Equity"","BEST_EBIT","BEST_FPERIOD_OVERRIDE","26Y")</f>
        <v/>
      </c>
      <c r="AY5" s="93">
        <f>BDP("=A5&amp;" US Equity"","BEST_EBIT","BEST_FPERIOD_OVERRIDE","27Y")</f>
        <v/>
      </c>
      <c r="AZ5" s="93">
        <f>BDP("=A5&amp;" US Equity"","BEST_EBIT","BEST_FPERIOD_OVERRIDE","28Y")</f>
        <v/>
      </c>
      <c r="BB5" s="68">
        <f>D5+BC5</f>
        <v/>
      </c>
      <c r="BC5" s="68">
        <f>AC5-AE5</f>
        <v/>
      </c>
      <c r="BD5" s="15">
        <f>D5</f>
        <v/>
      </c>
      <c r="BE5" s="99">
        <f>BDP("=A5&amp;" US Equity"","TRAIL_12M_EBITDA")</f>
        <v/>
      </c>
    </row>
    <row r="6">
      <c r="A6" s="19" t="inlineStr">
        <is>
          <t>AMZN</t>
        </is>
      </c>
      <c r="B6">
        <f>A6&amp;" US Equity"</f>
        <v/>
      </c>
      <c r="C6" s="15" t="inlineStr">
        <is>
          <t>Dec</t>
        </is>
      </c>
      <c r="D6" s="93">
        <f>BDP("=A6&amp;" US Equity"","CUR_MKT_CAP")/1000000000</f>
        <v/>
      </c>
      <c r="E6" s="94">
        <f>BDP("=A6&amp;" US Equity"","PX_LAST")</f>
        <v/>
      </c>
      <c r="F6" s="95">
        <f>IF(BDP("=A6&amp;" US Equity"","BEST_EPS","BEST_FPERIOD_OVERRIDE","26Y")&lt;&gt;0,$E$6/BDP("=A6&amp;" US Equity"","BEST_EPS","BEST_FPERIOD_OVERRIDE","26Y"),"")</f>
        <v/>
      </c>
      <c r="G6" s="95">
        <f>IF(BDP("=A6&amp;" US Equity"","BEST_EPS","BEST_FPERIOD_OVERRIDE","27Y")&lt;&gt;0,$E$6/BDP("=A6&amp;" US Equity"","BEST_EPS","BEST_FPERIOD_OVERRIDE","27Y"),"")</f>
        <v/>
      </c>
      <c r="H6" s="95">
        <f>IF(BDP("=A6&amp;" US Equity"","BEST_EPS","BEST_FPERIOD_OVERRIDE","28Y")&lt;&gt;0,$E$6/BDP("=A6&amp;" US Equity"","BEST_EPS","BEST_FPERIOD_OVERRIDE","28Y"),"")</f>
        <v/>
      </c>
      <c r="I6" s="96">
        <f>BDP("=A6&amp;" US Equity"","NET_DEBT_TO_EBITDA")</f>
        <v/>
      </c>
      <c r="J6" s="93">
        <f>BDP("=A6&amp;" US Equity"","BEST_SALES","BEST_FPERIOD_OVERRIDE","26Y")/1000</f>
        <v/>
      </c>
      <c r="K6" s="97">
        <f>IF(BDP("=A6&amp;" US Equity"","BEST_SALES","BEST_FPERIOD_OVERRIDE","26Y")&lt;&gt;0,BDP("=A6&amp;" US Equity"","BEST_EBIT","BEST_FPERIOD_OVERRIDE","26Y")/BDP("=A6&amp;" US Equity"","BEST_SALES","BEST_FPERIOD_OVERRIDE","26Y"),"")</f>
        <v/>
      </c>
      <c r="L6" s="97">
        <f>BDP("=A6&amp;" US Equity"","RETURN_ON_INV_CAPITAL")/100</f>
        <v/>
      </c>
      <c r="M6" s="97">
        <f>IF(AND(BDP("=A6&amp;" US Equity"","BEST_SALES","BEST_FPERIOD_OVERRIDE","25Y")&gt;0,BDP("=A6&amp;" US Equity"","BEST_SALES","BEST_FPERIOD_OVERRIDE","28Y")&gt;0),(BDP("=A6&amp;" US Equity"","BEST_SALES","BEST_FPERIOD_OVERRIDE","28Y")/BDP("=A6&amp;" US Equity"","BEST_SALES","BEST_FPERIOD_OVERRIDE","25Y"))^(1/3)-1,"")</f>
        <v/>
      </c>
      <c r="N6" s="97">
        <f>IF(AND(BDP("=A6&amp;" US Equity"","BEST_EBIT","BEST_FPERIOD_OVERRIDE","25Y")&gt;0,BDP("=A6&amp;" US Equity"","BEST_EBIT","BEST_FPERIOD_OVERRIDE","28Y")&gt;0),(BDP("=A6&amp;" US Equity"","BEST_EBIT","BEST_FPERIOD_OVERRIDE","28Y")/BDP("=A6&amp;" US Equity"","BEST_EBIT","BEST_FPERIOD_OVERRIDE","25Y"))^(1/3)-1,"")</f>
        <v/>
      </c>
      <c r="O6" s="97">
        <f>IF(AND(BDP("=A6&amp;" US Equity"","BEST_EPS","BEST_FPERIOD_OVERRIDE","25Y")&gt;0,BDP("=A6&amp;" US Equity"","BEST_EPS","BEST_FPERIOD_OVERRIDE","28Y")&gt;0),(BDP("=A6&amp;" US Equity"","BEST_EPS","BEST_FPERIOD_OVERRIDE","28Y")/BDP("=A6&amp;" US Equity"","BEST_EPS","BEST_FPERIOD_OVERRIDE","25Y"))^(1/3)-1,"")</f>
        <v/>
      </c>
      <c r="Q6" s="97">
        <f>BDP("=A6&amp;" US Equity"","CHG_PCT_YTD")/100</f>
        <v/>
      </c>
      <c r="T6" s="74">
        <f>IF(AND(F6&lt;&gt;"",O6&lt;&gt;"",O6&lt;&gt;0),F6/(O6*100),"")</f>
        <v/>
      </c>
      <c r="AB6" s="93">
        <f>BDP("=A6&amp;" US Equity"","TRAIL_12M_OPER_INC")</f>
        <v/>
      </c>
      <c r="AC6" s="93">
        <f>BDP("=A6&amp;" US Equity"","SHORT_AND_LONG_TERM_DEBT")</f>
        <v/>
      </c>
      <c r="AD6" s="93">
        <f>BDP("=A6&amp;" US Equity"","TOTAL_EQUITY")</f>
        <v/>
      </c>
      <c r="AE6" s="93">
        <f>BDP("=A6&amp;" US Equity"","BS_CASH_NEAR_CASH_ITEM")</f>
        <v/>
      </c>
      <c r="AF6" s="99">
        <f>BDP("=A6&amp;" US Equity"","BS_LT_INVEST")</f>
        <v/>
      </c>
      <c r="AG6" s="15">
        <f>AC6+AD6</f>
        <v/>
      </c>
      <c r="AH6" s="100">
        <f>BDP("=A6&amp;" US Equity"","RETURN_ON_INV_CAPITAL")/100</f>
        <v/>
      </c>
      <c r="AJ6" s="93">
        <f>BDP("=A6&amp;" US Equity"","BEST_EPS","BEST_FPERIOD_OVERRIDE","24Y")</f>
        <v/>
      </c>
      <c r="AK6" s="93">
        <f>BDP("=A6&amp;" US Equity"","BEST_EPS","BEST_FPERIOD_OVERRIDE","25Y")</f>
        <v/>
      </c>
      <c r="AL6" s="93">
        <f>BDP("=A6&amp;" US Equity"","BEST_EPS","BEST_FPERIOD_OVERRIDE","26Y")</f>
        <v/>
      </c>
      <c r="AM6" s="93">
        <f>BDP("=A6&amp;" US Equity"","BEST_EPS","BEST_FPERIOD_OVERRIDE","27Y")</f>
        <v/>
      </c>
      <c r="AN6" s="93">
        <f>BDP("=A6&amp;" US Equity"","BEST_EPS","BEST_FPERIOD_OVERRIDE","28Y")</f>
        <v/>
      </c>
      <c r="AP6" s="93">
        <f>BDP("=A6&amp;" US Equity"","BEST_SALES","BEST_FPERIOD_OVERRIDE","24Y")</f>
        <v/>
      </c>
      <c r="AQ6" s="93">
        <f>BDP("=A6&amp;" US Equity"","BEST_SALES","BEST_FPERIOD_OVERRIDE","25Y")</f>
        <v/>
      </c>
      <c r="AR6" s="93">
        <f>BDP("=A6&amp;" US Equity"","BEST_SALES","BEST_FPERIOD_OVERRIDE","26Y")</f>
        <v/>
      </c>
      <c r="AS6" s="93">
        <f>BDP("=A6&amp;" US Equity"","BEST_SALES","BEST_FPERIOD_OVERRIDE","27Y")</f>
        <v/>
      </c>
      <c r="AT6" s="93">
        <f>BDP("=A6&amp;" US Equity"","BEST_SALES","BEST_FPERIOD_OVERRIDE","28Y")</f>
        <v/>
      </c>
      <c r="AV6" s="93">
        <f>BDP("=A6&amp;" US Equity"","BEST_EBIT","BEST_FPERIOD_OVERRIDE","24Y")</f>
        <v/>
      </c>
      <c r="AW6" s="93">
        <f>BDP("=A6&amp;" US Equity"","BEST_EBIT","BEST_FPERIOD_OVERRIDE","25Y")</f>
        <v/>
      </c>
      <c r="AX6" s="93">
        <f>BDP("=A6&amp;" US Equity"","BEST_EBIT","BEST_FPERIOD_OVERRIDE","26Y")</f>
        <v/>
      </c>
      <c r="AY6" s="93">
        <f>BDP("=A6&amp;" US Equity"","BEST_EBIT","BEST_FPERIOD_OVERRIDE","27Y")</f>
        <v/>
      </c>
      <c r="AZ6" s="93">
        <f>BDP("=A6&amp;" US Equity"","BEST_EBIT","BEST_FPERIOD_OVERRIDE","28Y")</f>
        <v/>
      </c>
      <c r="BB6" s="68">
        <f>D6+BC6</f>
        <v/>
      </c>
      <c r="BC6" s="68">
        <f>AC6-AE6</f>
        <v/>
      </c>
      <c r="BD6" s="15">
        <f>D6</f>
        <v/>
      </c>
      <c r="BE6" s="99">
        <f>BDP("=A6&amp;" US Equity"","TRAIL_12M_EBITDA")</f>
        <v/>
      </c>
    </row>
    <row r="7">
      <c r="A7" s="19" t="inlineStr">
        <is>
          <t>NVDA</t>
        </is>
      </c>
      <c r="B7">
        <f>A7&amp;" US Equity"</f>
        <v/>
      </c>
      <c r="C7" s="15" t="inlineStr">
        <is>
          <t>Dec</t>
        </is>
      </c>
      <c r="D7" s="93">
        <f>BDP("=A7&amp;" US Equity"","CUR_MKT_CAP")/1000000000</f>
        <v/>
      </c>
      <c r="E7" s="94">
        <f>BDP("=A7&amp;" US Equity"","PX_LAST")</f>
        <v/>
      </c>
      <c r="F7" s="95">
        <f>IF(BDP("=A7&amp;" US Equity"","BEST_EPS","BEST_FPERIOD_OVERRIDE","26Y")&lt;&gt;0,$E$7/BDP("=A7&amp;" US Equity"","BEST_EPS","BEST_FPERIOD_OVERRIDE","26Y"),"")</f>
        <v/>
      </c>
      <c r="G7" s="95">
        <f>IF(BDP("=A7&amp;" US Equity"","BEST_EPS","BEST_FPERIOD_OVERRIDE","27Y")&lt;&gt;0,$E$7/BDP("=A7&amp;" US Equity"","BEST_EPS","BEST_FPERIOD_OVERRIDE","27Y"),"")</f>
        <v/>
      </c>
      <c r="H7" s="95">
        <f>IF(BDP("=A7&amp;" US Equity"","BEST_EPS","BEST_FPERIOD_OVERRIDE","28Y")&lt;&gt;0,$E$7/BDP("=A7&amp;" US Equity"","BEST_EPS","BEST_FPERIOD_OVERRIDE","28Y"),"")</f>
        <v/>
      </c>
      <c r="I7" s="96">
        <f>BDP("=A7&amp;" US Equity"","NET_DEBT_TO_EBITDA")</f>
        <v/>
      </c>
      <c r="J7" s="93">
        <f>BDP("=A7&amp;" US Equity"","BEST_SALES","BEST_FPERIOD_OVERRIDE","26Y")/1000</f>
        <v/>
      </c>
      <c r="K7" s="97">
        <f>IF(BDP("=A7&amp;" US Equity"","BEST_SALES","BEST_FPERIOD_OVERRIDE","26Y")&lt;&gt;0,BDP("=A7&amp;" US Equity"","BEST_EBIT","BEST_FPERIOD_OVERRIDE","26Y")/BDP("=A7&amp;" US Equity"","BEST_SALES","BEST_FPERIOD_OVERRIDE","26Y"),"")</f>
        <v/>
      </c>
      <c r="L7" s="97">
        <f>BDP("=A7&amp;" US Equity"","RETURN_ON_INV_CAPITAL")/100</f>
        <v/>
      </c>
      <c r="M7" s="97">
        <f>IF(AND(BDP("=A7&amp;" US Equity"","BEST_SALES","BEST_FPERIOD_OVERRIDE","25Y")&gt;0,BDP("=A7&amp;" US Equity"","BEST_SALES","BEST_FPERIOD_OVERRIDE","28Y")&gt;0),(BDP("=A7&amp;" US Equity"","BEST_SALES","BEST_FPERIOD_OVERRIDE","28Y")/BDP("=A7&amp;" US Equity"","BEST_SALES","BEST_FPERIOD_OVERRIDE","25Y"))^(1/3)-1,"")</f>
        <v/>
      </c>
      <c r="N7" s="97">
        <f>IF(AND(BDP("=A7&amp;" US Equity"","BEST_EBIT","BEST_FPERIOD_OVERRIDE","25Y")&gt;0,BDP("=A7&amp;" US Equity"","BEST_EBIT","BEST_FPERIOD_OVERRIDE","28Y")&gt;0),(BDP("=A7&amp;" US Equity"","BEST_EBIT","BEST_FPERIOD_OVERRIDE","28Y")/BDP("=A7&amp;" US Equity"","BEST_EBIT","BEST_FPERIOD_OVERRIDE","25Y"))^(1/3)-1,"")</f>
        <v/>
      </c>
      <c r="O7" s="97">
        <f>IF(AND(BDP("=A7&amp;" US Equity"","BEST_EPS","BEST_FPERIOD_OVERRIDE","25Y")&gt;0,BDP("=A7&amp;" US Equity"","BEST_EPS","BEST_FPERIOD_OVERRIDE","28Y")&gt;0),(BDP("=A7&amp;" US Equity"","BEST_EPS","BEST_FPERIOD_OVERRIDE","28Y")/BDP("=A7&amp;" US Equity"","BEST_EPS","BEST_FPERIOD_OVERRIDE","25Y"))^(1/3)-1,"")</f>
        <v/>
      </c>
      <c r="Q7" s="97">
        <f>BDP("=A7&amp;" US Equity"","CHG_PCT_YTD")/100</f>
        <v/>
      </c>
      <c r="T7" s="74">
        <f>IF(AND(F7&lt;&gt;"",O7&lt;&gt;"",O7&lt;&gt;0),F7/(O7*100),"")</f>
        <v/>
      </c>
      <c r="AB7" s="93">
        <f>BDP("=A7&amp;" US Equity"","TRAIL_12M_OPER_INC")</f>
        <v/>
      </c>
      <c r="AC7" s="93">
        <f>BDP("=A7&amp;" US Equity"","SHORT_AND_LONG_TERM_DEBT")</f>
        <v/>
      </c>
      <c r="AD7" s="93">
        <f>BDP("=A7&amp;" US Equity"","TOTAL_EQUITY")</f>
        <v/>
      </c>
      <c r="AE7" s="93">
        <f>BDP("=A7&amp;" US Equity"","BS_CASH_NEAR_CASH_ITEM")</f>
        <v/>
      </c>
      <c r="AF7" s="99">
        <f>BDP("=A7&amp;" US Equity"","BS_LT_INVEST")</f>
        <v/>
      </c>
      <c r="AG7" s="15">
        <f>AC7+AD7</f>
        <v/>
      </c>
      <c r="AH7" s="100">
        <f>BDP("=A7&amp;" US Equity"","RETURN_ON_INV_CAPITAL")/100</f>
        <v/>
      </c>
      <c r="AJ7" s="93">
        <f>BDP("=A7&amp;" US Equity"","BEST_EPS","BEST_FPERIOD_OVERRIDE","24Y")</f>
        <v/>
      </c>
      <c r="AK7" s="93">
        <f>BDP("=A7&amp;" US Equity"","BEST_EPS","BEST_FPERIOD_OVERRIDE","25Y")</f>
        <v/>
      </c>
      <c r="AL7" s="93">
        <f>BDP("=A7&amp;" US Equity"","BEST_EPS","BEST_FPERIOD_OVERRIDE","26Y")</f>
        <v/>
      </c>
      <c r="AM7" s="93">
        <f>BDP("=A7&amp;" US Equity"","BEST_EPS","BEST_FPERIOD_OVERRIDE","27Y")</f>
        <v/>
      </c>
      <c r="AN7" s="93">
        <f>BDP("=A7&amp;" US Equity"","BEST_EPS","BEST_FPERIOD_OVERRIDE","28Y")</f>
        <v/>
      </c>
      <c r="AP7" s="93">
        <f>BDP("=A7&amp;" US Equity"","BEST_SALES","BEST_FPERIOD_OVERRIDE","24Y")</f>
        <v/>
      </c>
      <c r="AQ7" s="93">
        <f>BDP("=A7&amp;" US Equity"","BEST_SALES","BEST_FPERIOD_OVERRIDE","25Y")</f>
        <v/>
      </c>
      <c r="AR7" s="93">
        <f>BDP("=A7&amp;" US Equity"","BEST_SALES","BEST_FPERIOD_OVERRIDE","26Y")</f>
        <v/>
      </c>
      <c r="AS7" s="93">
        <f>BDP("=A7&amp;" US Equity"","BEST_SALES","BEST_FPERIOD_OVERRIDE","27Y")</f>
        <v/>
      </c>
      <c r="AT7" s="93">
        <f>BDP("=A7&amp;" US Equity"","BEST_SALES","BEST_FPERIOD_OVERRIDE","28Y")</f>
        <v/>
      </c>
      <c r="AV7" s="93">
        <f>BDP("=A7&amp;" US Equity"","BEST_EBIT","BEST_FPERIOD_OVERRIDE","24Y")</f>
        <v/>
      </c>
      <c r="AW7" s="93">
        <f>BDP("=A7&amp;" US Equity"","BEST_EBIT","BEST_FPERIOD_OVERRIDE","25Y")</f>
        <v/>
      </c>
      <c r="AX7" s="93">
        <f>BDP("=A7&amp;" US Equity"","BEST_EBIT","BEST_FPERIOD_OVERRIDE","26Y")</f>
        <v/>
      </c>
      <c r="AY7" s="93">
        <f>BDP("=A7&amp;" US Equity"","BEST_EBIT","BEST_FPERIOD_OVERRIDE","27Y")</f>
        <v/>
      </c>
      <c r="AZ7" s="93">
        <f>BDP("=A7&amp;" US Equity"","BEST_EBIT","BEST_FPERIOD_OVERRIDE","28Y")</f>
        <v/>
      </c>
      <c r="BB7" s="68">
        <f>D7+BC7</f>
        <v/>
      </c>
      <c r="BC7" s="68">
        <f>AC7-AE7</f>
        <v/>
      </c>
      <c r="BD7" s="15">
        <f>D7</f>
        <v/>
      </c>
      <c r="BE7" s="99">
        <f>BDP("=A7&amp;" US Equity"","TRAIL_12M_EBITDA")</f>
        <v/>
      </c>
    </row>
    <row r="8">
      <c r="A8" s="19" t="inlineStr">
        <is>
          <t>AVGO</t>
        </is>
      </c>
      <c r="B8">
        <f>A8&amp;" US Equity"</f>
        <v/>
      </c>
      <c r="C8" s="15" t="inlineStr">
        <is>
          <t>Dec</t>
        </is>
      </c>
      <c r="D8" s="93">
        <f>BDP("=A8&amp;" US Equity"","CUR_MKT_CAP")/1000000000</f>
        <v/>
      </c>
      <c r="E8" s="94">
        <f>BDP("=A8&amp;" US Equity"","PX_LAST")</f>
        <v/>
      </c>
      <c r="F8" s="95">
        <f>IF(BDP("=A8&amp;" US Equity"","BEST_EPS","BEST_FPERIOD_OVERRIDE","26Y")&lt;&gt;0,$E$8/BDP("=A8&amp;" US Equity"","BEST_EPS","BEST_FPERIOD_OVERRIDE","26Y"),"")</f>
        <v/>
      </c>
      <c r="G8" s="95">
        <f>IF(BDP("=A8&amp;" US Equity"","BEST_EPS","BEST_FPERIOD_OVERRIDE","27Y")&lt;&gt;0,$E$8/BDP("=A8&amp;" US Equity"","BEST_EPS","BEST_FPERIOD_OVERRIDE","27Y"),"")</f>
        <v/>
      </c>
      <c r="H8" s="95">
        <f>IF(BDP("=A8&amp;" US Equity"","BEST_EPS","BEST_FPERIOD_OVERRIDE","28Y")&lt;&gt;0,$E$8/BDP("=A8&amp;" US Equity"","BEST_EPS","BEST_FPERIOD_OVERRIDE","28Y"),"")</f>
        <v/>
      </c>
      <c r="I8" s="96">
        <f>BDP("=A8&amp;" US Equity"","NET_DEBT_TO_EBITDA")</f>
        <v/>
      </c>
      <c r="J8" s="93">
        <f>BDP("=A8&amp;" US Equity"","BEST_SALES","BEST_FPERIOD_OVERRIDE","26Y")/1000</f>
        <v/>
      </c>
      <c r="K8" s="97">
        <f>IF(BDP("=A8&amp;" US Equity"","BEST_SALES","BEST_FPERIOD_OVERRIDE","26Y")&lt;&gt;0,BDP("=A8&amp;" US Equity"","BEST_EBIT","BEST_FPERIOD_OVERRIDE","26Y")/BDP("=A8&amp;" US Equity"","BEST_SALES","BEST_FPERIOD_OVERRIDE","26Y"),"")</f>
        <v/>
      </c>
      <c r="L8" s="97">
        <f>BDP("=A8&amp;" US Equity"","RETURN_ON_INV_CAPITAL")/100</f>
        <v/>
      </c>
      <c r="M8" s="97">
        <f>IF(AND(BDP("=A8&amp;" US Equity"","BEST_SALES","BEST_FPERIOD_OVERRIDE","25Y")&gt;0,BDP("=A8&amp;" US Equity"","BEST_SALES","BEST_FPERIOD_OVERRIDE","28Y")&gt;0),(BDP("=A8&amp;" US Equity"","BEST_SALES","BEST_FPERIOD_OVERRIDE","28Y")/BDP("=A8&amp;" US Equity"","BEST_SALES","BEST_FPERIOD_OVERRIDE","25Y"))^(1/3)-1,"")</f>
        <v/>
      </c>
      <c r="N8" s="97">
        <f>IF(AND(BDP("=A8&amp;" US Equity"","BEST_EBIT","BEST_FPERIOD_OVERRIDE","25Y")&gt;0,BDP("=A8&amp;" US Equity"","BEST_EBIT","BEST_FPERIOD_OVERRIDE","28Y")&gt;0),(BDP("=A8&amp;" US Equity"","BEST_EBIT","BEST_FPERIOD_OVERRIDE","28Y")/BDP("=A8&amp;" US Equity"","BEST_EBIT","BEST_FPERIOD_OVERRIDE","25Y"))^(1/3)-1,"")</f>
        <v/>
      </c>
      <c r="O8" s="97">
        <f>IF(AND(BDP("=A8&amp;" US Equity"","BEST_EPS","BEST_FPERIOD_OVERRIDE","25Y")&gt;0,BDP("=A8&amp;" US Equity"","BEST_EPS","BEST_FPERIOD_OVERRIDE","28Y")&gt;0),(BDP("=A8&amp;" US Equity"","BEST_EPS","BEST_FPERIOD_OVERRIDE","28Y")/BDP("=A8&amp;" US Equity"","BEST_EPS","BEST_FPERIOD_OVERRIDE","25Y"))^(1/3)-1,"")</f>
        <v/>
      </c>
      <c r="Q8" s="97">
        <f>BDP("=A8&amp;" US Equity"","CHG_PCT_YTD")/100</f>
        <v/>
      </c>
      <c r="T8" s="74">
        <f>IF(AND(F8&lt;&gt;"",O8&lt;&gt;"",O8&lt;&gt;0),F8/(O8*100),"")</f>
        <v/>
      </c>
      <c r="AB8" s="93">
        <f>BDP("=A8&amp;" US Equity"","TRAIL_12M_OPER_INC")</f>
        <v/>
      </c>
      <c r="AC8" s="93">
        <f>BDP("=A8&amp;" US Equity"","SHORT_AND_LONG_TERM_DEBT")</f>
        <v/>
      </c>
      <c r="AD8" s="93">
        <f>BDP("=A8&amp;" US Equity"","TOTAL_EQUITY")</f>
        <v/>
      </c>
      <c r="AE8" s="93">
        <f>BDP("=A8&amp;" US Equity"","BS_CASH_NEAR_CASH_ITEM")</f>
        <v/>
      </c>
      <c r="AF8" s="99">
        <f>BDP("=A8&amp;" US Equity"","BS_LT_INVEST")</f>
        <v/>
      </c>
      <c r="AG8" s="15">
        <f>AC8+AD8</f>
        <v/>
      </c>
      <c r="AH8" s="100">
        <f>BDP("=A8&amp;" US Equity"","RETURN_ON_INV_CAPITAL")/100</f>
        <v/>
      </c>
      <c r="AJ8" s="93">
        <f>BDP("=A8&amp;" US Equity"","BEST_EPS","BEST_FPERIOD_OVERRIDE","24Y")</f>
        <v/>
      </c>
      <c r="AK8" s="93">
        <f>BDP("=A8&amp;" US Equity"","BEST_EPS","BEST_FPERIOD_OVERRIDE","25Y")</f>
        <v/>
      </c>
      <c r="AL8" s="93">
        <f>BDP("=A8&amp;" US Equity"","BEST_EPS","BEST_FPERIOD_OVERRIDE","26Y")</f>
        <v/>
      </c>
      <c r="AM8" s="93">
        <f>BDP("=A8&amp;" US Equity"","BEST_EPS","BEST_FPERIOD_OVERRIDE","27Y")</f>
        <v/>
      </c>
      <c r="AN8" s="93">
        <f>BDP("=A8&amp;" US Equity"","BEST_EPS","BEST_FPERIOD_OVERRIDE","28Y")</f>
        <v/>
      </c>
      <c r="AP8" s="93">
        <f>BDP("=A8&amp;" US Equity"","BEST_SALES","BEST_FPERIOD_OVERRIDE","24Y")</f>
        <v/>
      </c>
      <c r="AQ8" s="93">
        <f>BDP("=A8&amp;" US Equity"","BEST_SALES","BEST_FPERIOD_OVERRIDE","25Y")</f>
        <v/>
      </c>
      <c r="AR8" s="93">
        <f>BDP("=A8&amp;" US Equity"","BEST_SALES","BEST_FPERIOD_OVERRIDE","26Y")</f>
        <v/>
      </c>
      <c r="AS8" s="93">
        <f>BDP("=A8&amp;" US Equity"","BEST_SALES","BEST_FPERIOD_OVERRIDE","27Y")</f>
        <v/>
      </c>
      <c r="AT8" s="93">
        <f>BDP("=A8&amp;" US Equity"","BEST_SALES","BEST_FPERIOD_OVERRIDE","28Y")</f>
        <v/>
      </c>
      <c r="AV8" s="93">
        <f>BDP("=A8&amp;" US Equity"","BEST_EBIT","BEST_FPERIOD_OVERRIDE","24Y")</f>
        <v/>
      </c>
      <c r="AW8" s="93">
        <f>BDP("=A8&amp;" US Equity"","BEST_EBIT","BEST_FPERIOD_OVERRIDE","25Y")</f>
        <v/>
      </c>
      <c r="AX8" s="93">
        <f>BDP("=A8&amp;" US Equity"","BEST_EBIT","BEST_FPERIOD_OVERRIDE","26Y")</f>
        <v/>
      </c>
      <c r="AY8" s="93">
        <f>BDP("=A8&amp;" US Equity"","BEST_EBIT","BEST_FPERIOD_OVERRIDE","27Y")</f>
        <v/>
      </c>
      <c r="AZ8" s="93">
        <f>BDP("=A8&amp;" US Equity"","BEST_EBIT","BEST_FPERIOD_OVERRIDE","28Y")</f>
        <v/>
      </c>
      <c r="BB8" s="68">
        <f>D8+BC8</f>
        <v/>
      </c>
      <c r="BC8" s="68">
        <f>AC8-AE8</f>
        <v/>
      </c>
      <c r="BD8" s="15">
        <f>D8</f>
        <v/>
      </c>
      <c r="BE8" s="99">
        <f>BDP("=A8&amp;" US Equity"","TRAIL_12M_EBITDA")</f>
        <v/>
      </c>
      <c r="BW8" s="15" t="n"/>
      <c r="BX8" s="15" t="n"/>
      <c r="BY8" s="15" t="n"/>
      <c r="BZ8" s="15" t="n"/>
      <c r="CA8" s="15" t="n"/>
    </row>
    <row r="9">
      <c r="A9" s="26" t="inlineStr">
        <is>
          <t>Average</t>
        </is>
      </c>
      <c r="B9" s="27" t="n"/>
      <c r="C9" s="28" t="n"/>
      <c r="D9" s="28" t="n"/>
      <c r="E9" s="75" t="n"/>
      <c r="F9" s="76">
        <f>AVERAGE(F4:F8)</f>
        <v/>
      </c>
      <c r="G9" s="76">
        <f>AVERAGE(G4:G8)</f>
        <v/>
      </c>
      <c r="H9" s="76">
        <f>AVERAGE(H4:H8)</f>
        <v/>
      </c>
      <c r="I9" s="77">
        <f>AVERAGE(I4:I8)</f>
        <v/>
      </c>
      <c r="J9" s="78" t="n"/>
      <c r="K9" s="78">
        <f>AVERAGE(K4:K8)</f>
        <v/>
      </c>
      <c r="L9" s="78">
        <f>AVERAGE(L4:L8)</f>
        <v/>
      </c>
      <c r="M9" s="78">
        <f>AVERAGE(M4:M8)</f>
        <v/>
      </c>
      <c r="N9" s="78">
        <f>AVERAGE(N4:N8)</f>
        <v/>
      </c>
      <c r="O9" s="78">
        <f>AVERAGE(O4:O8)</f>
        <v/>
      </c>
      <c r="P9" s="27" t="n"/>
      <c r="Q9" s="79" t="n"/>
      <c r="R9" s="27" t="n"/>
      <c r="S9" s="27" t="n"/>
      <c r="T9" s="80">
        <f>F9/O9/100</f>
        <v/>
      </c>
      <c r="AB9" s="15" t="n"/>
      <c r="AC9" s="15" t="n"/>
      <c r="AD9" s="15" t="n"/>
      <c r="AE9" s="15" t="n"/>
      <c r="AF9" s="16" t="n"/>
      <c r="AG9" s="15" t="n"/>
      <c r="AH9" s="67" t="n"/>
      <c r="AJ9" s="15" t="n"/>
      <c r="AK9" s="15" t="n"/>
      <c r="AL9" s="15" t="n"/>
      <c r="AM9" s="15" t="n"/>
      <c r="AN9" s="15" t="n"/>
      <c r="AP9" s="15" t="n"/>
      <c r="AQ9" s="15" t="n"/>
      <c r="AR9" s="15" t="n"/>
      <c r="AS9" s="15" t="n"/>
      <c r="AT9" s="15" t="n"/>
      <c r="AV9" s="15" t="n"/>
      <c r="AW9" s="15" t="n"/>
      <c r="AX9" s="15" t="n"/>
      <c r="AY9" s="15" t="n"/>
      <c r="AZ9" s="15" t="n"/>
      <c r="BB9" s="68" t="n"/>
      <c r="BC9" s="68" t="n"/>
      <c r="BD9" s="15" t="n"/>
      <c r="BE9" s="16" t="n"/>
    </row>
    <row r="10">
      <c r="C10" s="15" t="n"/>
      <c r="D10" s="15" t="n"/>
      <c r="E10" s="69" t="n"/>
      <c r="F10" s="70" t="n"/>
      <c r="G10" s="70" t="n"/>
      <c r="H10" s="70" t="n"/>
      <c r="I10" s="81" t="n"/>
      <c r="J10" s="67" t="n"/>
      <c r="K10" s="67" t="n"/>
      <c r="L10" s="67" t="n"/>
      <c r="M10" s="67" t="n"/>
      <c r="N10" s="67" t="n"/>
      <c r="O10" s="67" t="n"/>
      <c r="AB10" s="15" t="n"/>
      <c r="AC10" s="15" t="n"/>
      <c r="AD10" s="15" t="n"/>
      <c r="AE10" s="15" t="n"/>
      <c r="AF10" s="16" t="n"/>
      <c r="AG10" s="15" t="n"/>
      <c r="AH10" s="67" t="n"/>
      <c r="AJ10" s="15" t="n"/>
      <c r="AK10" s="15" t="n"/>
      <c r="AL10" s="15" t="n"/>
      <c r="AM10" s="15" t="n"/>
      <c r="AN10" s="15" t="n"/>
      <c r="AP10" s="15" t="n"/>
      <c r="AQ10" s="15" t="n"/>
      <c r="AR10" s="15" t="n"/>
      <c r="AS10" s="15" t="n"/>
      <c r="AT10" s="15" t="n"/>
      <c r="AV10" s="15" t="n"/>
      <c r="AW10" s="15" t="n"/>
      <c r="AX10" s="15" t="n"/>
      <c r="AY10" s="15" t="n"/>
      <c r="AZ10" s="15" t="n"/>
      <c r="BB10" s="68" t="n"/>
      <c r="BC10" s="68" t="n"/>
      <c r="BD10" s="15" t="n"/>
      <c r="BE10" s="16" t="n"/>
    </row>
    <row r="11">
      <c r="A11" s="36" t="inlineStr">
        <is>
          <t>Acknowledged compounders</t>
        </is>
      </c>
      <c r="C11" s="15" t="n"/>
      <c r="D11" s="15" t="n"/>
      <c r="E11" s="69" t="n"/>
      <c r="F11" s="70" t="n"/>
      <c r="G11" s="70" t="n"/>
      <c r="H11" s="70" t="n"/>
      <c r="I11" s="81" t="n"/>
      <c r="J11" s="67" t="n"/>
      <c r="K11" s="67" t="n"/>
      <c r="L11" s="67" t="n"/>
      <c r="M11" s="67" t="n"/>
      <c r="N11" s="67" t="n"/>
      <c r="O11" s="67" t="n"/>
      <c r="AB11" s="15" t="n"/>
      <c r="AC11" s="15" t="n"/>
      <c r="AD11" s="15" t="n"/>
      <c r="AE11" s="15" t="n"/>
      <c r="AF11" s="16" t="n"/>
      <c r="AG11" s="15" t="n"/>
      <c r="AH11" s="67" t="n"/>
      <c r="AJ11" s="15" t="n"/>
      <c r="AK11" s="15" t="n"/>
      <c r="AL11" s="15" t="n"/>
      <c r="AM11" s="15" t="n"/>
      <c r="AN11" s="15" t="n"/>
      <c r="AP11" s="15" t="n"/>
      <c r="AQ11" s="15" t="n"/>
      <c r="AR11" s="15" t="n"/>
      <c r="AS11" s="15" t="n"/>
      <c r="AT11" s="15" t="n"/>
      <c r="AV11" s="15" t="n"/>
      <c r="AW11" s="15" t="n"/>
      <c r="AX11" s="15" t="n"/>
      <c r="AY11" s="15" t="n"/>
      <c r="AZ11" s="15" t="n"/>
      <c r="BB11" s="68" t="n"/>
      <c r="BC11" s="68" t="n"/>
      <c r="BD11" s="15" t="n"/>
      <c r="BE11" s="16" t="n"/>
    </row>
    <row r="12">
      <c r="A12" t="inlineStr">
        <is>
          <t>TDG</t>
        </is>
      </c>
      <c r="B12">
        <f>A12&amp;" US Equity"</f>
        <v/>
      </c>
      <c r="C12" s="15" t="inlineStr">
        <is>
          <t>Dec</t>
        </is>
      </c>
      <c r="D12" s="93">
        <f>BDP("=A12&amp;" US Equity"","CUR_MKT_CAP")/1000000000</f>
        <v/>
      </c>
      <c r="E12" s="94">
        <f>BDP("=A12&amp;" US Equity"","PX_LAST")</f>
        <v/>
      </c>
      <c r="F12" s="95">
        <f>IF(BDP("=A12&amp;" US Equity"","BEST_EPS","BEST_FPERIOD_OVERRIDE","26Y")&lt;&gt;0,$E$12/BDP("=A12&amp;" US Equity"","BEST_EPS","BEST_FPERIOD_OVERRIDE","26Y"),"")</f>
        <v/>
      </c>
      <c r="G12" s="95">
        <f>IF(BDP("=A12&amp;" US Equity"","BEST_EPS","BEST_FPERIOD_OVERRIDE","27Y")&lt;&gt;0,$E$12/BDP("=A12&amp;" US Equity"","BEST_EPS","BEST_FPERIOD_OVERRIDE","27Y"),"")</f>
        <v/>
      </c>
      <c r="H12" s="95">
        <f>IF(BDP("=A12&amp;" US Equity"","BEST_EPS","BEST_FPERIOD_OVERRIDE","28Y")&lt;&gt;0,$E$12/BDP("=A12&amp;" US Equity"","BEST_EPS","BEST_FPERIOD_OVERRIDE","28Y"),"")</f>
        <v/>
      </c>
      <c r="I12" s="96">
        <f>BDP("=A12&amp;" US Equity"","NET_DEBT_TO_EBITDA")</f>
        <v/>
      </c>
      <c r="J12" s="93">
        <f>BDP("=A12&amp;" US Equity"","BEST_SALES","BEST_FPERIOD_OVERRIDE","26Y")/1000</f>
        <v/>
      </c>
      <c r="K12" s="97">
        <f>IF(BDP("=A12&amp;" US Equity"","BEST_SALES","BEST_FPERIOD_OVERRIDE","26Y")&lt;&gt;0,BDP("=A12&amp;" US Equity"","BEST_EBIT","BEST_FPERIOD_OVERRIDE","26Y")/BDP("=A12&amp;" US Equity"","BEST_SALES","BEST_FPERIOD_OVERRIDE","26Y"),"")</f>
        <v/>
      </c>
      <c r="L12" s="97">
        <f>BDP("=A12&amp;" US Equity"","RETURN_ON_INV_CAPITAL")/100</f>
        <v/>
      </c>
      <c r="M12" s="97">
        <f>IF(AND(BDP("=A12&amp;" US Equity"","BEST_SALES","BEST_FPERIOD_OVERRIDE","25Y")&gt;0,BDP("=A12&amp;" US Equity"","BEST_SALES","BEST_FPERIOD_OVERRIDE","28Y")&gt;0),(BDP("=A12&amp;" US Equity"","BEST_SALES","BEST_FPERIOD_OVERRIDE","28Y")/BDP("=A12&amp;" US Equity"","BEST_SALES","BEST_FPERIOD_OVERRIDE","25Y"))^(1/3)-1,"")</f>
        <v/>
      </c>
      <c r="N12" s="97">
        <f>IF(AND(BDP("=A12&amp;" US Equity"","BEST_EBIT","BEST_FPERIOD_OVERRIDE","25Y")&gt;0,BDP("=A12&amp;" US Equity"","BEST_EBIT","BEST_FPERIOD_OVERRIDE","28Y")&gt;0),(BDP("=A12&amp;" US Equity"","BEST_EBIT","BEST_FPERIOD_OVERRIDE","28Y")/BDP("=A12&amp;" US Equity"","BEST_EBIT","BEST_FPERIOD_OVERRIDE","25Y"))^(1/3)-1,"")</f>
        <v/>
      </c>
      <c r="O12" s="97">
        <f>IF(AND(BDP("=A12&amp;" US Equity"","BEST_EPS","BEST_FPERIOD_OVERRIDE","25Y")&gt;0,BDP("=A12&amp;" US Equity"","BEST_EPS","BEST_FPERIOD_OVERRIDE","28Y")&gt;0),(BDP("=A12&amp;" US Equity"","BEST_EPS","BEST_FPERIOD_OVERRIDE","28Y")/BDP("=A12&amp;" US Equity"","BEST_EPS","BEST_FPERIOD_OVERRIDE","25Y"))^(1/3)-1,"")</f>
        <v/>
      </c>
      <c r="Q12" s="97">
        <f>BDP("=A12&amp;" US Equity"","CHG_PCT_YTD")/100</f>
        <v/>
      </c>
      <c r="T12" s="68">
        <f>IF(AND(F12&lt;&gt;"",O12&lt;&gt;"",O12&lt;&gt;0),F12/(O12*100),"")</f>
        <v/>
      </c>
      <c r="AB12" s="93">
        <f>BDP("=A12&amp;" US Equity"","TRAIL_12M_OPER_INC")</f>
        <v/>
      </c>
      <c r="AC12" s="93">
        <f>BDP("=A12&amp;" US Equity"","SHORT_AND_LONG_TERM_DEBT")</f>
        <v/>
      </c>
      <c r="AD12" s="93">
        <f>BDP("=A12&amp;" US Equity"","TOTAL_EQUITY")</f>
        <v/>
      </c>
      <c r="AE12" s="93">
        <f>BDP("=A12&amp;" US Equity"","BS_CASH_NEAR_CASH_ITEM")</f>
        <v/>
      </c>
      <c r="AF12" s="99">
        <f>BDP("=A12&amp;" US Equity"","BS_LT_INVEST")</f>
        <v/>
      </c>
      <c r="AG12" s="15">
        <f>AC12+AD12</f>
        <v/>
      </c>
      <c r="AH12" s="100">
        <f>BDP("=A12&amp;" US Equity"","RETURN_ON_INV_CAPITAL")/100</f>
        <v/>
      </c>
      <c r="AJ12" s="93">
        <f>BDP("=A12&amp;" US Equity"","BEST_EPS","BEST_FPERIOD_OVERRIDE","24Y")</f>
        <v/>
      </c>
      <c r="AK12" s="93">
        <f>BDP("=A12&amp;" US Equity"","BEST_EPS","BEST_FPERIOD_OVERRIDE","25Y")</f>
        <v/>
      </c>
      <c r="AL12" s="93">
        <f>BDP("=A12&amp;" US Equity"","BEST_EPS","BEST_FPERIOD_OVERRIDE","26Y")</f>
        <v/>
      </c>
      <c r="AM12" s="93">
        <f>BDP("=A12&amp;" US Equity"","BEST_EPS","BEST_FPERIOD_OVERRIDE","27Y")</f>
        <v/>
      </c>
      <c r="AN12" s="93">
        <f>BDP("=A12&amp;" US Equity"","BEST_EPS","BEST_FPERIOD_OVERRIDE","28Y")</f>
        <v/>
      </c>
      <c r="AP12" s="93">
        <f>BDP("=A12&amp;" US Equity"","BEST_SALES","BEST_FPERIOD_OVERRIDE","24Y")</f>
        <v/>
      </c>
      <c r="AQ12" s="93">
        <f>BDP("=A12&amp;" US Equity"","BEST_SALES","BEST_FPERIOD_OVERRIDE","25Y")</f>
        <v/>
      </c>
      <c r="AR12" s="93">
        <f>BDP("=A12&amp;" US Equity"","BEST_SALES","BEST_FPERIOD_OVERRIDE","26Y")</f>
        <v/>
      </c>
      <c r="AS12" s="93">
        <f>BDP("=A12&amp;" US Equity"","BEST_SALES","BEST_FPERIOD_OVERRIDE","27Y")</f>
        <v/>
      </c>
      <c r="AT12" s="93">
        <f>BDP("=A12&amp;" US Equity"","BEST_SALES","BEST_FPERIOD_OVERRIDE","28Y")</f>
        <v/>
      </c>
      <c r="AV12" s="93">
        <f>BDP("=A12&amp;" US Equity"","BEST_EBIT","BEST_FPERIOD_OVERRIDE","24Y")</f>
        <v/>
      </c>
      <c r="AW12" s="93">
        <f>BDP("=A12&amp;" US Equity"","BEST_EBIT","BEST_FPERIOD_OVERRIDE","25Y")</f>
        <v/>
      </c>
      <c r="AX12" s="93">
        <f>BDP("=A12&amp;" US Equity"","BEST_EBIT","BEST_FPERIOD_OVERRIDE","26Y")</f>
        <v/>
      </c>
      <c r="AY12" s="93">
        <f>BDP("=A12&amp;" US Equity"","BEST_EBIT","BEST_FPERIOD_OVERRIDE","27Y")</f>
        <v/>
      </c>
      <c r="AZ12" s="93">
        <f>BDP("=A12&amp;" US Equity"","BEST_EBIT","BEST_FPERIOD_OVERRIDE","28Y")</f>
        <v/>
      </c>
      <c r="BB12" s="68">
        <f>D12+BC12</f>
        <v/>
      </c>
      <c r="BC12" s="68">
        <f>AC12-AE12</f>
        <v/>
      </c>
      <c r="BD12" s="15">
        <f>D12</f>
        <v/>
      </c>
      <c r="BE12" s="99">
        <f>BDP("=A12&amp;" US Equity"","TRAIL_12M_EBITDA")</f>
        <v/>
      </c>
    </row>
    <row r="13">
      <c r="A13" t="inlineStr">
        <is>
          <t>MSFT</t>
        </is>
      </c>
      <c r="B13">
        <f>A13&amp;" US Equity"</f>
        <v/>
      </c>
      <c r="C13" s="15" t="inlineStr">
        <is>
          <t>Dec</t>
        </is>
      </c>
      <c r="D13" s="93">
        <f>BDP("=A13&amp;" US Equity"","CUR_MKT_CAP")/1000000000</f>
        <v/>
      </c>
      <c r="E13" s="94">
        <f>BDP("=A13&amp;" US Equity"","PX_LAST")</f>
        <v/>
      </c>
      <c r="F13" s="95">
        <f>IF(BDP("=A13&amp;" US Equity"","BEST_EPS","BEST_FPERIOD_OVERRIDE","26Y")&lt;&gt;0,$E$13/BDP("=A13&amp;" US Equity"","BEST_EPS","BEST_FPERIOD_OVERRIDE","26Y"),"")</f>
        <v/>
      </c>
      <c r="G13" s="95">
        <f>IF(BDP("=A13&amp;" US Equity"","BEST_EPS","BEST_FPERIOD_OVERRIDE","27Y")&lt;&gt;0,$E$13/BDP("=A13&amp;" US Equity"","BEST_EPS","BEST_FPERIOD_OVERRIDE","27Y"),"")</f>
        <v/>
      </c>
      <c r="H13" s="95">
        <f>IF(BDP("=A13&amp;" US Equity"","BEST_EPS","BEST_FPERIOD_OVERRIDE","28Y")&lt;&gt;0,$E$13/BDP("=A13&amp;" US Equity"","BEST_EPS","BEST_FPERIOD_OVERRIDE","28Y"),"")</f>
        <v/>
      </c>
      <c r="I13" s="96">
        <f>BDP("=A13&amp;" US Equity"","NET_DEBT_TO_EBITDA")</f>
        <v/>
      </c>
      <c r="J13" s="93">
        <f>BDP("=A13&amp;" US Equity"","BEST_SALES","BEST_FPERIOD_OVERRIDE","26Y")/1000</f>
        <v/>
      </c>
      <c r="K13" s="97">
        <f>IF(BDP("=A13&amp;" US Equity"","BEST_SALES","BEST_FPERIOD_OVERRIDE","26Y")&lt;&gt;0,BDP("=A13&amp;" US Equity"","BEST_EBIT","BEST_FPERIOD_OVERRIDE","26Y")/BDP("=A13&amp;" US Equity"","BEST_SALES","BEST_FPERIOD_OVERRIDE","26Y"),"")</f>
        <v/>
      </c>
      <c r="L13" s="97">
        <f>BDP("=A13&amp;" US Equity"","RETURN_ON_INV_CAPITAL")/100</f>
        <v/>
      </c>
      <c r="M13" s="97">
        <f>IF(AND(BDP("=A13&amp;" US Equity"","BEST_SALES","BEST_FPERIOD_OVERRIDE","25Y")&gt;0,BDP("=A13&amp;" US Equity"","BEST_SALES","BEST_FPERIOD_OVERRIDE","28Y")&gt;0),(BDP("=A13&amp;" US Equity"","BEST_SALES","BEST_FPERIOD_OVERRIDE","28Y")/BDP("=A13&amp;" US Equity"","BEST_SALES","BEST_FPERIOD_OVERRIDE","25Y"))^(1/3)-1,"")</f>
        <v/>
      </c>
      <c r="N13" s="97">
        <f>IF(AND(BDP("=A13&amp;" US Equity"","BEST_EBIT","BEST_FPERIOD_OVERRIDE","25Y")&gt;0,BDP("=A13&amp;" US Equity"","BEST_EBIT","BEST_FPERIOD_OVERRIDE","28Y")&gt;0),(BDP("=A13&amp;" US Equity"","BEST_EBIT","BEST_FPERIOD_OVERRIDE","28Y")/BDP("=A13&amp;" US Equity"","BEST_EBIT","BEST_FPERIOD_OVERRIDE","25Y"))^(1/3)-1,"")</f>
        <v/>
      </c>
      <c r="O13" s="97">
        <f>IF(AND(BDP("=A13&amp;" US Equity"","BEST_EPS","BEST_FPERIOD_OVERRIDE","25Y")&gt;0,BDP("=A13&amp;" US Equity"","BEST_EPS","BEST_FPERIOD_OVERRIDE","28Y")&gt;0),(BDP("=A13&amp;" US Equity"","BEST_EPS","BEST_FPERIOD_OVERRIDE","28Y")/BDP("=A13&amp;" US Equity"","BEST_EPS","BEST_FPERIOD_OVERRIDE","25Y"))^(1/3)-1,"")</f>
        <v/>
      </c>
      <c r="Q13" s="97">
        <f>BDP("=A13&amp;" US Equity"","CHG_PCT_YTD")/100</f>
        <v/>
      </c>
      <c r="T13" s="68">
        <f>IF(AND(F13&lt;&gt;"",O13&lt;&gt;"",O13&lt;&gt;0),F13/(O13*100),"")</f>
        <v/>
      </c>
      <c r="AB13" s="93">
        <f>BDP("=A13&amp;" US Equity"","TRAIL_12M_OPER_INC")</f>
        <v/>
      </c>
      <c r="AC13" s="93">
        <f>BDP("=A13&amp;" US Equity"","SHORT_AND_LONG_TERM_DEBT")</f>
        <v/>
      </c>
      <c r="AD13" s="93">
        <f>BDP("=A13&amp;" US Equity"","TOTAL_EQUITY")</f>
        <v/>
      </c>
      <c r="AE13" s="93">
        <f>BDP("=A13&amp;" US Equity"","BS_CASH_NEAR_CASH_ITEM")</f>
        <v/>
      </c>
      <c r="AF13" s="99">
        <f>BDP("=A13&amp;" US Equity"","BS_LT_INVEST")</f>
        <v/>
      </c>
      <c r="AG13" s="15">
        <f>AC13+AD13</f>
        <v/>
      </c>
      <c r="AH13" s="100">
        <f>BDP("=A13&amp;" US Equity"","RETURN_ON_INV_CAPITAL")/100</f>
        <v/>
      </c>
      <c r="AJ13" s="93">
        <f>BDP("=A13&amp;" US Equity"","BEST_EPS","BEST_FPERIOD_OVERRIDE","24Y")</f>
        <v/>
      </c>
      <c r="AK13" s="93">
        <f>BDP("=A13&amp;" US Equity"","BEST_EPS","BEST_FPERIOD_OVERRIDE","25Y")</f>
        <v/>
      </c>
      <c r="AL13" s="93">
        <f>BDP("=A13&amp;" US Equity"","BEST_EPS","BEST_FPERIOD_OVERRIDE","26Y")</f>
        <v/>
      </c>
      <c r="AM13" s="93">
        <f>BDP("=A13&amp;" US Equity"","BEST_EPS","BEST_FPERIOD_OVERRIDE","27Y")</f>
        <v/>
      </c>
      <c r="AN13" s="93">
        <f>BDP("=A13&amp;" US Equity"","BEST_EPS","BEST_FPERIOD_OVERRIDE","28Y")</f>
        <v/>
      </c>
      <c r="AP13" s="93">
        <f>BDP("=A13&amp;" US Equity"","BEST_SALES","BEST_FPERIOD_OVERRIDE","24Y")</f>
        <v/>
      </c>
      <c r="AQ13" s="93">
        <f>BDP("=A13&amp;" US Equity"","BEST_SALES","BEST_FPERIOD_OVERRIDE","25Y")</f>
        <v/>
      </c>
      <c r="AR13" s="93">
        <f>BDP("=A13&amp;" US Equity"","BEST_SALES","BEST_FPERIOD_OVERRIDE","26Y")</f>
        <v/>
      </c>
      <c r="AS13" s="93">
        <f>BDP("=A13&amp;" US Equity"","BEST_SALES","BEST_FPERIOD_OVERRIDE","27Y")</f>
        <v/>
      </c>
      <c r="AT13" s="93">
        <f>BDP("=A13&amp;" US Equity"","BEST_SALES","BEST_FPERIOD_OVERRIDE","28Y")</f>
        <v/>
      </c>
      <c r="AV13" s="93">
        <f>BDP("=A13&amp;" US Equity"","BEST_EBIT","BEST_FPERIOD_OVERRIDE","24Y")</f>
        <v/>
      </c>
      <c r="AW13" s="93">
        <f>BDP("=A13&amp;" US Equity"","BEST_EBIT","BEST_FPERIOD_OVERRIDE","25Y")</f>
        <v/>
      </c>
      <c r="AX13" s="93">
        <f>BDP("=A13&amp;" US Equity"","BEST_EBIT","BEST_FPERIOD_OVERRIDE","26Y")</f>
        <v/>
      </c>
      <c r="AY13" s="93">
        <f>BDP("=A13&amp;" US Equity"","BEST_EBIT","BEST_FPERIOD_OVERRIDE","27Y")</f>
        <v/>
      </c>
      <c r="AZ13" s="93">
        <f>BDP("=A13&amp;" US Equity"","BEST_EBIT","BEST_FPERIOD_OVERRIDE","28Y")</f>
        <v/>
      </c>
      <c r="BB13" s="68">
        <f>D13+BC13</f>
        <v/>
      </c>
      <c r="BC13" s="68">
        <f>AC13-AE13</f>
        <v/>
      </c>
      <c r="BD13" s="15">
        <f>D13</f>
        <v/>
      </c>
      <c r="BE13" s="99">
        <f>BDP("=A13&amp;" US Equity"","TRAIL_12M_EBITDA")</f>
        <v/>
      </c>
    </row>
    <row r="14">
      <c r="A14" t="inlineStr">
        <is>
          <t>V</t>
        </is>
      </c>
      <c r="B14">
        <f>A14&amp;" US Equity"</f>
        <v/>
      </c>
      <c r="C14" s="15" t="inlineStr">
        <is>
          <t>Dec</t>
        </is>
      </c>
      <c r="D14" s="93">
        <f>BDP("=A14&amp;" US Equity"","CUR_MKT_CAP")/1000000000</f>
        <v/>
      </c>
      <c r="E14" s="94">
        <f>BDP("=A14&amp;" US Equity"","PX_LAST")</f>
        <v/>
      </c>
      <c r="F14" s="95">
        <f>IF(BDP("=A14&amp;" US Equity"","BEST_EPS","BEST_FPERIOD_OVERRIDE","26Y")&lt;&gt;0,$E$14/BDP("=A14&amp;" US Equity"","BEST_EPS","BEST_FPERIOD_OVERRIDE","26Y"),"")</f>
        <v/>
      </c>
      <c r="G14" s="95">
        <f>IF(BDP("=A14&amp;" US Equity"","BEST_EPS","BEST_FPERIOD_OVERRIDE","27Y")&lt;&gt;0,$E$14/BDP("=A14&amp;" US Equity"","BEST_EPS","BEST_FPERIOD_OVERRIDE","27Y"),"")</f>
        <v/>
      </c>
      <c r="H14" s="95">
        <f>IF(BDP("=A14&amp;" US Equity"","BEST_EPS","BEST_FPERIOD_OVERRIDE","28Y")&lt;&gt;0,$E$14/BDP("=A14&amp;" US Equity"","BEST_EPS","BEST_FPERIOD_OVERRIDE","28Y"),"")</f>
        <v/>
      </c>
      <c r="I14" s="96">
        <f>BDP("=A14&amp;" US Equity"","NET_DEBT_TO_EBITDA")</f>
        <v/>
      </c>
      <c r="J14" s="93">
        <f>BDP("=A14&amp;" US Equity"","BEST_SALES","BEST_FPERIOD_OVERRIDE","26Y")/1000</f>
        <v/>
      </c>
      <c r="K14" s="97">
        <f>IF(BDP("=A14&amp;" US Equity"","BEST_SALES","BEST_FPERIOD_OVERRIDE","26Y")&lt;&gt;0,BDP("=A14&amp;" US Equity"","BEST_EBIT","BEST_FPERIOD_OVERRIDE","26Y")/BDP("=A14&amp;" US Equity"","BEST_SALES","BEST_FPERIOD_OVERRIDE","26Y"),"")</f>
        <v/>
      </c>
      <c r="L14" s="97">
        <f>BDP("=A14&amp;" US Equity"","RETURN_ON_INV_CAPITAL")/100</f>
        <v/>
      </c>
      <c r="M14" s="97">
        <f>IF(AND(BDP("=A14&amp;" US Equity"","BEST_SALES","BEST_FPERIOD_OVERRIDE","25Y")&gt;0,BDP("=A14&amp;" US Equity"","BEST_SALES","BEST_FPERIOD_OVERRIDE","28Y")&gt;0),(BDP("=A14&amp;" US Equity"","BEST_SALES","BEST_FPERIOD_OVERRIDE","28Y")/BDP("=A14&amp;" US Equity"","BEST_SALES","BEST_FPERIOD_OVERRIDE","25Y"))^(1/3)-1,"")</f>
        <v/>
      </c>
      <c r="N14" s="97">
        <f>IF(AND(BDP("=A14&amp;" US Equity"","BEST_EBIT","BEST_FPERIOD_OVERRIDE","25Y")&gt;0,BDP("=A14&amp;" US Equity"","BEST_EBIT","BEST_FPERIOD_OVERRIDE","28Y")&gt;0),(BDP("=A14&amp;" US Equity"","BEST_EBIT","BEST_FPERIOD_OVERRIDE","28Y")/BDP("=A14&amp;" US Equity"","BEST_EBIT","BEST_FPERIOD_OVERRIDE","25Y"))^(1/3)-1,"")</f>
        <v/>
      </c>
      <c r="O14" s="97">
        <f>IF(AND(BDP("=A14&amp;" US Equity"","BEST_EPS","BEST_FPERIOD_OVERRIDE","25Y")&gt;0,BDP("=A14&amp;" US Equity"","BEST_EPS","BEST_FPERIOD_OVERRIDE","28Y")&gt;0),(BDP("=A14&amp;" US Equity"","BEST_EPS","BEST_FPERIOD_OVERRIDE","28Y")/BDP("=A14&amp;" US Equity"","BEST_EPS","BEST_FPERIOD_OVERRIDE","25Y"))^(1/3)-1,"")</f>
        <v/>
      </c>
      <c r="Q14" s="97">
        <f>BDP("=A14&amp;" US Equity"","CHG_PCT_YTD")/100</f>
        <v/>
      </c>
      <c r="T14" s="68">
        <f>IF(AND(F14&lt;&gt;"",O14&lt;&gt;"",O14&lt;&gt;0),F14/(O14*100),"")</f>
        <v/>
      </c>
      <c r="AB14" s="93">
        <f>BDP("=A14&amp;" US Equity"","TRAIL_12M_OPER_INC")</f>
        <v/>
      </c>
      <c r="AC14" s="93">
        <f>BDP("=A14&amp;" US Equity"","SHORT_AND_LONG_TERM_DEBT")</f>
        <v/>
      </c>
      <c r="AD14" s="93">
        <f>BDP("=A14&amp;" US Equity"","TOTAL_EQUITY")</f>
        <v/>
      </c>
      <c r="AE14" s="93">
        <f>BDP("=A14&amp;" US Equity"","BS_CASH_NEAR_CASH_ITEM")</f>
        <v/>
      </c>
      <c r="AF14" s="99">
        <f>BDP("=A14&amp;" US Equity"","BS_LT_INVEST")</f>
        <v/>
      </c>
      <c r="AG14" s="15">
        <f>AC14+AD14</f>
        <v/>
      </c>
      <c r="AH14" s="100">
        <f>BDP("=A14&amp;" US Equity"","RETURN_ON_INV_CAPITAL")/100</f>
        <v/>
      </c>
      <c r="AJ14" s="93">
        <f>BDP("=A14&amp;" US Equity"","BEST_EPS","BEST_FPERIOD_OVERRIDE","24Y")</f>
        <v/>
      </c>
      <c r="AK14" s="93">
        <f>BDP("=A14&amp;" US Equity"","BEST_EPS","BEST_FPERIOD_OVERRIDE","25Y")</f>
        <v/>
      </c>
      <c r="AL14" s="93">
        <f>BDP("=A14&amp;" US Equity"","BEST_EPS","BEST_FPERIOD_OVERRIDE","26Y")</f>
        <v/>
      </c>
      <c r="AM14" s="93">
        <f>BDP("=A14&amp;" US Equity"","BEST_EPS","BEST_FPERIOD_OVERRIDE","27Y")</f>
        <v/>
      </c>
      <c r="AN14" s="93">
        <f>BDP("=A14&amp;" US Equity"","BEST_EPS","BEST_FPERIOD_OVERRIDE","28Y")</f>
        <v/>
      </c>
      <c r="AP14" s="93">
        <f>BDP("=A14&amp;" US Equity"","BEST_SALES","BEST_FPERIOD_OVERRIDE","24Y")</f>
        <v/>
      </c>
      <c r="AQ14" s="93">
        <f>BDP("=A14&amp;" US Equity"","BEST_SALES","BEST_FPERIOD_OVERRIDE","25Y")</f>
        <v/>
      </c>
      <c r="AR14" s="93">
        <f>BDP("=A14&amp;" US Equity"","BEST_SALES","BEST_FPERIOD_OVERRIDE","26Y")</f>
        <v/>
      </c>
      <c r="AS14" s="93">
        <f>BDP("=A14&amp;" US Equity"","BEST_SALES","BEST_FPERIOD_OVERRIDE","27Y")</f>
        <v/>
      </c>
      <c r="AT14" s="93">
        <f>BDP("=A14&amp;" US Equity"","BEST_SALES","BEST_FPERIOD_OVERRIDE","28Y")</f>
        <v/>
      </c>
      <c r="AV14" s="93">
        <f>BDP("=A14&amp;" US Equity"","BEST_EBIT","BEST_FPERIOD_OVERRIDE","24Y")</f>
        <v/>
      </c>
      <c r="AW14" s="93">
        <f>BDP("=A14&amp;" US Equity"","BEST_EBIT","BEST_FPERIOD_OVERRIDE","25Y")</f>
        <v/>
      </c>
      <c r="AX14" s="93">
        <f>BDP("=A14&amp;" US Equity"","BEST_EBIT","BEST_FPERIOD_OVERRIDE","26Y")</f>
        <v/>
      </c>
      <c r="AY14" s="93">
        <f>BDP("=A14&amp;" US Equity"","BEST_EBIT","BEST_FPERIOD_OVERRIDE","27Y")</f>
        <v/>
      </c>
      <c r="AZ14" s="93">
        <f>BDP("=A14&amp;" US Equity"","BEST_EBIT","BEST_FPERIOD_OVERRIDE","28Y")</f>
        <v/>
      </c>
      <c r="BB14" s="68">
        <f>D14+BC14</f>
        <v/>
      </c>
      <c r="BC14" s="68">
        <f>AC14-AE14</f>
        <v/>
      </c>
      <c r="BD14" s="15">
        <f>D14</f>
        <v/>
      </c>
      <c r="BE14" s="99">
        <f>BDP("=A14&amp;" US Equity"","TRAIL_12M_EBITDA")</f>
        <v/>
      </c>
    </row>
    <row r="15">
      <c r="A15" t="inlineStr">
        <is>
          <t>SPGI</t>
        </is>
      </c>
      <c r="B15">
        <f>A15&amp;" US Equity"</f>
        <v/>
      </c>
      <c r="C15" s="15" t="inlineStr">
        <is>
          <t>Dec</t>
        </is>
      </c>
      <c r="D15" s="93">
        <f>BDP("=A15&amp;" US Equity"","CUR_MKT_CAP")/1000000000</f>
        <v/>
      </c>
      <c r="E15" s="94">
        <f>BDP("=A15&amp;" US Equity"","PX_LAST")</f>
        <v/>
      </c>
      <c r="F15" s="95">
        <f>IF(BDP("=A15&amp;" US Equity"","BEST_EPS","BEST_FPERIOD_OVERRIDE","26Y")&lt;&gt;0,$E$15/BDP("=A15&amp;" US Equity"","BEST_EPS","BEST_FPERIOD_OVERRIDE","26Y"),"")</f>
        <v/>
      </c>
      <c r="G15" s="95">
        <f>IF(BDP("=A15&amp;" US Equity"","BEST_EPS","BEST_FPERIOD_OVERRIDE","27Y")&lt;&gt;0,$E$15/BDP("=A15&amp;" US Equity"","BEST_EPS","BEST_FPERIOD_OVERRIDE","27Y"),"")</f>
        <v/>
      </c>
      <c r="H15" s="95">
        <f>IF(BDP("=A15&amp;" US Equity"","BEST_EPS","BEST_FPERIOD_OVERRIDE","28Y")&lt;&gt;0,$E$15/BDP("=A15&amp;" US Equity"","BEST_EPS","BEST_FPERIOD_OVERRIDE","28Y"),"")</f>
        <v/>
      </c>
      <c r="I15" s="96">
        <f>BDP("=A15&amp;" US Equity"","NET_DEBT_TO_EBITDA")</f>
        <v/>
      </c>
      <c r="J15" s="93">
        <f>BDP("=A15&amp;" US Equity"","BEST_SALES","BEST_FPERIOD_OVERRIDE","26Y")/1000</f>
        <v/>
      </c>
      <c r="K15" s="97">
        <f>IF(BDP("=A15&amp;" US Equity"","BEST_SALES","BEST_FPERIOD_OVERRIDE","26Y")&lt;&gt;0,BDP("=A15&amp;" US Equity"","BEST_EBIT","BEST_FPERIOD_OVERRIDE","26Y")/BDP("=A15&amp;" US Equity"","BEST_SALES","BEST_FPERIOD_OVERRIDE","26Y"),"")</f>
        <v/>
      </c>
      <c r="L15" s="97">
        <f>BDP("=A15&amp;" US Equity"","RETURN_ON_INV_CAPITAL")/100</f>
        <v/>
      </c>
      <c r="M15" s="97">
        <f>IF(AND(BDP("=A15&amp;" US Equity"","BEST_SALES","BEST_FPERIOD_OVERRIDE","25Y")&gt;0,BDP("=A15&amp;" US Equity"","BEST_SALES","BEST_FPERIOD_OVERRIDE","28Y")&gt;0),(BDP("=A15&amp;" US Equity"","BEST_SALES","BEST_FPERIOD_OVERRIDE","28Y")/BDP("=A15&amp;" US Equity"","BEST_SALES","BEST_FPERIOD_OVERRIDE","25Y"))^(1/3)-1,"")</f>
        <v/>
      </c>
      <c r="N15" s="97">
        <f>IF(AND(BDP("=A15&amp;" US Equity"","BEST_EBIT","BEST_FPERIOD_OVERRIDE","25Y")&gt;0,BDP("=A15&amp;" US Equity"","BEST_EBIT","BEST_FPERIOD_OVERRIDE","28Y")&gt;0),(BDP("=A15&amp;" US Equity"","BEST_EBIT","BEST_FPERIOD_OVERRIDE","28Y")/BDP("=A15&amp;" US Equity"","BEST_EBIT","BEST_FPERIOD_OVERRIDE","25Y"))^(1/3)-1,"")</f>
        <v/>
      </c>
      <c r="O15" s="97">
        <f>IF(AND(BDP("=A15&amp;" US Equity"","BEST_EPS","BEST_FPERIOD_OVERRIDE","25Y")&gt;0,BDP("=A15&amp;" US Equity"","BEST_EPS","BEST_FPERIOD_OVERRIDE","28Y")&gt;0),(BDP("=A15&amp;" US Equity"","BEST_EPS","BEST_FPERIOD_OVERRIDE","28Y")/BDP("=A15&amp;" US Equity"","BEST_EPS","BEST_FPERIOD_OVERRIDE","25Y"))^(1/3)-1,"")</f>
        <v/>
      </c>
      <c r="Q15" s="97">
        <f>BDP("=A15&amp;" US Equity"","CHG_PCT_YTD")/100</f>
        <v/>
      </c>
      <c r="T15" s="68">
        <f>IF(AND(F15&lt;&gt;"",O15&lt;&gt;"",O15&lt;&gt;0),F15/(O15*100),"")</f>
        <v/>
      </c>
      <c r="AB15" s="93">
        <f>BDP("=A15&amp;" US Equity"","TRAIL_12M_OPER_INC")</f>
        <v/>
      </c>
      <c r="AC15" s="93">
        <f>BDP("=A15&amp;" US Equity"","SHORT_AND_LONG_TERM_DEBT")</f>
        <v/>
      </c>
      <c r="AD15" s="93">
        <f>BDP("=A15&amp;" US Equity"","TOTAL_EQUITY")</f>
        <v/>
      </c>
      <c r="AE15" s="93">
        <f>BDP("=A15&amp;" US Equity"","BS_CASH_NEAR_CASH_ITEM")</f>
        <v/>
      </c>
      <c r="AF15" s="99">
        <f>BDP("=A15&amp;" US Equity"","BS_LT_INVEST")</f>
        <v/>
      </c>
      <c r="AG15" s="15">
        <f>AC15+AD15</f>
        <v/>
      </c>
      <c r="AH15" s="100">
        <f>BDP("=A15&amp;" US Equity"","RETURN_ON_INV_CAPITAL")/100</f>
        <v/>
      </c>
      <c r="AJ15" s="93">
        <f>BDP("=A15&amp;" US Equity"","BEST_EPS","BEST_FPERIOD_OVERRIDE","24Y")</f>
        <v/>
      </c>
      <c r="AK15" s="93">
        <f>BDP("=A15&amp;" US Equity"","BEST_EPS","BEST_FPERIOD_OVERRIDE","25Y")</f>
        <v/>
      </c>
      <c r="AL15" s="93">
        <f>BDP("=A15&amp;" US Equity"","BEST_EPS","BEST_FPERIOD_OVERRIDE","26Y")</f>
        <v/>
      </c>
      <c r="AM15" s="93">
        <f>BDP("=A15&amp;" US Equity"","BEST_EPS","BEST_FPERIOD_OVERRIDE","27Y")</f>
        <v/>
      </c>
      <c r="AN15" s="93">
        <f>BDP("=A15&amp;" US Equity"","BEST_EPS","BEST_FPERIOD_OVERRIDE","28Y")</f>
        <v/>
      </c>
      <c r="AP15" s="93">
        <f>BDP("=A15&amp;" US Equity"","BEST_SALES","BEST_FPERIOD_OVERRIDE","24Y")</f>
        <v/>
      </c>
      <c r="AQ15" s="93">
        <f>BDP("=A15&amp;" US Equity"","BEST_SALES","BEST_FPERIOD_OVERRIDE","25Y")</f>
        <v/>
      </c>
      <c r="AR15" s="93">
        <f>BDP("=A15&amp;" US Equity"","BEST_SALES","BEST_FPERIOD_OVERRIDE","26Y")</f>
        <v/>
      </c>
      <c r="AS15" s="93">
        <f>BDP("=A15&amp;" US Equity"","BEST_SALES","BEST_FPERIOD_OVERRIDE","27Y")</f>
        <v/>
      </c>
      <c r="AT15" s="93">
        <f>BDP("=A15&amp;" US Equity"","BEST_SALES","BEST_FPERIOD_OVERRIDE","28Y")</f>
        <v/>
      </c>
      <c r="AV15" s="93">
        <f>BDP("=A15&amp;" US Equity"","BEST_EBIT","BEST_FPERIOD_OVERRIDE","24Y")</f>
        <v/>
      </c>
      <c r="AW15" s="93">
        <f>BDP("=A15&amp;" US Equity"","BEST_EBIT","BEST_FPERIOD_OVERRIDE","25Y")</f>
        <v/>
      </c>
      <c r="AX15" s="93">
        <f>BDP("=A15&amp;" US Equity"","BEST_EBIT","BEST_FPERIOD_OVERRIDE","26Y")</f>
        <v/>
      </c>
      <c r="AY15" s="93">
        <f>BDP("=A15&amp;" US Equity"","BEST_EBIT","BEST_FPERIOD_OVERRIDE","27Y")</f>
        <v/>
      </c>
      <c r="AZ15" s="93">
        <f>BDP("=A15&amp;" US Equity"","BEST_EBIT","BEST_FPERIOD_OVERRIDE","28Y")</f>
        <v/>
      </c>
      <c r="BB15" s="68">
        <f>D15+BC15</f>
        <v/>
      </c>
      <c r="BC15" s="68">
        <f>AC15-AE15</f>
        <v/>
      </c>
      <c r="BD15" s="15">
        <f>D15</f>
        <v/>
      </c>
      <c r="BE15" s="99">
        <f>BDP("=A15&amp;" US Equity"","TRAIL_12M_EBITDA")</f>
        <v/>
      </c>
    </row>
    <row r="16">
      <c r="A16" s="37" t="inlineStr">
        <is>
          <t>Average</t>
        </is>
      </c>
      <c r="B16" s="36" t="n"/>
      <c r="C16" s="38" t="n"/>
      <c r="D16" s="38" t="n"/>
      <c r="E16" s="82" t="n"/>
      <c r="F16" s="83">
        <f>AVERAGE(F12:F15)</f>
        <v/>
      </c>
      <c r="G16" s="83">
        <f>AVERAGE(G12:G15)</f>
        <v/>
      </c>
      <c r="H16" s="83">
        <f>AVERAGE(H12:H15)</f>
        <v/>
      </c>
      <c r="I16" s="84">
        <f>AVERAGE(I12:I15)</f>
        <v/>
      </c>
      <c r="J16" s="85" t="n"/>
      <c r="K16" s="85">
        <f>AVERAGE(K12:K15)</f>
        <v/>
      </c>
      <c r="L16" s="85">
        <f>AVERAGE(L12:L15)</f>
        <v/>
      </c>
      <c r="M16" s="85">
        <f>AVERAGE(M12:M15)</f>
        <v/>
      </c>
      <c r="N16" s="85">
        <f>AVERAGE(N12:N15)</f>
        <v/>
      </c>
      <c r="O16" s="85">
        <f>AVERAGE(O12:O15)</f>
        <v/>
      </c>
      <c r="P16" s="36" t="n"/>
      <c r="Q16" s="36" t="n"/>
      <c r="R16" s="36" t="n"/>
      <c r="S16" s="36" t="n"/>
      <c r="T16" s="86">
        <f>F16/O16/100</f>
        <v/>
      </c>
      <c r="AB16" s="15" t="n"/>
      <c r="AC16" s="15" t="n"/>
      <c r="AD16" s="15" t="n"/>
      <c r="AE16" s="15" t="n"/>
      <c r="AF16" s="16" t="n"/>
      <c r="AG16" s="15" t="n"/>
      <c r="AH16" s="67" t="n"/>
      <c r="AJ16" s="15" t="n"/>
      <c r="AK16" s="15" t="n"/>
      <c r="AL16" s="15" t="n"/>
      <c r="AM16" s="15" t="n"/>
      <c r="AN16" s="15" t="n"/>
      <c r="AP16" s="15" t="n"/>
      <c r="AQ16" s="15" t="n"/>
      <c r="AR16" s="15" t="n"/>
      <c r="AS16" s="15" t="n"/>
      <c r="AT16" s="15" t="n"/>
      <c r="AV16" s="15" t="n"/>
      <c r="AW16" s="15" t="n"/>
      <c r="AX16" s="15" t="n"/>
      <c r="AY16" s="15" t="n"/>
      <c r="AZ16" s="15" t="n"/>
      <c r="BB16" s="68" t="n"/>
      <c r="BC16" s="68" t="n"/>
      <c r="BD16" s="15" t="n"/>
      <c r="BE16" s="16" t="n"/>
    </row>
    <row r="17">
      <c r="C17" s="15" t="n"/>
      <c r="D17" s="15" t="n"/>
      <c r="E17" s="69" t="n"/>
      <c r="F17" s="70" t="n"/>
      <c r="G17" s="70" t="n"/>
      <c r="H17" s="70" t="n"/>
      <c r="I17" s="71" t="n"/>
      <c r="J17" s="15" t="n"/>
      <c r="K17" s="72" t="n"/>
      <c r="L17" s="72" t="n"/>
      <c r="M17" s="72" t="n"/>
      <c r="N17" s="72" t="n"/>
      <c r="O17" s="72" t="n"/>
      <c r="AB17" s="15" t="n"/>
      <c r="AC17" s="15" t="n"/>
      <c r="AD17" s="15" t="n"/>
      <c r="AE17" s="15" t="n"/>
      <c r="AF17" s="16" t="n"/>
      <c r="AG17" s="15" t="n"/>
      <c r="AH17" s="67" t="n"/>
      <c r="AJ17" s="15" t="n"/>
      <c r="AK17" s="15" t="n"/>
      <c r="AL17" s="15" t="n"/>
      <c r="AM17" s="15" t="n"/>
      <c r="AN17" s="15" t="n"/>
      <c r="AP17" s="15" t="n"/>
      <c r="AQ17" s="15" t="n"/>
      <c r="AR17" s="15" t="n"/>
      <c r="AS17" s="15" t="n"/>
      <c r="AT17" s="15" t="n"/>
      <c r="AV17" s="15" t="n"/>
      <c r="AW17" s="15" t="n"/>
      <c r="AX17" s="15" t="n"/>
      <c r="AY17" s="15" t="n"/>
      <c r="AZ17" s="15" t="n"/>
      <c r="BB17" s="68" t="n"/>
      <c r="BC17" s="68" t="n"/>
      <c r="BD17" s="15" t="n"/>
      <c r="BE17" s="16" t="n"/>
    </row>
    <row r="18">
      <c r="A18" s="36" t="inlineStr">
        <is>
          <t>CPG / health and personal care</t>
        </is>
      </c>
      <c r="C18" s="15" t="n"/>
      <c r="D18" s="15" t="n"/>
      <c r="E18" s="69" t="n"/>
      <c r="F18" s="70" t="n"/>
      <c r="G18" s="70" t="n"/>
      <c r="H18" s="70" t="n"/>
      <c r="I18" s="81" t="n"/>
      <c r="J18" s="67" t="n"/>
      <c r="K18" s="67" t="n"/>
      <c r="L18" s="67" t="n"/>
      <c r="M18" s="67" t="n"/>
      <c r="N18" s="67" t="n"/>
      <c r="O18" s="67" t="n"/>
      <c r="AB18" s="15" t="n"/>
      <c r="AC18" s="15" t="n"/>
      <c r="AD18" s="15" t="n"/>
      <c r="AE18" s="15" t="n"/>
      <c r="AF18" s="16" t="n"/>
      <c r="AG18" s="15" t="n"/>
      <c r="AH18" s="67" t="n"/>
      <c r="AJ18" s="15" t="n"/>
      <c r="AK18" s="15" t="n"/>
      <c r="AL18" s="15" t="n"/>
      <c r="AM18" s="15" t="n"/>
      <c r="AN18" s="15" t="n"/>
      <c r="AP18" s="15" t="n"/>
      <c r="AQ18" s="15" t="n"/>
      <c r="AR18" s="15" t="n"/>
      <c r="AS18" s="15" t="n"/>
      <c r="AT18" s="15" t="n"/>
      <c r="AV18" s="15" t="n"/>
      <c r="AW18" s="15" t="n"/>
      <c r="AX18" s="15" t="n"/>
      <c r="AY18" s="15" t="n"/>
      <c r="AZ18" s="15" t="n"/>
      <c r="BB18" s="68" t="n"/>
      <c r="BC18" s="68" t="n"/>
      <c r="BD18" s="15" t="n"/>
      <c r="BE18" s="16" t="n"/>
    </row>
    <row r="19">
      <c r="A19" t="inlineStr">
        <is>
          <t>PG</t>
        </is>
      </c>
      <c r="B19">
        <f>A19&amp;" US Equity"</f>
        <v/>
      </c>
      <c r="C19" s="15" t="inlineStr">
        <is>
          <t>Dec</t>
        </is>
      </c>
      <c r="D19" s="93">
        <f>BDP("=A19&amp;" US Equity"","CUR_MKT_CAP")/1000000000</f>
        <v/>
      </c>
      <c r="E19" s="94">
        <f>BDP("=A19&amp;" US Equity"","PX_LAST")</f>
        <v/>
      </c>
      <c r="F19" s="95">
        <f>IF(BDP("=A19&amp;" US Equity"","BEST_EPS","BEST_FPERIOD_OVERRIDE","26Y")&lt;&gt;0,$E$19/BDP("=A19&amp;" US Equity"","BEST_EPS","BEST_FPERIOD_OVERRIDE","26Y"),"")</f>
        <v/>
      </c>
      <c r="G19" s="95">
        <f>IF(BDP("=A19&amp;" US Equity"","BEST_EPS","BEST_FPERIOD_OVERRIDE","27Y")&lt;&gt;0,$E$19/BDP("=A19&amp;" US Equity"","BEST_EPS","BEST_FPERIOD_OVERRIDE","27Y"),"")</f>
        <v/>
      </c>
      <c r="H19" s="95">
        <f>IF(BDP("=A19&amp;" US Equity"","BEST_EPS","BEST_FPERIOD_OVERRIDE","28Y")&lt;&gt;0,$E$19/BDP("=A19&amp;" US Equity"","BEST_EPS","BEST_FPERIOD_OVERRIDE","28Y"),"")</f>
        <v/>
      </c>
      <c r="I19" s="96">
        <f>BDP("=A19&amp;" US Equity"","NET_DEBT_TO_EBITDA")</f>
        <v/>
      </c>
      <c r="J19" s="93">
        <f>BDP("=A19&amp;" US Equity"","BEST_SALES","BEST_FPERIOD_OVERRIDE","26Y")/1000</f>
        <v/>
      </c>
      <c r="K19" s="97">
        <f>IF(BDP("=A19&amp;" US Equity"","BEST_SALES","BEST_FPERIOD_OVERRIDE","26Y")&lt;&gt;0,BDP("=A19&amp;" US Equity"","BEST_EBIT","BEST_FPERIOD_OVERRIDE","26Y")/BDP("=A19&amp;" US Equity"","BEST_SALES","BEST_FPERIOD_OVERRIDE","26Y"),"")</f>
        <v/>
      </c>
      <c r="L19" s="97">
        <f>BDP("=A19&amp;" US Equity"","RETURN_ON_INV_CAPITAL")/100</f>
        <v/>
      </c>
      <c r="M19" s="97">
        <f>IF(AND(BDP("=A19&amp;" US Equity"","BEST_SALES","BEST_FPERIOD_OVERRIDE","25Y")&gt;0,BDP("=A19&amp;" US Equity"","BEST_SALES","BEST_FPERIOD_OVERRIDE","28Y")&gt;0),(BDP("=A19&amp;" US Equity"","BEST_SALES","BEST_FPERIOD_OVERRIDE","28Y")/BDP("=A19&amp;" US Equity"","BEST_SALES","BEST_FPERIOD_OVERRIDE","25Y"))^(1/3)-1,"")</f>
        <v/>
      </c>
      <c r="N19" s="97">
        <f>IF(AND(BDP("=A19&amp;" US Equity"","BEST_EBIT","BEST_FPERIOD_OVERRIDE","25Y")&gt;0,BDP("=A19&amp;" US Equity"","BEST_EBIT","BEST_FPERIOD_OVERRIDE","28Y")&gt;0),(BDP("=A19&amp;" US Equity"","BEST_EBIT","BEST_FPERIOD_OVERRIDE","28Y")/BDP("=A19&amp;" US Equity"","BEST_EBIT","BEST_FPERIOD_OVERRIDE","25Y"))^(1/3)-1,"")</f>
        <v/>
      </c>
      <c r="O19" s="97">
        <f>IF(AND(BDP("=A19&amp;" US Equity"","BEST_EPS","BEST_FPERIOD_OVERRIDE","25Y")&gt;0,BDP("=A19&amp;" US Equity"","BEST_EPS","BEST_FPERIOD_OVERRIDE","28Y")&gt;0),(BDP("=A19&amp;" US Equity"","BEST_EPS","BEST_FPERIOD_OVERRIDE","28Y")/BDP("=A19&amp;" US Equity"","BEST_EPS","BEST_FPERIOD_OVERRIDE","25Y"))^(1/3)-1,"")</f>
        <v/>
      </c>
      <c r="Q19" s="97">
        <f>BDP("=A19&amp;" US Equity"","CHG_PCT_YTD")/100</f>
        <v/>
      </c>
      <c r="T19" s="68">
        <f>IF(AND(F19&lt;&gt;"",O19&lt;&gt;"",O19&lt;&gt;0),F19/(O19*100),"")</f>
        <v/>
      </c>
      <c r="AB19" s="93">
        <f>BDP("=A19&amp;" US Equity"","TRAIL_12M_OPER_INC")</f>
        <v/>
      </c>
      <c r="AC19" s="93">
        <f>BDP("=A19&amp;" US Equity"","SHORT_AND_LONG_TERM_DEBT")</f>
        <v/>
      </c>
      <c r="AD19" s="93">
        <f>BDP("=A19&amp;" US Equity"","TOTAL_EQUITY")</f>
        <v/>
      </c>
      <c r="AE19" s="93">
        <f>BDP("=A19&amp;" US Equity"","BS_CASH_NEAR_CASH_ITEM")</f>
        <v/>
      </c>
      <c r="AF19" s="99">
        <f>BDP("=A19&amp;" US Equity"","BS_LT_INVEST")</f>
        <v/>
      </c>
      <c r="AG19" s="15">
        <f>AC19+AD19</f>
        <v/>
      </c>
      <c r="AH19" s="100">
        <f>BDP("=A19&amp;" US Equity"","RETURN_ON_INV_CAPITAL")/100</f>
        <v/>
      </c>
      <c r="AJ19" s="93">
        <f>BDP("=A19&amp;" US Equity"","BEST_EPS","BEST_FPERIOD_OVERRIDE","24Y")</f>
        <v/>
      </c>
      <c r="AK19" s="93">
        <f>BDP("=A19&amp;" US Equity"","BEST_EPS","BEST_FPERIOD_OVERRIDE","25Y")</f>
        <v/>
      </c>
      <c r="AL19" s="93">
        <f>BDP("=A19&amp;" US Equity"","BEST_EPS","BEST_FPERIOD_OVERRIDE","26Y")</f>
        <v/>
      </c>
      <c r="AM19" s="93">
        <f>BDP("=A19&amp;" US Equity"","BEST_EPS","BEST_FPERIOD_OVERRIDE","27Y")</f>
        <v/>
      </c>
      <c r="AN19" s="93">
        <f>BDP("=A19&amp;" US Equity"","BEST_EPS","BEST_FPERIOD_OVERRIDE","28Y")</f>
        <v/>
      </c>
      <c r="AP19" s="93">
        <f>BDP("=A19&amp;" US Equity"","BEST_SALES","BEST_FPERIOD_OVERRIDE","24Y")</f>
        <v/>
      </c>
      <c r="AQ19" s="93">
        <f>BDP("=A19&amp;" US Equity"","BEST_SALES","BEST_FPERIOD_OVERRIDE","25Y")</f>
        <v/>
      </c>
      <c r="AR19" s="93">
        <f>BDP("=A19&amp;" US Equity"","BEST_SALES","BEST_FPERIOD_OVERRIDE","26Y")</f>
        <v/>
      </c>
      <c r="AS19" s="93">
        <f>BDP("=A19&amp;" US Equity"","BEST_SALES","BEST_FPERIOD_OVERRIDE","27Y")</f>
        <v/>
      </c>
      <c r="AT19" s="93">
        <f>BDP("=A19&amp;" US Equity"","BEST_SALES","BEST_FPERIOD_OVERRIDE","28Y")</f>
        <v/>
      </c>
      <c r="AV19" s="93">
        <f>BDP("=A19&amp;" US Equity"","BEST_EBIT","BEST_FPERIOD_OVERRIDE","24Y")</f>
        <v/>
      </c>
      <c r="AW19" s="93">
        <f>BDP("=A19&amp;" US Equity"","BEST_EBIT","BEST_FPERIOD_OVERRIDE","25Y")</f>
        <v/>
      </c>
      <c r="AX19" s="93">
        <f>BDP("=A19&amp;" US Equity"","BEST_EBIT","BEST_FPERIOD_OVERRIDE","26Y")</f>
        <v/>
      </c>
      <c r="AY19" s="93">
        <f>BDP("=A19&amp;" US Equity"","BEST_EBIT","BEST_FPERIOD_OVERRIDE","27Y")</f>
        <v/>
      </c>
      <c r="AZ19" s="93">
        <f>BDP("=A19&amp;" US Equity"","BEST_EBIT","BEST_FPERIOD_OVERRIDE","28Y")</f>
        <v/>
      </c>
      <c r="BB19" s="68">
        <f>D19+BC19</f>
        <v/>
      </c>
      <c r="BC19" s="68">
        <f>AC19-AE19</f>
        <v/>
      </c>
      <c r="BD19" s="15">
        <f>D19</f>
        <v/>
      </c>
      <c r="BE19" s="99">
        <f>BDP("=A19&amp;" US Equity"","TRAIL_12M_EBITDA")</f>
        <v/>
      </c>
    </row>
    <row r="20">
      <c r="A20" t="inlineStr">
        <is>
          <t>KO</t>
        </is>
      </c>
      <c r="B20">
        <f>A20&amp;" US Equity"</f>
        <v/>
      </c>
      <c r="C20" s="15" t="inlineStr">
        <is>
          <t>Dec</t>
        </is>
      </c>
      <c r="D20" s="93">
        <f>BDP("=A20&amp;" US Equity"","CUR_MKT_CAP")/1000000000</f>
        <v/>
      </c>
      <c r="E20" s="94">
        <f>BDP("=A20&amp;" US Equity"","PX_LAST")</f>
        <v/>
      </c>
      <c r="F20" s="95">
        <f>IF(BDP("=A20&amp;" US Equity"","BEST_EPS","BEST_FPERIOD_OVERRIDE","26Y")&lt;&gt;0,$E$20/BDP("=A20&amp;" US Equity"","BEST_EPS","BEST_FPERIOD_OVERRIDE","26Y"),"")</f>
        <v/>
      </c>
      <c r="G20" s="95">
        <f>IF(BDP("=A20&amp;" US Equity"","BEST_EPS","BEST_FPERIOD_OVERRIDE","27Y")&lt;&gt;0,$E$20/BDP("=A20&amp;" US Equity"","BEST_EPS","BEST_FPERIOD_OVERRIDE","27Y"),"")</f>
        <v/>
      </c>
      <c r="H20" s="95">
        <f>IF(BDP("=A20&amp;" US Equity"","BEST_EPS","BEST_FPERIOD_OVERRIDE","28Y")&lt;&gt;0,$E$20/BDP("=A20&amp;" US Equity"","BEST_EPS","BEST_FPERIOD_OVERRIDE","28Y"),"")</f>
        <v/>
      </c>
      <c r="I20" s="96">
        <f>BDP("=A20&amp;" US Equity"","NET_DEBT_TO_EBITDA")</f>
        <v/>
      </c>
      <c r="J20" s="93">
        <f>BDP("=A20&amp;" US Equity"","BEST_SALES","BEST_FPERIOD_OVERRIDE","26Y")/1000</f>
        <v/>
      </c>
      <c r="K20" s="97">
        <f>IF(BDP("=A20&amp;" US Equity"","BEST_SALES","BEST_FPERIOD_OVERRIDE","26Y")&lt;&gt;0,BDP("=A20&amp;" US Equity"","BEST_EBIT","BEST_FPERIOD_OVERRIDE","26Y")/BDP("=A20&amp;" US Equity"","BEST_SALES","BEST_FPERIOD_OVERRIDE","26Y"),"")</f>
        <v/>
      </c>
      <c r="L20" s="97">
        <f>BDP("=A20&amp;" US Equity"","RETURN_ON_INV_CAPITAL")/100</f>
        <v/>
      </c>
      <c r="M20" s="97">
        <f>IF(AND(BDP("=A20&amp;" US Equity"","BEST_SALES","BEST_FPERIOD_OVERRIDE","25Y")&gt;0,BDP("=A20&amp;" US Equity"","BEST_SALES","BEST_FPERIOD_OVERRIDE","28Y")&gt;0),(BDP("=A20&amp;" US Equity"","BEST_SALES","BEST_FPERIOD_OVERRIDE","28Y")/BDP("=A20&amp;" US Equity"","BEST_SALES","BEST_FPERIOD_OVERRIDE","25Y"))^(1/3)-1,"")</f>
        <v/>
      </c>
      <c r="N20" s="97">
        <f>IF(AND(BDP("=A20&amp;" US Equity"","BEST_EBIT","BEST_FPERIOD_OVERRIDE","25Y")&gt;0,BDP("=A20&amp;" US Equity"","BEST_EBIT","BEST_FPERIOD_OVERRIDE","28Y")&gt;0),(BDP("=A20&amp;" US Equity"","BEST_EBIT","BEST_FPERIOD_OVERRIDE","28Y")/BDP("=A20&amp;" US Equity"","BEST_EBIT","BEST_FPERIOD_OVERRIDE","25Y"))^(1/3)-1,"")</f>
        <v/>
      </c>
      <c r="O20" s="97">
        <f>IF(AND(BDP("=A20&amp;" US Equity"","BEST_EPS","BEST_FPERIOD_OVERRIDE","25Y")&gt;0,BDP("=A20&amp;" US Equity"","BEST_EPS","BEST_FPERIOD_OVERRIDE","28Y")&gt;0),(BDP("=A20&amp;" US Equity"","BEST_EPS","BEST_FPERIOD_OVERRIDE","28Y")/BDP("=A20&amp;" US Equity"","BEST_EPS","BEST_FPERIOD_OVERRIDE","25Y"))^(1/3)-1,"")</f>
        <v/>
      </c>
      <c r="Q20" s="97">
        <f>BDP("=A20&amp;" US Equity"","CHG_PCT_YTD")/100</f>
        <v/>
      </c>
      <c r="T20" s="68">
        <f>IF(AND(F20&lt;&gt;"",O20&lt;&gt;"",O20&lt;&gt;0),F20/(O20*100),"")</f>
        <v/>
      </c>
      <c r="AB20" s="93">
        <f>BDP("=A20&amp;" US Equity"","TRAIL_12M_OPER_INC")</f>
        <v/>
      </c>
      <c r="AC20" s="93">
        <f>BDP("=A20&amp;" US Equity"","SHORT_AND_LONG_TERM_DEBT")</f>
        <v/>
      </c>
      <c r="AD20" s="93">
        <f>BDP("=A20&amp;" US Equity"","TOTAL_EQUITY")</f>
        <v/>
      </c>
      <c r="AE20" s="93">
        <f>BDP("=A20&amp;" US Equity"","BS_CASH_NEAR_CASH_ITEM")</f>
        <v/>
      </c>
      <c r="AF20" s="99">
        <f>BDP("=A20&amp;" US Equity"","BS_LT_INVEST")</f>
        <v/>
      </c>
      <c r="AG20" s="15">
        <f>AC20+AD20</f>
        <v/>
      </c>
      <c r="AH20" s="100">
        <f>BDP("=A20&amp;" US Equity"","RETURN_ON_INV_CAPITAL")/100</f>
        <v/>
      </c>
      <c r="AJ20" s="93">
        <f>BDP("=A20&amp;" US Equity"","BEST_EPS","BEST_FPERIOD_OVERRIDE","24Y")</f>
        <v/>
      </c>
      <c r="AK20" s="93">
        <f>BDP("=A20&amp;" US Equity"","BEST_EPS","BEST_FPERIOD_OVERRIDE","25Y")</f>
        <v/>
      </c>
      <c r="AL20" s="93">
        <f>BDP("=A20&amp;" US Equity"","BEST_EPS","BEST_FPERIOD_OVERRIDE","26Y")</f>
        <v/>
      </c>
      <c r="AM20" s="93">
        <f>BDP("=A20&amp;" US Equity"","BEST_EPS","BEST_FPERIOD_OVERRIDE","27Y")</f>
        <v/>
      </c>
      <c r="AN20" s="93">
        <f>BDP("=A20&amp;" US Equity"","BEST_EPS","BEST_FPERIOD_OVERRIDE","28Y")</f>
        <v/>
      </c>
      <c r="AP20" s="93">
        <f>BDP("=A20&amp;" US Equity"","BEST_SALES","BEST_FPERIOD_OVERRIDE","24Y")</f>
        <v/>
      </c>
      <c r="AQ20" s="93">
        <f>BDP("=A20&amp;" US Equity"","BEST_SALES","BEST_FPERIOD_OVERRIDE","25Y")</f>
        <v/>
      </c>
      <c r="AR20" s="93">
        <f>BDP("=A20&amp;" US Equity"","BEST_SALES","BEST_FPERIOD_OVERRIDE","26Y")</f>
        <v/>
      </c>
      <c r="AS20" s="93">
        <f>BDP("=A20&amp;" US Equity"","BEST_SALES","BEST_FPERIOD_OVERRIDE","27Y")</f>
        <v/>
      </c>
      <c r="AT20" s="93">
        <f>BDP("=A20&amp;" US Equity"","BEST_SALES","BEST_FPERIOD_OVERRIDE","28Y")</f>
        <v/>
      </c>
      <c r="AV20" s="93">
        <f>BDP("=A20&amp;" US Equity"","BEST_EBIT","BEST_FPERIOD_OVERRIDE","24Y")</f>
        <v/>
      </c>
      <c r="AW20" s="93">
        <f>BDP("=A20&amp;" US Equity"","BEST_EBIT","BEST_FPERIOD_OVERRIDE","25Y")</f>
        <v/>
      </c>
      <c r="AX20" s="93">
        <f>BDP("=A20&amp;" US Equity"","BEST_EBIT","BEST_FPERIOD_OVERRIDE","26Y")</f>
        <v/>
      </c>
      <c r="AY20" s="93">
        <f>BDP("=A20&amp;" US Equity"","BEST_EBIT","BEST_FPERIOD_OVERRIDE","27Y")</f>
        <v/>
      </c>
      <c r="AZ20" s="93">
        <f>BDP("=A20&amp;" US Equity"","BEST_EBIT","BEST_FPERIOD_OVERRIDE","28Y")</f>
        <v/>
      </c>
      <c r="BB20" s="68">
        <f>D20+BC20</f>
        <v/>
      </c>
      <c r="BC20" s="68">
        <f>AC20-AE20</f>
        <v/>
      </c>
      <c r="BD20" s="15">
        <f>D20</f>
        <v/>
      </c>
      <c r="BE20" s="99">
        <f>BDP("=A20&amp;" US Equity"","TRAIL_12M_EBITDA")</f>
        <v/>
      </c>
    </row>
    <row r="21">
      <c r="A21" t="inlineStr">
        <is>
          <t>CHD</t>
        </is>
      </c>
      <c r="B21">
        <f>A21&amp;" US Equity"</f>
        <v/>
      </c>
      <c r="C21" s="15" t="inlineStr">
        <is>
          <t>Dec</t>
        </is>
      </c>
      <c r="D21" s="93">
        <f>BDP("=A21&amp;" US Equity"","CUR_MKT_CAP")/1000000000</f>
        <v/>
      </c>
      <c r="E21" s="94">
        <f>BDP("=A21&amp;" US Equity"","PX_LAST")</f>
        <v/>
      </c>
      <c r="F21" s="95">
        <f>IF(BDP("=A21&amp;" US Equity"","BEST_EPS","BEST_FPERIOD_OVERRIDE","26Y")&lt;&gt;0,$E$21/BDP("=A21&amp;" US Equity"","BEST_EPS","BEST_FPERIOD_OVERRIDE","26Y"),"")</f>
        <v/>
      </c>
      <c r="G21" s="95">
        <f>IF(BDP("=A21&amp;" US Equity"","BEST_EPS","BEST_FPERIOD_OVERRIDE","27Y")&lt;&gt;0,$E$21/BDP("=A21&amp;" US Equity"","BEST_EPS","BEST_FPERIOD_OVERRIDE","27Y"),"")</f>
        <v/>
      </c>
      <c r="H21" s="95">
        <f>IF(BDP("=A21&amp;" US Equity"","BEST_EPS","BEST_FPERIOD_OVERRIDE","28Y")&lt;&gt;0,$E$21/BDP("=A21&amp;" US Equity"","BEST_EPS","BEST_FPERIOD_OVERRIDE","28Y"),"")</f>
        <v/>
      </c>
      <c r="I21" s="96">
        <f>BDP("=A21&amp;" US Equity"","NET_DEBT_TO_EBITDA")</f>
        <v/>
      </c>
      <c r="J21" s="93">
        <f>BDP("=A21&amp;" US Equity"","BEST_SALES","BEST_FPERIOD_OVERRIDE","26Y")/1000</f>
        <v/>
      </c>
      <c r="K21" s="97">
        <f>IF(BDP("=A21&amp;" US Equity"","BEST_SALES","BEST_FPERIOD_OVERRIDE","26Y")&lt;&gt;0,BDP("=A21&amp;" US Equity"","BEST_EBIT","BEST_FPERIOD_OVERRIDE","26Y")/BDP("=A21&amp;" US Equity"","BEST_SALES","BEST_FPERIOD_OVERRIDE","26Y"),"")</f>
        <v/>
      </c>
      <c r="L21" s="97">
        <f>BDP("=A21&amp;" US Equity"","RETURN_ON_INV_CAPITAL")/100</f>
        <v/>
      </c>
      <c r="M21" s="97">
        <f>IF(AND(BDP("=A21&amp;" US Equity"","BEST_SALES","BEST_FPERIOD_OVERRIDE","25Y")&gt;0,BDP("=A21&amp;" US Equity"","BEST_SALES","BEST_FPERIOD_OVERRIDE","28Y")&gt;0),(BDP("=A21&amp;" US Equity"","BEST_SALES","BEST_FPERIOD_OVERRIDE","28Y")/BDP("=A21&amp;" US Equity"","BEST_SALES","BEST_FPERIOD_OVERRIDE","25Y"))^(1/3)-1,"")</f>
        <v/>
      </c>
      <c r="N21" s="97">
        <f>IF(AND(BDP("=A21&amp;" US Equity"","BEST_EBIT","BEST_FPERIOD_OVERRIDE","25Y")&gt;0,BDP("=A21&amp;" US Equity"","BEST_EBIT","BEST_FPERIOD_OVERRIDE","28Y")&gt;0),(BDP("=A21&amp;" US Equity"","BEST_EBIT","BEST_FPERIOD_OVERRIDE","28Y")/BDP("=A21&amp;" US Equity"","BEST_EBIT","BEST_FPERIOD_OVERRIDE","25Y"))^(1/3)-1,"")</f>
        <v/>
      </c>
      <c r="O21" s="97">
        <f>IF(AND(BDP("=A21&amp;" US Equity"","BEST_EPS","BEST_FPERIOD_OVERRIDE","25Y")&gt;0,BDP("=A21&amp;" US Equity"","BEST_EPS","BEST_FPERIOD_OVERRIDE","28Y")&gt;0),(BDP("=A21&amp;" US Equity"","BEST_EPS","BEST_FPERIOD_OVERRIDE","28Y")/BDP("=A21&amp;" US Equity"","BEST_EPS","BEST_FPERIOD_OVERRIDE","25Y"))^(1/3)-1,"")</f>
        <v/>
      </c>
      <c r="Q21" s="97">
        <f>BDP("=A21&amp;" US Equity"","CHG_PCT_YTD")/100</f>
        <v/>
      </c>
      <c r="T21" s="68">
        <f>IF(AND(F21&lt;&gt;"",O21&lt;&gt;"",O21&lt;&gt;0),F21/(O21*100),"")</f>
        <v/>
      </c>
      <c r="AB21" s="93">
        <f>BDP("=A21&amp;" US Equity"","TRAIL_12M_OPER_INC")</f>
        <v/>
      </c>
      <c r="AC21" s="93">
        <f>BDP("=A21&amp;" US Equity"","SHORT_AND_LONG_TERM_DEBT")</f>
        <v/>
      </c>
      <c r="AD21" s="93">
        <f>BDP("=A21&amp;" US Equity"","TOTAL_EQUITY")</f>
        <v/>
      </c>
      <c r="AE21" s="93">
        <f>BDP("=A21&amp;" US Equity"","BS_CASH_NEAR_CASH_ITEM")</f>
        <v/>
      </c>
      <c r="AF21" s="99">
        <f>BDP("=A21&amp;" US Equity"","BS_LT_INVEST")</f>
        <v/>
      </c>
      <c r="AG21" s="15">
        <f>AC21+AD21</f>
        <v/>
      </c>
      <c r="AH21" s="100">
        <f>BDP("=A21&amp;" US Equity"","RETURN_ON_INV_CAPITAL")/100</f>
        <v/>
      </c>
      <c r="AJ21" s="93">
        <f>BDP("=A21&amp;" US Equity"","BEST_EPS","BEST_FPERIOD_OVERRIDE","24Y")</f>
        <v/>
      </c>
      <c r="AK21" s="93">
        <f>BDP("=A21&amp;" US Equity"","BEST_EPS","BEST_FPERIOD_OVERRIDE","25Y")</f>
        <v/>
      </c>
      <c r="AL21" s="93">
        <f>BDP("=A21&amp;" US Equity"","BEST_EPS","BEST_FPERIOD_OVERRIDE","26Y")</f>
        <v/>
      </c>
      <c r="AM21" s="93">
        <f>BDP("=A21&amp;" US Equity"","BEST_EPS","BEST_FPERIOD_OVERRIDE","27Y")</f>
        <v/>
      </c>
      <c r="AN21" s="93">
        <f>BDP("=A21&amp;" US Equity"","BEST_EPS","BEST_FPERIOD_OVERRIDE","28Y")</f>
        <v/>
      </c>
      <c r="AP21" s="93">
        <f>BDP("=A21&amp;" US Equity"","BEST_SALES","BEST_FPERIOD_OVERRIDE","24Y")</f>
        <v/>
      </c>
      <c r="AQ21" s="93">
        <f>BDP("=A21&amp;" US Equity"","BEST_SALES","BEST_FPERIOD_OVERRIDE","25Y")</f>
        <v/>
      </c>
      <c r="AR21" s="93">
        <f>BDP("=A21&amp;" US Equity"","BEST_SALES","BEST_FPERIOD_OVERRIDE","26Y")</f>
        <v/>
      </c>
      <c r="AS21" s="93">
        <f>BDP("=A21&amp;" US Equity"","BEST_SALES","BEST_FPERIOD_OVERRIDE","27Y")</f>
        <v/>
      </c>
      <c r="AT21" s="93">
        <f>BDP("=A21&amp;" US Equity"","BEST_SALES","BEST_FPERIOD_OVERRIDE","28Y")</f>
        <v/>
      </c>
      <c r="AV21" s="93">
        <f>BDP("=A21&amp;" US Equity"","BEST_EBIT","BEST_FPERIOD_OVERRIDE","24Y")</f>
        <v/>
      </c>
      <c r="AW21" s="93">
        <f>BDP("=A21&amp;" US Equity"","BEST_EBIT","BEST_FPERIOD_OVERRIDE","25Y")</f>
        <v/>
      </c>
      <c r="AX21" s="93">
        <f>BDP("=A21&amp;" US Equity"","BEST_EBIT","BEST_FPERIOD_OVERRIDE","26Y")</f>
        <v/>
      </c>
      <c r="AY21" s="93">
        <f>BDP("=A21&amp;" US Equity"","BEST_EBIT","BEST_FPERIOD_OVERRIDE","27Y")</f>
        <v/>
      </c>
      <c r="AZ21" s="93">
        <f>BDP("=A21&amp;" US Equity"","BEST_EBIT","BEST_FPERIOD_OVERRIDE","28Y")</f>
        <v/>
      </c>
      <c r="BB21" s="68">
        <f>D21+BC21</f>
        <v/>
      </c>
      <c r="BC21" s="68">
        <f>AC21-AE21</f>
        <v/>
      </c>
      <c r="BD21" s="15">
        <f>D21</f>
        <v/>
      </c>
      <c r="BE21" s="99">
        <f>BDP("=A21&amp;" US Equity"","TRAIL_12M_EBITDA")</f>
        <v/>
      </c>
    </row>
    <row r="22">
      <c r="A22" t="inlineStr">
        <is>
          <t>CL</t>
        </is>
      </c>
      <c r="B22">
        <f>A22&amp;" US Equity"</f>
        <v/>
      </c>
      <c r="C22" s="15" t="inlineStr">
        <is>
          <t>Dec</t>
        </is>
      </c>
      <c r="D22" s="93">
        <f>BDP("=A22&amp;" US Equity"","CUR_MKT_CAP")/1000000000</f>
        <v/>
      </c>
      <c r="E22" s="94">
        <f>BDP("=A22&amp;" US Equity"","PX_LAST")</f>
        <v/>
      </c>
      <c r="F22" s="95">
        <f>IF(BDP("=A22&amp;" US Equity"","BEST_EPS","BEST_FPERIOD_OVERRIDE","26Y")&lt;&gt;0,$E$22/BDP("=A22&amp;" US Equity"","BEST_EPS","BEST_FPERIOD_OVERRIDE","26Y"),"")</f>
        <v/>
      </c>
      <c r="G22" s="95">
        <f>IF(BDP("=A22&amp;" US Equity"","BEST_EPS","BEST_FPERIOD_OVERRIDE","27Y")&lt;&gt;0,$E$22/BDP("=A22&amp;" US Equity"","BEST_EPS","BEST_FPERIOD_OVERRIDE","27Y"),"")</f>
        <v/>
      </c>
      <c r="H22" s="95">
        <f>IF(BDP("=A22&amp;" US Equity"","BEST_EPS","BEST_FPERIOD_OVERRIDE","28Y")&lt;&gt;0,$E$22/BDP("=A22&amp;" US Equity"","BEST_EPS","BEST_FPERIOD_OVERRIDE","28Y"),"")</f>
        <v/>
      </c>
      <c r="I22" s="96">
        <f>BDP("=A22&amp;" US Equity"","NET_DEBT_TO_EBITDA")</f>
        <v/>
      </c>
      <c r="J22" s="93">
        <f>BDP("=A22&amp;" US Equity"","BEST_SALES","BEST_FPERIOD_OVERRIDE","26Y")/1000</f>
        <v/>
      </c>
      <c r="K22" s="97">
        <f>IF(BDP("=A22&amp;" US Equity"","BEST_SALES","BEST_FPERIOD_OVERRIDE","26Y")&lt;&gt;0,BDP("=A22&amp;" US Equity"","BEST_EBIT","BEST_FPERIOD_OVERRIDE","26Y")/BDP("=A22&amp;" US Equity"","BEST_SALES","BEST_FPERIOD_OVERRIDE","26Y"),"")</f>
        <v/>
      </c>
      <c r="L22" s="97">
        <f>BDP("=A22&amp;" US Equity"","RETURN_ON_INV_CAPITAL")/100</f>
        <v/>
      </c>
      <c r="M22" s="97">
        <f>IF(AND(BDP("=A22&amp;" US Equity"","BEST_SALES","BEST_FPERIOD_OVERRIDE","25Y")&gt;0,BDP("=A22&amp;" US Equity"","BEST_SALES","BEST_FPERIOD_OVERRIDE","28Y")&gt;0),(BDP("=A22&amp;" US Equity"","BEST_SALES","BEST_FPERIOD_OVERRIDE","28Y")/BDP("=A22&amp;" US Equity"","BEST_SALES","BEST_FPERIOD_OVERRIDE","25Y"))^(1/3)-1,"")</f>
        <v/>
      </c>
      <c r="N22" s="97">
        <f>IF(AND(BDP("=A22&amp;" US Equity"","BEST_EBIT","BEST_FPERIOD_OVERRIDE","25Y")&gt;0,BDP("=A22&amp;" US Equity"","BEST_EBIT","BEST_FPERIOD_OVERRIDE","28Y")&gt;0),(BDP("=A22&amp;" US Equity"","BEST_EBIT","BEST_FPERIOD_OVERRIDE","28Y")/BDP("=A22&amp;" US Equity"","BEST_EBIT","BEST_FPERIOD_OVERRIDE","25Y"))^(1/3)-1,"")</f>
        <v/>
      </c>
      <c r="O22" s="97">
        <f>IF(AND(BDP("=A22&amp;" US Equity"","BEST_EPS","BEST_FPERIOD_OVERRIDE","25Y")&gt;0,BDP("=A22&amp;" US Equity"","BEST_EPS","BEST_FPERIOD_OVERRIDE","28Y")&gt;0),(BDP("=A22&amp;" US Equity"","BEST_EPS","BEST_FPERIOD_OVERRIDE","28Y")/BDP("=A22&amp;" US Equity"","BEST_EPS","BEST_FPERIOD_OVERRIDE","25Y"))^(1/3)-1,"")</f>
        <v/>
      </c>
      <c r="Q22" s="97">
        <f>BDP("=A22&amp;" US Equity"","CHG_PCT_YTD")/100</f>
        <v/>
      </c>
      <c r="T22" s="68">
        <f>IF(AND(F22&lt;&gt;"",O22&lt;&gt;"",O22&lt;&gt;0),F22/(O22*100),"")</f>
        <v/>
      </c>
      <c r="AB22" s="93">
        <f>BDP("=A22&amp;" US Equity"","TRAIL_12M_OPER_INC")</f>
        <v/>
      </c>
      <c r="AC22" s="93">
        <f>BDP("=A22&amp;" US Equity"","SHORT_AND_LONG_TERM_DEBT")</f>
        <v/>
      </c>
      <c r="AD22" s="93">
        <f>BDP("=A22&amp;" US Equity"","TOTAL_EQUITY")</f>
        <v/>
      </c>
      <c r="AE22" s="93">
        <f>BDP("=A22&amp;" US Equity"","BS_CASH_NEAR_CASH_ITEM")</f>
        <v/>
      </c>
      <c r="AF22" s="99">
        <f>BDP("=A22&amp;" US Equity"","BS_LT_INVEST")</f>
        <v/>
      </c>
      <c r="AG22" s="15">
        <f>AC22+AD22</f>
        <v/>
      </c>
      <c r="AH22" s="100">
        <f>BDP("=A22&amp;" US Equity"","RETURN_ON_INV_CAPITAL")/100</f>
        <v/>
      </c>
      <c r="AJ22" s="93">
        <f>BDP("=A22&amp;" US Equity"","BEST_EPS","BEST_FPERIOD_OVERRIDE","24Y")</f>
        <v/>
      </c>
      <c r="AK22" s="93">
        <f>BDP("=A22&amp;" US Equity"","BEST_EPS","BEST_FPERIOD_OVERRIDE","25Y")</f>
        <v/>
      </c>
      <c r="AL22" s="93">
        <f>BDP("=A22&amp;" US Equity"","BEST_EPS","BEST_FPERIOD_OVERRIDE","26Y")</f>
        <v/>
      </c>
      <c r="AM22" s="93">
        <f>BDP("=A22&amp;" US Equity"","BEST_EPS","BEST_FPERIOD_OVERRIDE","27Y")</f>
        <v/>
      </c>
      <c r="AN22" s="93">
        <f>BDP("=A22&amp;" US Equity"","BEST_EPS","BEST_FPERIOD_OVERRIDE","28Y")</f>
        <v/>
      </c>
      <c r="AP22" s="93">
        <f>BDP("=A22&amp;" US Equity"","BEST_SALES","BEST_FPERIOD_OVERRIDE","24Y")</f>
        <v/>
      </c>
      <c r="AQ22" s="93">
        <f>BDP("=A22&amp;" US Equity"","BEST_SALES","BEST_FPERIOD_OVERRIDE","25Y")</f>
        <v/>
      </c>
      <c r="AR22" s="93">
        <f>BDP("=A22&amp;" US Equity"","BEST_SALES","BEST_FPERIOD_OVERRIDE","26Y")</f>
        <v/>
      </c>
      <c r="AS22" s="93">
        <f>BDP("=A22&amp;" US Equity"","BEST_SALES","BEST_FPERIOD_OVERRIDE","27Y")</f>
        <v/>
      </c>
      <c r="AT22" s="93">
        <f>BDP("=A22&amp;" US Equity"","BEST_SALES","BEST_FPERIOD_OVERRIDE","28Y")</f>
        <v/>
      </c>
      <c r="AV22" s="93">
        <f>BDP("=A22&amp;" US Equity"","BEST_EBIT","BEST_FPERIOD_OVERRIDE","24Y")</f>
        <v/>
      </c>
      <c r="AW22" s="93">
        <f>BDP("=A22&amp;" US Equity"","BEST_EBIT","BEST_FPERIOD_OVERRIDE","25Y")</f>
        <v/>
      </c>
      <c r="AX22" s="93">
        <f>BDP("=A22&amp;" US Equity"","BEST_EBIT","BEST_FPERIOD_OVERRIDE","26Y")</f>
        <v/>
      </c>
      <c r="AY22" s="93">
        <f>BDP("=A22&amp;" US Equity"","BEST_EBIT","BEST_FPERIOD_OVERRIDE","27Y")</f>
        <v/>
      </c>
      <c r="AZ22" s="93">
        <f>BDP("=A22&amp;" US Equity"","BEST_EBIT","BEST_FPERIOD_OVERRIDE","28Y")</f>
        <v/>
      </c>
      <c r="BB22" s="68">
        <f>D22+BC22</f>
        <v/>
      </c>
      <c r="BC22" s="68">
        <f>AC22-AE22</f>
        <v/>
      </c>
      <c r="BD22" s="15">
        <f>D22</f>
        <v/>
      </c>
      <c r="BE22" s="99">
        <f>BDP("=A22&amp;" US Equity"","TRAIL_12M_EBITDA")</f>
        <v/>
      </c>
    </row>
    <row r="23">
      <c r="A23" t="inlineStr">
        <is>
          <t>CLX</t>
        </is>
      </c>
      <c r="B23">
        <f>A23&amp;" US Equity"</f>
        <v/>
      </c>
      <c r="C23" s="15" t="inlineStr">
        <is>
          <t>Dec</t>
        </is>
      </c>
      <c r="D23" s="93">
        <f>BDP("=A23&amp;" US Equity"","CUR_MKT_CAP")/1000000000</f>
        <v/>
      </c>
      <c r="E23" s="94">
        <f>BDP("=A23&amp;" US Equity"","PX_LAST")</f>
        <v/>
      </c>
      <c r="F23" s="95">
        <f>IF(BDP("=A23&amp;" US Equity"","BEST_EPS","BEST_FPERIOD_OVERRIDE","26Y")&lt;&gt;0,$E$23/BDP("=A23&amp;" US Equity"","BEST_EPS","BEST_FPERIOD_OVERRIDE","26Y"),"")</f>
        <v/>
      </c>
      <c r="G23" s="95">
        <f>IF(BDP("=A23&amp;" US Equity"","BEST_EPS","BEST_FPERIOD_OVERRIDE","27Y")&lt;&gt;0,$E$23/BDP("=A23&amp;" US Equity"","BEST_EPS","BEST_FPERIOD_OVERRIDE","27Y"),"")</f>
        <v/>
      </c>
      <c r="H23" s="95">
        <f>IF(BDP("=A23&amp;" US Equity"","BEST_EPS","BEST_FPERIOD_OVERRIDE","28Y")&lt;&gt;0,$E$23/BDP("=A23&amp;" US Equity"","BEST_EPS","BEST_FPERIOD_OVERRIDE","28Y"),"")</f>
        <v/>
      </c>
      <c r="I23" s="96">
        <f>BDP("=A23&amp;" US Equity"","NET_DEBT_TO_EBITDA")</f>
        <v/>
      </c>
      <c r="J23" s="93">
        <f>BDP("=A23&amp;" US Equity"","BEST_SALES","BEST_FPERIOD_OVERRIDE","26Y")/1000</f>
        <v/>
      </c>
      <c r="K23" s="97">
        <f>IF(BDP("=A23&amp;" US Equity"","BEST_SALES","BEST_FPERIOD_OVERRIDE","26Y")&lt;&gt;0,BDP("=A23&amp;" US Equity"","BEST_EBIT","BEST_FPERIOD_OVERRIDE","26Y")/BDP("=A23&amp;" US Equity"","BEST_SALES","BEST_FPERIOD_OVERRIDE","26Y"),"")</f>
        <v/>
      </c>
      <c r="L23" s="97">
        <f>BDP("=A23&amp;" US Equity"","RETURN_ON_INV_CAPITAL")/100</f>
        <v/>
      </c>
      <c r="M23" s="97">
        <f>IF(AND(BDP("=A23&amp;" US Equity"","BEST_SALES","BEST_FPERIOD_OVERRIDE","25Y")&gt;0,BDP("=A23&amp;" US Equity"","BEST_SALES","BEST_FPERIOD_OVERRIDE","28Y")&gt;0),(BDP("=A23&amp;" US Equity"","BEST_SALES","BEST_FPERIOD_OVERRIDE","28Y")/BDP("=A23&amp;" US Equity"","BEST_SALES","BEST_FPERIOD_OVERRIDE","25Y"))^(1/3)-1,"")</f>
        <v/>
      </c>
      <c r="N23" s="97">
        <f>IF(AND(BDP("=A23&amp;" US Equity"","BEST_EBIT","BEST_FPERIOD_OVERRIDE","25Y")&gt;0,BDP("=A23&amp;" US Equity"","BEST_EBIT","BEST_FPERIOD_OVERRIDE","28Y")&gt;0),(BDP("=A23&amp;" US Equity"","BEST_EBIT","BEST_FPERIOD_OVERRIDE","28Y")/BDP("=A23&amp;" US Equity"","BEST_EBIT","BEST_FPERIOD_OVERRIDE","25Y"))^(1/3)-1,"")</f>
        <v/>
      </c>
      <c r="O23" s="97">
        <f>IF(AND(BDP("=A23&amp;" US Equity"","BEST_EPS","BEST_FPERIOD_OVERRIDE","25Y")&gt;0,BDP("=A23&amp;" US Equity"","BEST_EPS","BEST_FPERIOD_OVERRIDE","28Y")&gt;0),(BDP("=A23&amp;" US Equity"","BEST_EPS","BEST_FPERIOD_OVERRIDE","28Y")/BDP("=A23&amp;" US Equity"","BEST_EPS","BEST_FPERIOD_OVERRIDE","25Y"))^(1/3)-1,"")</f>
        <v/>
      </c>
      <c r="Q23" s="97">
        <f>BDP("=A23&amp;" US Equity"","CHG_PCT_YTD")/100</f>
        <v/>
      </c>
      <c r="T23" s="68">
        <f>IF(AND(F23&lt;&gt;"",O23&lt;&gt;"",O23&lt;&gt;0),F23/(O23*100),"")</f>
        <v/>
      </c>
      <c r="AB23" s="93">
        <f>BDP("=A23&amp;" US Equity"","TRAIL_12M_OPER_INC")</f>
        <v/>
      </c>
      <c r="AC23" s="93">
        <f>BDP("=A23&amp;" US Equity"","SHORT_AND_LONG_TERM_DEBT")</f>
        <v/>
      </c>
      <c r="AD23" s="93">
        <f>BDP("=A23&amp;" US Equity"","TOTAL_EQUITY")</f>
        <v/>
      </c>
      <c r="AE23" s="93">
        <f>BDP("=A23&amp;" US Equity"","BS_CASH_NEAR_CASH_ITEM")</f>
        <v/>
      </c>
      <c r="AF23" s="99">
        <f>BDP("=A23&amp;" US Equity"","BS_LT_INVEST")</f>
        <v/>
      </c>
      <c r="AG23" s="15">
        <f>AC23+AD23</f>
        <v/>
      </c>
      <c r="AH23" s="100">
        <f>BDP("=A23&amp;" US Equity"","RETURN_ON_INV_CAPITAL")/100</f>
        <v/>
      </c>
      <c r="AJ23" s="93">
        <f>BDP("=A23&amp;" US Equity"","BEST_EPS","BEST_FPERIOD_OVERRIDE","24Y")</f>
        <v/>
      </c>
      <c r="AK23" s="93">
        <f>BDP("=A23&amp;" US Equity"","BEST_EPS","BEST_FPERIOD_OVERRIDE","25Y")</f>
        <v/>
      </c>
      <c r="AL23" s="93">
        <f>BDP("=A23&amp;" US Equity"","BEST_EPS","BEST_FPERIOD_OVERRIDE","26Y")</f>
        <v/>
      </c>
      <c r="AM23" s="93">
        <f>BDP("=A23&amp;" US Equity"","BEST_EPS","BEST_FPERIOD_OVERRIDE","27Y")</f>
        <v/>
      </c>
      <c r="AN23" s="93">
        <f>BDP("=A23&amp;" US Equity"","BEST_EPS","BEST_FPERIOD_OVERRIDE","28Y")</f>
        <v/>
      </c>
      <c r="AP23" s="93">
        <f>BDP("=A23&amp;" US Equity"","BEST_SALES","BEST_FPERIOD_OVERRIDE","24Y")</f>
        <v/>
      </c>
      <c r="AQ23" s="93">
        <f>BDP("=A23&amp;" US Equity"","BEST_SALES","BEST_FPERIOD_OVERRIDE","25Y")</f>
        <v/>
      </c>
      <c r="AR23" s="93">
        <f>BDP("=A23&amp;" US Equity"","BEST_SALES","BEST_FPERIOD_OVERRIDE","26Y")</f>
        <v/>
      </c>
      <c r="AS23" s="93">
        <f>BDP("=A23&amp;" US Equity"","BEST_SALES","BEST_FPERIOD_OVERRIDE","27Y")</f>
        <v/>
      </c>
      <c r="AT23" s="93">
        <f>BDP("=A23&amp;" US Equity"","BEST_SALES","BEST_FPERIOD_OVERRIDE","28Y")</f>
        <v/>
      </c>
      <c r="AV23" s="93">
        <f>BDP("=A23&amp;" US Equity"","BEST_EBIT","BEST_FPERIOD_OVERRIDE","24Y")</f>
        <v/>
      </c>
      <c r="AW23" s="93">
        <f>BDP("=A23&amp;" US Equity"","BEST_EBIT","BEST_FPERIOD_OVERRIDE","25Y")</f>
        <v/>
      </c>
      <c r="AX23" s="93">
        <f>BDP("=A23&amp;" US Equity"","BEST_EBIT","BEST_FPERIOD_OVERRIDE","26Y")</f>
        <v/>
      </c>
      <c r="AY23" s="93">
        <f>BDP("=A23&amp;" US Equity"","BEST_EBIT","BEST_FPERIOD_OVERRIDE","27Y")</f>
        <v/>
      </c>
      <c r="AZ23" s="93">
        <f>BDP("=A23&amp;" US Equity"","BEST_EBIT","BEST_FPERIOD_OVERRIDE","28Y")</f>
        <v/>
      </c>
      <c r="BB23" s="68">
        <f>D23+BC23</f>
        <v/>
      </c>
      <c r="BC23" s="68">
        <f>AC23-AE23</f>
        <v/>
      </c>
      <c r="BD23" s="15">
        <f>D23</f>
        <v/>
      </c>
      <c r="BE23" s="99">
        <f>BDP("=A23&amp;" US Equity"","TRAIL_12M_EBITDA")</f>
        <v/>
      </c>
    </row>
    <row r="24">
      <c r="A24" t="inlineStr">
        <is>
          <t>KMB</t>
        </is>
      </c>
      <c r="B24">
        <f>A24&amp;" US Equity"</f>
        <v/>
      </c>
      <c r="C24" s="15" t="inlineStr">
        <is>
          <t>Dec</t>
        </is>
      </c>
      <c r="D24" s="93">
        <f>BDP("=A24&amp;" US Equity"","CUR_MKT_CAP")/1000000000</f>
        <v/>
      </c>
      <c r="E24" s="94">
        <f>BDP("=A24&amp;" US Equity"","PX_LAST")</f>
        <v/>
      </c>
      <c r="F24" s="95">
        <f>IF(BDP("=A24&amp;" US Equity"","BEST_EPS","BEST_FPERIOD_OVERRIDE","26Y")&lt;&gt;0,$E$24/BDP("=A24&amp;" US Equity"","BEST_EPS","BEST_FPERIOD_OVERRIDE","26Y"),"")</f>
        <v/>
      </c>
      <c r="G24" s="95">
        <f>IF(BDP("=A24&amp;" US Equity"","BEST_EPS","BEST_FPERIOD_OVERRIDE","27Y")&lt;&gt;0,$E$24/BDP("=A24&amp;" US Equity"","BEST_EPS","BEST_FPERIOD_OVERRIDE","27Y"),"")</f>
        <v/>
      </c>
      <c r="H24" s="95">
        <f>IF(BDP("=A24&amp;" US Equity"","BEST_EPS","BEST_FPERIOD_OVERRIDE","28Y")&lt;&gt;0,$E$24/BDP("=A24&amp;" US Equity"","BEST_EPS","BEST_FPERIOD_OVERRIDE","28Y"),"")</f>
        <v/>
      </c>
      <c r="I24" s="96">
        <f>BDP("=A24&amp;" US Equity"","NET_DEBT_TO_EBITDA")</f>
        <v/>
      </c>
      <c r="J24" s="93">
        <f>BDP("=A24&amp;" US Equity"","BEST_SALES","BEST_FPERIOD_OVERRIDE","26Y")/1000</f>
        <v/>
      </c>
      <c r="K24" s="97">
        <f>IF(BDP("=A24&amp;" US Equity"","BEST_SALES","BEST_FPERIOD_OVERRIDE","26Y")&lt;&gt;0,BDP("=A24&amp;" US Equity"","BEST_EBIT","BEST_FPERIOD_OVERRIDE","26Y")/BDP("=A24&amp;" US Equity"","BEST_SALES","BEST_FPERIOD_OVERRIDE","26Y"),"")</f>
        <v/>
      </c>
      <c r="L24" s="97">
        <f>BDP("=A24&amp;" US Equity"","RETURN_ON_INV_CAPITAL")/100</f>
        <v/>
      </c>
      <c r="M24" s="97">
        <f>IF(AND(BDP("=A24&amp;" US Equity"","BEST_SALES","BEST_FPERIOD_OVERRIDE","25Y")&gt;0,BDP("=A24&amp;" US Equity"","BEST_SALES","BEST_FPERIOD_OVERRIDE","28Y")&gt;0),(BDP("=A24&amp;" US Equity"","BEST_SALES","BEST_FPERIOD_OVERRIDE","28Y")/BDP("=A24&amp;" US Equity"","BEST_SALES","BEST_FPERIOD_OVERRIDE","25Y"))^(1/3)-1,"")</f>
        <v/>
      </c>
      <c r="N24" s="97">
        <f>IF(AND(BDP("=A24&amp;" US Equity"","BEST_EBIT","BEST_FPERIOD_OVERRIDE","25Y")&gt;0,BDP("=A24&amp;" US Equity"","BEST_EBIT","BEST_FPERIOD_OVERRIDE","28Y")&gt;0),(BDP("=A24&amp;" US Equity"","BEST_EBIT","BEST_FPERIOD_OVERRIDE","28Y")/BDP("=A24&amp;" US Equity"","BEST_EBIT","BEST_FPERIOD_OVERRIDE","25Y"))^(1/3)-1,"")</f>
        <v/>
      </c>
      <c r="O24" s="97">
        <f>IF(AND(BDP("=A24&amp;" US Equity"","BEST_EPS","BEST_FPERIOD_OVERRIDE","25Y")&gt;0,BDP("=A24&amp;" US Equity"","BEST_EPS","BEST_FPERIOD_OVERRIDE","28Y")&gt;0),(BDP("=A24&amp;" US Equity"","BEST_EPS","BEST_FPERIOD_OVERRIDE","28Y")/BDP("=A24&amp;" US Equity"","BEST_EPS","BEST_FPERIOD_OVERRIDE","25Y"))^(1/3)-1,"")</f>
        <v/>
      </c>
      <c r="Q24" s="97">
        <f>BDP("=A24&amp;" US Equity"","CHG_PCT_YTD")/100</f>
        <v/>
      </c>
      <c r="T24" s="68">
        <f>IF(AND(F24&lt;&gt;"",O24&lt;&gt;"",O24&lt;&gt;0),F24/(O24*100),"")</f>
        <v/>
      </c>
      <c r="AB24" s="93">
        <f>BDP("=A24&amp;" US Equity"","TRAIL_12M_OPER_INC")</f>
        <v/>
      </c>
      <c r="AC24" s="93">
        <f>BDP("=A24&amp;" US Equity"","SHORT_AND_LONG_TERM_DEBT")</f>
        <v/>
      </c>
      <c r="AD24" s="93">
        <f>BDP("=A24&amp;" US Equity"","TOTAL_EQUITY")</f>
        <v/>
      </c>
      <c r="AE24" s="93">
        <f>BDP("=A24&amp;" US Equity"","BS_CASH_NEAR_CASH_ITEM")</f>
        <v/>
      </c>
      <c r="AF24" s="99">
        <f>BDP("=A24&amp;" US Equity"","BS_LT_INVEST")</f>
        <v/>
      </c>
      <c r="AG24" s="15">
        <f>AC24+AD24</f>
        <v/>
      </c>
      <c r="AH24" s="100">
        <f>BDP("=A24&amp;" US Equity"","RETURN_ON_INV_CAPITAL")/100</f>
        <v/>
      </c>
      <c r="AJ24" s="93">
        <f>BDP("=A24&amp;" US Equity"","BEST_EPS","BEST_FPERIOD_OVERRIDE","24Y")</f>
        <v/>
      </c>
      <c r="AK24" s="93">
        <f>BDP("=A24&amp;" US Equity"","BEST_EPS","BEST_FPERIOD_OVERRIDE","25Y")</f>
        <v/>
      </c>
      <c r="AL24" s="93">
        <f>BDP("=A24&amp;" US Equity"","BEST_EPS","BEST_FPERIOD_OVERRIDE","26Y")</f>
        <v/>
      </c>
      <c r="AM24" s="93">
        <f>BDP("=A24&amp;" US Equity"","BEST_EPS","BEST_FPERIOD_OVERRIDE","27Y")</f>
        <v/>
      </c>
      <c r="AN24" s="93">
        <f>BDP("=A24&amp;" US Equity"","BEST_EPS","BEST_FPERIOD_OVERRIDE","28Y")</f>
        <v/>
      </c>
      <c r="AP24" s="93">
        <f>BDP("=A24&amp;" US Equity"","BEST_SALES","BEST_FPERIOD_OVERRIDE","24Y")</f>
        <v/>
      </c>
      <c r="AQ24" s="93">
        <f>BDP("=A24&amp;" US Equity"","BEST_SALES","BEST_FPERIOD_OVERRIDE","25Y")</f>
        <v/>
      </c>
      <c r="AR24" s="93">
        <f>BDP("=A24&amp;" US Equity"","BEST_SALES","BEST_FPERIOD_OVERRIDE","26Y")</f>
        <v/>
      </c>
      <c r="AS24" s="93">
        <f>BDP("=A24&amp;" US Equity"","BEST_SALES","BEST_FPERIOD_OVERRIDE","27Y")</f>
        <v/>
      </c>
      <c r="AT24" s="93">
        <f>BDP("=A24&amp;" US Equity"","BEST_SALES","BEST_FPERIOD_OVERRIDE","28Y")</f>
        <v/>
      </c>
      <c r="AV24" s="93">
        <f>BDP("=A24&amp;" US Equity"","BEST_EBIT","BEST_FPERIOD_OVERRIDE","24Y")</f>
        <v/>
      </c>
      <c r="AW24" s="93">
        <f>BDP("=A24&amp;" US Equity"","BEST_EBIT","BEST_FPERIOD_OVERRIDE","25Y")</f>
        <v/>
      </c>
      <c r="AX24" s="93">
        <f>BDP("=A24&amp;" US Equity"","BEST_EBIT","BEST_FPERIOD_OVERRIDE","26Y")</f>
        <v/>
      </c>
      <c r="AY24" s="93">
        <f>BDP("=A24&amp;" US Equity"","BEST_EBIT","BEST_FPERIOD_OVERRIDE","27Y")</f>
        <v/>
      </c>
      <c r="AZ24" s="93">
        <f>BDP("=A24&amp;" US Equity"","BEST_EBIT","BEST_FPERIOD_OVERRIDE","28Y")</f>
        <v/>
      </c>
      <c r="BB24" s="68">
        <f>D24+BC24</f>
        <v/>
      </c>
      <c r="BC24" s="68">
        <f>AC24-AE24</f>
        <v/>
      </c>
      <c r="BD24" s="15">
        <f>D24</f>
        <v/>
      </c>
      <c r="BE24" s="99">
        <f>BDP("=A24&amp;" US Equity"","TRAIL_12M_EBITDA")</f>
        <v/>
      </c>
    </row>
    <row r="25">
      <c r="A25" t="inlineStr">
        <is>
          <t>CLX</t>
        </is>
      </c>
      <c r="B25">
        <f>A25&amp;" US Equity"</f>
        <v/>
      </c>
      <c r="C25" s="15" t="inlineStr">
        <is>
          <t>Dec</t>
        </is>
      </c>
      <c r="D25" s="93">
        <f>BDP("=A25&amp;" US Equity"","CUR_MKT_CAP")/1000000000</f>
        <v/>
      </c>
      <c r="E25" s="94">
        <f>BDP("=A25&amp;" US Equity"","PX_LAST")</f>
        <v/>
      </c>
      <c r="F25" s="95">
        <f>IF(BDP("=A25&amp;" US Equity"","BEST_EPS","BEST_FPERIOD_OVERRIDE","26Y")&lt;&gt;0,$E$25/BDP("=A25&amp;" US Equity"","BEST_EPS","BEST_FPERIOD_OVERRIDE","26Y"),"")</f>
        <v/>
      </c>
      <c r="G25" s="95">
        <f>IF(BDP("=A25&amp;" US Equity"","BEST_EPS","BEST_FPERIOD_OVERRIDE","27Y")&lt;&gt;0,$E$25/BDP("=A25&amp;" US Equity"","BEST_EPS","BEST_FPERIOD_OVERRIDE","27Y"),"")</f>
        <v/>
      </c>
      <c r="H25" s="95">
        <f>IF(BDP("=A25&amp;" US Equity"","BEST_EPS","BEST_FPERIOD_OVERRIDE","28Y")&lt;&gt;0,$E$25/BDP("=A25&amp;" US Equity"","BEST_EPS","BEST_FPERIOD_OVERRIDE","28Y"),"")</f>
        <v/>
      </c>
      <c r="I25" s="96">
        <f>BDP("=A25&amp;" US Equity"","NET_DEBT_TO_EBITDA")</f>
        <v/>
      </c>
      <c r="J25" s="93">
        <f>BDP("=A25&amp;" US Equity"","BEST_SALES","BEST_FPERIOD_OVERRIDE","26Y")/1000</f>
        <v/>
      </c>
      <c r="K25" s="97">
        <f>IF(BDP("=A25&amp;" US Equity"","BEST_SALES","BEST_FPERIOD_OVERRIDE","26Y")&lt;&gt;0,BDP("=A25&amp;" US Equity"","BEST_EBIT","BEST_FPERIOD_OVERRIDE","26Y")/BDP("=A25&amp;" US Equity"","BEST_SALES","BEST_FPERIOD_OVERRIDE","26Y"),"")</f>
        <v/>
      </c>
      <c r="L25" s="97">
        <f>BDP("=A25&amp;" US Equity"","RETURN_ON_INV_CAPITAL")/100</f>
        <v/>
      </c>
      <c r="M25" s="97">
        <f>IF(AND(BDP("=A25&amp;" US Equity"","BEST_SALES","BEST_FPERIOD_OVERRIDE","25Y")&gt;0,BDP("=A25&amp;" US Equity"","BEST_SALES","BEST_FPERIOD_OVERRIDE","28Y")&gt;0),(BDP("=A25&amp;" US Equity"","BEST_SALES","BEST_FPERIOD_OVERRIDE","28Y")/BDP("=A25&amp;" US Equity"","BEST_SALES","BEST_FPERIOD_OVERRIDE","25Y"))^(1/3)-1,"")</f>
        <v/>
      </c>
      <c r="N25" s="97">
        <f>IF(AND(BDP("=A25&amp;" US Equity"","BEST_EBIT","BEST_FPERIOD_OVERRIDE","25Y")&gt;0,BDP("=A25&amp;" US Equity"","BEST_EBIT","BEST_FPERIOD_OVERRIDE","28Y")&gt;0),(BDP("=A25&amp;" US Equity"","BEST_EBIT","BEST_FPERIOD_OVERRIDE","28Y")/BDP("=A25&amp;" US Equity"","BEST_EBIT","BEST_FPERIOD_OVERRIDE","25Y"))^(1/3)-1,"")</f>
        <v/>
      </c>
      <c r="O25" s="97">
        <f>IF(AND(BDP("=A25&amp;" US Equity"","BEST_EPS","BEST_FPERIOD_OVERRIDE","25Y")&gt;0,BDP("=A25&amp;" US Equity"","BEST_EPS","BEST_FPERIOD_OVERRIDE","28Y")&gt;0),(BDP("=A25&amp;" US Equity"","BEST_EPS","BEST_FPERIOD_OVERRIDE","28Y")/BDP("=A25&amp;" US Equity"","BEST_EPS","BEST_FPERIOD_OVERRIDE","25Y"))^(1/3)-1,"")</f>
        <v/>
      </c>
      <c r="Q25" s="97">
        <f>BDP("=A25&amp;" US Equity"","CHG_PCT_YTD")/100</f>
        <v/>
      </c>
      <c r="T25" s="68">
        <f>IF(AND(F25&lt;&gt;"",O25&lt;&gt;"",O25&lt;&gt;0),F25/(O25*100),"")</f>
        <v/>
      </c>
      <c r="AB25" s="93">
        <f>BDP("=A25&amp;" US Equity"","TRAIL_12M_OPER_INC")</f>
        <v/>
      </c>
      <c r="AC25" s="93">
        <f>BDP("=A25&amp;" US Equity"","SHORT_AND_LONG_TERM_DEBT")</f>
        <v/>
      </c>
      <c r="AD25" s="93">
        <f>BDP("=A25&amp;" US Equity"","TOTAL_EQUITY")</f>
        <v/>
      </c>
      <c r="AE25" s="93">
        <f>BDP("=A25&amp;" US Equity"","BS_CASH_NEAR_CASH_ITEM")</f>
        <v/>
      </c>
      <c r="AF25" s="99">
        <f>BDP("=A25&amp;" US Equity"","BS_LT_INVEST")</f>
        <v/>
      </c>
      <c r="AG25" s="15">
        <f>AC25+AD25</f>
        <v/>
      </c>
      <c r="AH25" s="100">
        <f>BDP("=A25&amp;" US Equity"","RETURN_ON_INV_CAPITAL")/100</f>
        <v/>
      </c>
      <c r="AJ25" s="93">
        <f>BDP("=A25&amp;" US Equity"","BEST_EPS","BEST_FPERIOD_OVERRIDE","24Y")</f>
        <v/>
      </c>
      <c r="AK25" s="93">
        <f>BDP("=A25&amp;" US Equity"","BEST_EPS","BEST_FPERIOD_OVERRIDE","25Y")</f>
        <v/>
      </c>
      <c r="AL25" s="93">
        <f>BDP("=A25&amp;" US Equity"","BEST_EPS","BEST_FPERIOD_OVERRIDE","26Y")</f>
        <v/>
      </c>
      <c r="AM25" s="93">
        <f>BDP("=A25&amp;" US Equity"","BEST_EPS","BEST_FPERIOD_OVERRIDE","27Y")</f>
        <v/>
      </c>
      <c r="AN25" s="93">
        <f>BDP("=A25&amp;" US Equity"","BEST_EPS","BEST_FPERIOD_OVERRIDE","28Y")</f>
        <v/>
      </c>
      <c r="AP25" s="93">
        <f>BDP("=A25&amp;" US Equity"","BEST_SALES","BEST_FPERIOD_OVERRIDE","24Y")</f>
        <v/>
      </c>
      <c r="AQ25" s="93">
        <f>BDP("=A25&amp;" US Equity"","BEST_SALES","BEST_FPERIOD_OVERRIDE","25Y")</f>
        <v/>
      </c>
      <c r="AR25" s="93">
        <f>BDP("=A25&amp;" US Equity"","BEST_SALES","BEST_FPERIOD_OVERRIDE","26Y")</f>
        <v/>
      </c>
      <c r="AS25" s="93">
        <f>BDP("=A25&amp;" US Equity"","BEST_SALES","BEST_FPERIOD_OVERRIDE","27Y")</f>
        <v/>
      </c>
      <c r="AT25" s="93">
        <f>BDP("=A25&amp;" US Equity"","BEST_SALES","BEST_FPERIOD_OVERRIDE","28Y")</f>
        <v/>
      </c>
      <c r="AV25" s="93">
        <f>BDP("=A25&amp;" US Equity"","BEST_EBIT","BEST_FPERIOD_OVERRIDE","24Y")</f>
        <v/>
      </c>
      <c r="AW25" s="93">
        <f>BDP("=A25&amp;" US Equity"","BEST_EBIT","BEST_FPERIOD_OVERRIDE","25Y")</f>
        <v/>
      </c>
      <c r="AX25" s="93">
        <f>BDP("=A25&amp;" US Equity"","BEST_EBIT","BEST_FPERIOD_OVERRIDE","26Y")</f>
        <v/>
      </c>
      <c r="AY25" s="93">
        <f>BDP("=A25&amp;" US Equity"","BEST_EBIT","BEST_FPERIOD_OVERRIDE","27Y")</f>
        <v/>
      </c>
      <c r="AZ25" s="93">
        <f>BDP("=A25&amp;" US Equity"","BEST_EBIT","BEST_FPERIOD_OVERRIDE","28Y")</f>
        <v/>
      </c>
      <c r="BB25" s="68">
        <f>D25+BC25</f>
        <v/>
      </c>
      <c r="BC25" s="68">
        <f>AC25-AE25</f>
        <v/>
      </c>
      <c r="BD25" s="15">
        <f>D25</f>
        <v/>
      </c>
      <c r="BE25" s="99">
        <f>BDP("=A25&amp;" US Equity"","TRAIL_12M_EBITDA")</f>
        <v/>
      </c>
    </row>
    <row r="26">
      <c r="A26" s="37" t="inlineStr">
        <is>
          <t>Average</t>
        </is>
      </c>
      <c r="B26" s="36" t="n"/>
      <c r="C26" s="38" t="n"/>
      <c r="D26" s="38" t="n"/>
      <c r="E26" s="82" t="n"/>
      <c r="F26" s="83">
        <f>AVERAGE(F19:F25)</f>
        <v/>
      </c>
      <c r="G26" s="83">
        <f>AVERAGE(G19:G25)</f>
        <v/>
      </c>
      <c r="H26" s="83">
        <f>AVERAGE(H19:H25)</f>
        <v/>
      </c>
      <c r="I26" s="84">
        <f>AVERAGE(I19:I25)</f>
        <v/>
      </c>
      <c r="J26" s="85" t="n"/>
      <c r="K26" s="85">
        <f>AVERAGE(K19:K25)</f>
        <v/>
      </c>
      <c r="L26" s="85">
        <f>AVERAGE(L19:L25)</f>
        <v/>
      </c>
      <c r="M26" s="85">
        <f>AVERAGE(M19:M25)</f>
        <v/>
      </c>
      <c r="N26" s="85">
        <f>AVERAGE(N19:N25)</f>
        <v/>
      </c>
      <c r="O26" s="85">
        <f>AVERAGE(O19:O25)</f>
        <v/>
      </c>
      <c r="P26" s="36" t="n"/>
      <c r="Q26" s="36" t="n"/>
      <c r="R26" s="36" t="n"/>
      <c r="S26" s="36" t="n"/>
      <c r="T26" s="86">
        <f>F26/O26/100</f>
        <v/>
      </c>
      <c r="AB26" s="15" t="n"/>
      <c r="AC26" s="15" t="n"/>
      <c r="AD26" s="15" t="n"/>
      <c r="AE26" s="15" t="n"/>
      <c r="AF26" s="16" t="n"/>
      <c r="AG26" s="15" t="n"/>
      <c r="AH26" s="67" t="n"/>
      <c r="AJ26" s="15" t="n"/>
      <c r="AK26" s="15" t="n"/>
      <c r="AL26" s="15" t="n"/>
      <c r="AM26" s="15" t="n"/>
      <c r="AN26" s="15" t="n"/>
      <c r="AP26" s="15" t="n"/>
      <c r="AQ26" s="15" t="n"/>
      <c r="AR26" s="15" t="n"/>
      <c r="AS26" s="15" t="n"/>
      <c r="AT26" s="15" t="n"/>
      <c r="AV26" s="15" t="n"/>
      <c r="AW26" s="15" t="n"/>
      <c r="AX26" s="15" t="n"/>
      <c r="AY26" s="15" t="n"/>
      <c r="AZ26" s="15" t="n"/>
      <c r="BB26" s="68" t="n"/>
      <c r="BC26" s="68" t="n"/>
      <c r="BD26" s="15" t="n"/>
      <c r="BE26" s="16" t="n"/>
    </row>
    <row r="27">
      <c r="C27" s="15" t="n"/>
      <c r="D27" s="15" t="n"/>
      <c r="E27" s="69" t="n"/>
      <c r="F27" s="70" t="n"/>
      <c r="G27" s="70" t="n"/>
      <c r="H27" s="70" t="n"/>
      <c r="I27" s="71" t="n"/>
      <c r="J27" s="15" t="n"/>
      <c r="K27" s="72" t="n"/>
      <c r="L27" s="72" t="n"/>
      <c r="M27" s="72" t="n"/>
      <c r="N27" s="72" t="n"/>
      <c r="O27" s="72" t="n"/>
      <c r="AB27" s="15" t="n"/>
      <c r="AC27" s="15" t="n"/>
      <c r="AD27" s="15" t="n"/>
      <c r="AE27" s="15" t="n"/>
      <c r="AF27" s="16" t="n"/>
      <c r="AG27" s="15" t="n"/>
      <c r="AH27" s="67" t="n"/>
      <c r="AJ27" s="15" t="n"/>
      <c r="AK27" s="15" t="n"/>
      <c r="AL27" s="15" t="n"/>
      <c r="AM27" s="15" t="n"/>
      <c r="AN27" s="15" t="n"/>
      <c r="AP27" s="15" t="n"/>
      <c r="AQ27" s="15" t="n"/>
      <c r="AR27" s="15" t="n"/>
      <c r="AS27" s="15" t="n"/>
      <c r="AT27" s="15" t="n"/>
      <c r="AV27" s="15" t="n"/>
      <c r="AW27" s="15" t="n"/>
      <c r="AX27" s="15" t="n"/>
      <c r="AY27" s="15" t="n"/>
      <c r="AZ27" s="15" t="n"/>
      <c r="BB27" s="68" t="n"/>
      <c r="BC27" s="68" t="n"/>
      <c r="BD27" s="15" t="n"/>
      <c r="BE27" s="16" t="n"/>
    </row>
    <row r="28">
      <c r="A28" s="36" t="inlineStr">
        <is>
          <t xml:space="preserve">S&amp;P stalwarts </t>
        </is>
      </c>
      <c r="C28" s="15" t="n"/>
      <c r="D28" s="15" t="n"/>
      <c r="E28" s="69" t="n"/>
      <c r="F28" s="70" t="n"/>
      <c r="G28" s="70" t="n"/>
      <c r="H28" s="70" t="n"/>
      <c r="I28" s="81" t="n"/>
      <c r="J28" s="67" t="n"/>
      <c r="K28" s="67" t="n"/>
      <c r="L28" s="67" t="n"/>
      <c r="M28" s="67" t="n"/>
      <c r="N28" s="67" t="n"/>
      <c r="O28" s="67" t="n"/>
      <c r="AB28" s="15" t="n"/>
      <c r="AC28" s="15" t="n"/>
      <c r="AD28" s="15" t="n"/>
      <c r="AE28" s="15" t="n"/>
      <c r="AF28" s="16" t="n"/>
      <c r="AG28" s="15" t="n"/>
      <c r="AH28" s="67" t="n"/>
      <c r="AJ28" s="15" t="n"/>
      <c r="AK28" s="15" t="n"/>
      <c r="AL28" s="15" t="n"/>
      <c r="AM28" s="15" t="n"/>
      <c r="AN28" s="15" t="n"/>
      <c r="AP28" s="15" t="n"/>
      <c r="AQ28" s="15" t="n"/>
      <c r="AR28" s="15" t="n"/>
      <c r="AS28" s="15" t="n"/>
      <c r="AT28" s="15" t="n"/>
      <c r="AV28" s="15" t="n"/>
      <c r="AW28" s="15" t="n"/>
      <c r="AX28" s="15" t="n"/>
      <c r="AY28" s="15" t="n"/>
      <c r="AZ28" s="15" t="n"/>
      <c r="BB28" s="68" t="n"/>
      <c r="BC28" s="68" t="n"/>
      <c r="BD28" s="15" t="n"/>
      <c r="BE28" s="16" t="n"/>
    </row>
    <row r="29">
      <c r="A29" t="inlineStr">
        <is>
          <t>HD</t>
        </is>
      </c>
      <c r="B29">
        <f>A29&amp;" US Equity"</f>
        <v/>
      </c>
      <c r="C29" s="15" t="inlineStr">
        <is>
          <t>Dec</t>
        </is>
      </c>
      <c r="D29" s="93">
        <f>BDP("=A29&amp;" US Equity"","CUR_MKT_CAP")/1000000000</f>
        <v/>
      </c>
      <c r="E29" s="94">
        <f>BDP("=A29&amp;" US Equity"","PX_LAST")</f>
        <v/>
      </c>
      <c r="F29" s="95">
        <f>IF(BDP("=A29&amp;" US Equity"","BEST_EPS","BEST_FPERIOD_OVERRIDE","26Y")&lt;&gt;0,$E$29/BDP("=A29&amp;" US Equity"","BEST_EPS","BEST_FPERIOD_OVERRIDE","26Y"),"")</f>
        <v/>
      </c>
      <c r="G29" s="95">
        <f>IF(BDP("=A29&amp;" US Equity"","BEST_EPS","BEST_FPERIOD_OVERRIDE","27Y")&lt;&gt;0,$E$29/BDP("=A29&amp;" US Equity"","BEST_EPS","BEST_FPERIOD_OVERRIDE","27Y"),"")</f>
        <v/>
      </c>
      <c r="H29" s="95">
        <f>IF(BDP("=A29&amp;" US Equity"","BEST_EPS","BEST_FPERIOD_OVERRIDE","28Y")&lt;&gt;0,$E$29/BDP("=A29&amp;" US Equity"","BEST_EPS","BEST_FPERIOD_OVERRIDE","28Y"),"")</f>
        <v/>
      </c>
      <c r="I29" s="96">
        <f>BDP("=A29&amp;" US Equity"","NET_DEBT_TO_EBITDA")</f>
        <v/>
      </c>
      <c r="J29" s="93">
        <f>BDP("=A29&amp;" US Equity"","BEST_SALES","BEST_FPERIOD_OVERRIDE","26Y")/1000</f>
        <v/>
      </c>
      <c r="K29" s="97">
        <f>IF(BDP("=A29&amp;" US Equity"","BEST_SALES","BEST_FPERIOD_OVERRIDE","26Y")&lt;&gt;0,BDP("=A29&amp;" US Equity"","BEST_EBIT","BEST_FPERIOD_OVERRIDE","26Y")/BDP("=A29&amp;" US Equity"","BEST_SALES","BEST_FPERIOD_OVERRIDE","26Y"),"")</f>
        <v/>
      </c>
      <c r="L29" s="97">
        <f>BDP("=A29&amp;" US Equity"","RETURN_ON_INV_CAPITAL")/100</f>
        <v/>
      </c>
      <c r="M29" s="97">
        <f>IF(AND(BDP("=A29&amp;" US Equity"","BEST_SALES","BEST_FPERIOD_OVERRIDE","25Y")&gt;0,BDP("=A29&amp;" US Equity"","BEST_SALES","BEST_FPERIOD_OVERRIDE","28Y")&gt;0),(BDP("=A29&amp;" US Equity"","BEST_SALES","BEST_FPERIOD_OVERRIDE","28Y")/BDP("=A29&amp;" US Equity"","BEST_SALES","BEST_FPERIOD_OVERRIDE","25Y"))^(1/3)-1,"")</f>
        <v/>
      </c>
      <c r="N29" s="97">
        <f>IF(AND(BDP("=A29&amp;" US Equity"","BEST_EBIT","BEST_FPERIOD_OVERRIDE","25Y")&gt;0,BDP("=A29&amp;" US Equity"","BEST_EBIT","BEST_FPERIOD_OVERRIDE","28Y")&gt;0),(BDP("=A29&amp;" US Equity"","BEST_EBIT","BEST_FPERIOD_OVERRIDE","28Y")/BDP("=A29&amp;" US Equity"","BEST_EBIT","BEST_FPERIOD_OVERRIDE","25Y"))^(1/3)-1,"")</f>
        <v/>
      </c>
      <c r="O29" s="97">
        <f>IF(AND(BDP("=A29&amp;" US Equity"","BEST_EPS","BEST_FPERIOD_OVERRIDE","25Y")&gt;0,BDP("=A29&amp;" US Equity"","BEST_EPS","BEST_FPERIOD_OVERRIDE","28Y")&gt;0),(BDP("=A29&amp;" US Equity"","BEST_EPS","BEST_FPERIOD_OVERRIDE","28Y")/BDP("=A29&amp;" US Equity"","BEST_EPS","BEST_FPERIOD_OVERRIDE","25Y"))^(1/3)-1,"")</f>
        <v/>
      </c>
      <c r="Q29" s="97">
        <f>BDP("=A29&amp;" US Equity"","CHG_PCT_YTD")/100</f>
        <v/>
      </c>
      <c r="T29" s="68">
        <f>IF(AND(F29&lt;&gt;"",O29&lt;&gt;"",O29&lt;&gt;0),F29/(O29*100),"")</f>
        <v/>
      </c>
      <c r="AB29" s="93">
        <f>BDP("=A29&amp;" US Equity"","TRAIL_12M_OPER_INC")</f>
        <v/>
      </c>
      <c r="AC29" s="93">
        <f>BDP("=A29&amp;" US Equity"","SHORT_AND_LONG_TERM_DEBT")</f>
        <v/>
      </c>
      <c r="AD29" s="93">
        <f>BDP("=A29&amp;" US Equity"","TOTAL_EQUITY")</f>
        <v/>
      </c>
      <c r="AE29" s="93">
        <f>BDP("=A29&amp;" US Equity"","BS_CASH_NEAR_CASH_ITEM")</f>
        <v/>
      </c>
      <c r="AF29" s="99">
        <f>BDP("=A29&amp;" US Equity"","BS_LT_INVEST")</f>
        <v/>
      </c>
      <c r="AG29" s="15">
        <f>AC29+AD29</f>
        <v/>
      </c>
      <c r="AH29" s="100">
        <f>BDP("=A29&amp;" US Equity"","RETURN_ON_INV_CAPITAL")/100</f>
        <v/>
      </c>
      <c r="AJ29" s="93">
        <f>BDP("=A29&amp;" US Equity"","BEST_EPS","BEST_FPERIOD_OVERRIDE","24Y")</f>
        <v/>
      </c>
      <c r="AK29" s="93">
        <f>BDP("=A29&amp;" US Equity"","BEST_EPS","BEST_FPERIOD_OVERRIDE","25Y")</f>
        <v/>
      </c>
      <c r="AL29" s="93">
        <f>BDP("=A29&amp;" US Equity"","BEST_EPS","BEST_FPERIOD_OVERRIDE","26Y")</f>
        <v/>
      </c>
      <c r="AM29" s="93">
        <f>BDP("=A29&amp;" US Equity"","BEST_EPS","BEST_FPERIOD_OVERRIDE","27Y")</f>
        <v/>
      </c>
      <c r="AN29" s="93">
        <f>BDP("=A29&amp;" US Equity"","BEST_EPS","BEST_FPERIOD_OVERRIDE","28Y")</f>
        <v/>
      </c>
      <c r="AP29" s="93">
        <f>BDP("=A29&amp;" US Equity"","BEST_SALES","BEST_FPERIOD_OVERRIDE","24Y")</f>
        <v/>
      </c>
      <c r="AQ29" s="93">
        <f>BDP("=A29&amp;" US Equity"","BEST_SALES","BEST_FPERIOD_OVERRIDE","25Y")</f>
        <v/>
      </c>
      <c r="AR29" s="93">
        <f>BDP("=A29&amp;" US Equity"","BEST_SALES","BEST_FPERIOD_OVERRIDE","26Y")</f>
        <v/>
      </c>
      <c r="AS29" s="93">
        <f>BDP("=A29&amp;" US Equity"","BEST_SALES","BEST_FPERIOD_OVERRIDE","27Y")</f>
        <v/>
      </c>
      <c r="AT29" s="93">
        <f>BDP("=A29&amp;" US Equity"","BEST_SALES","BEST_FPERIOD_OVERRIDE","28Y")</f>
        <v/>
      </c>
      <c r="AV29" s="93">
        <f>BDP("=A29&amp;" US Equity"","BEST_EBIT","BEST_FPERIOD_OVERRIDE","24Y")</f>
        <v/>
      </c>
      <c r="AW29" s="93">
        <f>BDP("=A29&amp;" US Equity"","BEST_EBIT","BEST_FPERIOD_OVERRIDE","25Y")</f>
        <v/>
      </c>
      <c r="AX29" s="93">
        <f>BDP("=A29&amp;" US Equity"","BEST_EBIT","BEST_FPERIOD_OVERRIDE","26Y")</f>
        <v/>
      </c>
      <c r="AY29" s="93">
        <f>BDP("=A29&amp;" US Equity"","BEST_EBIT","BEST_FPERIOD_OVERRIDE","27Y")</f>
        <v/>
      </c>
      <c r="AZ29" s="93">
        <f>BDP("=A29&amp;" US Equity"","BEST_EBIT","BEST_FPERIOD_OVERRIDE","28Y")</f>
        <v/>
      </c>
      <c r="BB29" s="68">
        <f>D29+BC29</f>
        <v/>
      </c>
      <c r="BC29" s="68">
        <f>AC29-AE29</f>
        <v/>
      </c>
      <c r="BD29" s="15">
        <f>D29</f>
        <v/>
      </c>
      <c r="BE29" s="99">
        <f>BDP("=A29&amp;" US Equity"","TRAIL_12M_EBITDA")</f>
        <v/>
      </c>
    </row>
    <row r="30">
      <c r="A30" t="inlineStr">
        <is>
          <t>WMT</t>
        </is>
      </c>
      <c r="B30">
        <f>A30&amp;" US Equity"</f>
        <v/>
      </c>
      <c r="C30" s="15" t="inlineStr">
        <is>
          <t>Dec</t>
        </is>
      </c>
      <c r="D30" s="93">
        <f>BDP("=A30&amp;" US Equity"","CUR_MKT_CAP")/1000000000</f>
        <v/>
      </c>
      <c r="E30" s="94">
        <f>BDP("=A30&amp;" US Equity"","PX_LAST")</f>
        <v/>
      </c>
      <c r="F30" s="95">
        <f>IF(BDP("=A30&amp;" US Equity"","BEST_EPS","BEST_FPERIOD_OVERRIDE","26Y")&lt;&gt;0,$E$30/BDP("=A30&amp;" US Equity"","BEST_EPS","BEST_FPERIOD_OVERRIDE","26Y"),"")</f>
        <v/>
      </c>
      <c r="G30" s="95">
        <f>IF(BDP("=A30&amp;" US Equity"","BEST_EPS","BEST_FPERIOD_OVERRIDE","27Y")&lt;&gt;0,$E$30/BDP("=A30&amp;" US Equity"","BEST_EPS","BEST_FPERIOD_OVERRIDE","27Y"),"")</f>
        <v/>
      </c>
      <c r="H30" s="95">
        <f>IF(BDP("=A30&amp;" US Equity"","BEST_EPS","BEST_FPERIOD_OVERRIDE","28Y")&lt;&gt;0,$E$30/BDP("=A30&amp;" US Equity"","BEST_EPS","BEST_FPERIOD_OVERRIDE","28Y"),"")</f>
        <v/>
      </c>
      <c r="I30" s="96">
        <f>BDP("=A30&amp;" US Equity"","NET_DEBT_TO_EBITDA")</f>
        <v/>
      </c>
      <c r="J30" s="93">
        <f>BDP("=A30&amp;" US Equity"","BEST_SALES","BEST_FPERIOD_OVERRIDE","26Y")/1000</f>
        <v/>
      </c>
      <c r="K30" s="97">
        <f>IF(BDP("=A30&amp;" US Equity"","BEST_SALES","BEST_FPERIOD_OVERRIDE","26Y")&lt;&gt;0,BDP("=A30&amp;" US Equity"","BEST_EBIT","BEST_FPERIOD_OVERRIDE","26Y")/BDP("=A30&amp;" US Equity"","BEST_SALES","BEST_FPERIOD_OVERRIDE","26Y"),"")</f>
        <v/>
      </c>
      <c r="L30" s="97">
        <f>BDP("=A30&amp;" US Equity"","RETURN_ON_INV_CAPITAL")/100</f>
        <v/>
      </c>
      <c r="M30" s="97">
        <f>IF(AND(BDP("=A30&amp;" US Equity"","BEST_SALES","BEST_FPERIOD_OVERRIDE","25Y")&gt;0,BDP("=A30&amp;" US Equity"","BEST_SALES","BEST_FPERIOD_OVERRIDE","28Y")&gt;0),(BDP("=A30&amp;" US Equity"","BEST_SALES","BEST_FPERIOD_OVERRIDE","28Y")/BDP("=A30&amp;" US Equity"","BEST_SALES","BEST_FPERIOD_OVERRIDE","25Y"))^(1/3)-1,"")</f>
        <v/>
      </c>
      <c r="N30" s="97">
        <f>IF(AND(BDP("=A30&amp;" US Equity"","BEST_EBIT","BEST_FPERIOD_OVERRIDE","25Y")&gt;0,BDP("=A30&amp;" US Equity"","BEST_EBIT","BEST_FPERIOD_OVERRIDE","28Y")&gt;0),(BDP("=A30&amp;" US Equity"","BEST_EBIT","BEST_FPERIOD_OVERRIDE","28Y")/BDP("=A30&amp;" US Equity"","BEST_EBIT","BEST_FPERIOD_OVERRIDE","25Y"))^(1/3)-1,"")</f>
        <v/>
      </c>
      <c r="O30" s="97">
        <f>IF(AND(BDP("=A30&amp;" US Equity"","BEST_EPS","BEST_FPERIOD_OVERRIDE","25Y")&gt;0,BDP("=A30&amp;" US Equity"","BEST_EPS","BEST_FPERIOD_OVERRIDE","28Y")&gt;0),(BDP("=A30&amp;" US Equity"","BEST_EPS","BEST_FPERIOD_OVERRIDE","28Y")/BDP("=A30&amp;" US Equity"","BEST_EPS","BEST_FPERIOD_OVERRIDE","25Y"))^(1/3)-1,"")</f>
        <v/>
      </c>
      <c r="Q30" s="97">
        <f>BDP("=A30&amp;" US Equity"","CHG_PCT_YTD")/100</f>
        <v/>
      </c>
      <c r="T30" s="68">
        <f>IF(AND(F30&lt;&gt;"",O30&lt;&gt;"",O30&lt;&gt;0),F30/(O30*100),"")</f>
        <v/>
      </c>
      <c r="AB30" s="93">
        <f>BDP("=A30&amp;" US Equity"","TRAIL_12M_OPER_INC")</f>
        <v/>
      </c>
      <c r="AC30" s="93">
        <f>BDP("=A30&amp;" US Equity"","SHORT_AND_LONG_TERM_DEBT")</f>
        <v/>
      </c>
      <c r="AD30" s="93">
        <f>BDP("=A30&amp;" US Equity"","TOTAL_EQUITY")</f>
        <v/>
      </c>
      <c r="AE30" s="93">
        <f>BDP("=A30&amp;" US Equity"","BS_CASH_NEAR_CASH_ITEM")</f>
        <v/>
      </c>
      <c r="AF30" s="99">
        <f>BDP("=A30&amp;" US Equity"","BS_LT_INVEST")</f>
        <v/>
      </c>
      <c r="AG30" s="15">
        <f>AC30+AD30</f>
        <v/>
      </c>
      <c r="AH30" s="100">
        <f>BDP("=A30&amp;" US Equity"","RETURN_ON_INV_CAPITAL")/100</f>
        <v/>
      </c>
      <c r="AJ30" s="93">
        <f>BDP("=A30&amp;" US Equity"","BEST_EPS","BEST_FPERIOD_OVERRIDE","24Y")</f>
        <v/>
      </c>
      <c r="AK30" s="93">
        <f>BDP("=A30&amp;" US Equity"","BEST_EPS","BEST_FPERIOD_OVERRIDE","25Y")</f>
        <v/>
      </c>
      <c r="AL30" s="93">
        <f>BDP("=A30&amp;" US Equity"","BEST_EPS","BEST_FPERIOD_OVERRIDE","26Y")</f>
        <v/>
      </c>
      <c r="AM30" s="93">
        <f>BDP("=A30&amp;" US Equity"","BEST_EPS","BEST_FPERIOD_OVERRIDE","27Y")</f>
        <v/>
      </c>
      <c r="AN30" s="93">
        <f>BDP("=A30&amp;" US Equity"","BEST_EPS","BEST_FPERIOD_OVERRIDE","28Y")</f>
        <v/>
      </c>
      <c r="AP30" s="93">
        <f>BDP("=A30&amp;" US Equity"","BEST_SALES","BEST_FPERIOD_OVERRIDE","24Y")</f>
        <v/>
      </c>
      <c r="AQ30" s="93">
        <f>BDP("=A30&amp;" US Equity"","BEST_SALES","BEST_FPERIOD_OVERRIDE","25Y")</f>
        <v/>
      </c>
      <c r="AR30" s="93">
        <f>BDP("=A30&amp;" US Equity"","BEST_SALES","BEST_FPERIOD_OVERRIDE","26Y")</f>
        <v/>
      </c>
      <c r="AS30" s="93">
        <f>BDP("=A30&amp;" US Equity"","BEST_SALES","BEST_FPERIOD_OVERRIDE","27Y")</f>
        <v/>
      </c>
      <c r="AT30" s="93">
        <f>BDP("=A30&amp;" US Equity"","BEST_SALES","BEST_FPERIOD_OVERRIDE","28Y")</f>
        <v/>
      </c>
      <c r="AV30" s="93">
        <f>BDP("=A30&amp;" US Equity"","BEST_EBIT","BEST_FPERIOD_OVERRIDE","24Y")</f>
        <v/>
      </c>
      <c r="AW30" s="93">
        <f>BDP("=A30&amp;" US Equity"","BEST_EBIT","BEST_FPERIOD_OVERRIDE","25Y")</f>
        <v/>
      </c>
      <c r="AX30" s="93">
        <f>BDP("=A30&amp;" US Equity"","BEST_EBIT","BEST_FPERIOD_OVERRIDE","26Y")</f>
        <v/>
      </c>
      <c r="AY30" s="93">
        <f>BDP("=A30&amp;" US Equity"","BEST_EBIT","BEST_FPERIOD_OVERRIDE","27Y")</f>
        <v/>
      </c>
      <c r="AZ30" s="93">
        <f>BDP("=A30&amp;" US Equity"","BEST_EBIT","BEST_FPERIOD_OVERRIDE","28Y")</f>
        <v/>
      </c>
      <c r="BB30" s="68">
        <f>D30+BC30</f>
        <v/>
      </c>
      <c r="BC30" s="68">
        <f>AC30-AE30</f>
        <v/>
      </c>
      <c r="BD30" s="15">
        <f>D30</f>
        <v/>
      </c>
      <c r="BE30" s="99">
        <f>BDP("=A30&amp;" US Equity"","TRAIL_12M_EBITDA")</f>
        <v/>
      </c>
    </row>
    <row r="31">
      <c r="A31" t="inlineStr">
        <is>
          <t>ADP</t>
        </is>
      </c>
      <c r="B31">
        <f>A31&amp;" US Equity"</f>
        <v/>
      </c>
      <c r="C31" s="15" t="inlineStr">
        <is>
          <t>Dec</t>
        </is>
      </c>
      <c r="D31" s="93">
        <f>BDP("=A31&amp;" US Equity"","CUR_MKT_CAP")/1000000000</f>
        <v/>
      </c>
      <c r="E31" s="94">
        <f>BDP("=A31&amp;" US Equity"","PX_LAST")</f>
        <v/>
      </c>
      <c r="F31" s="95">
        <f>IF(BDP("=A31&amp;" US Equity"","BEST_EPS","BEST_FPERIOD_OVERRIDE","26Y")&lt;&gt;0,$E$31/BDP("=A31&amp;" US Equity"","BEST_EPS","BEST_FPERIOD_OVERRIDE","26Y"),"")</f>
        <v/>
      </c>
      <c r="G31" s="95">
        <f>IF(BDP("=A31&amp;" US Equity"","BEST_EPS","BEST_FPERIOD_OVERRIDE","27Y")&lt;&gt;0,$E$31/BDP("=A31&amp;" US Equity"","BEST_EPS","BEST_FPERIOD_OVERRIDE","27Y"),"")</f>
        <v/>
      </c>
      <c r="H31" s="95">
        <f>IF(BDP("=A31&amp;" US Equity"","BEST_EPS","BEST_FPERIOD_OVERRIDE","28Y")&lt;&gt;0,$E$31/BDP("=A31&amp;" US Equity"","BEST_EPS","BEST_FPERIOD_OVERRIDE","28Y"),"")</f>
        <v/>
      </c>
      <c r="I31" s="96">
        <f>BDP("=A31&amp;" US Equity"","NET_DEBT_TO_EBITDA")</f>
        <v/>
      </c>
      <c r="J31" s="93">
        <f>BDP("=A31&amp;" US Equity"","BEST_SALES","BEST_FPERIOD_OVERRIDE","26Y")/1000</f>
        <v/>
      </c>
      <c r="K31" s="97">
        <f>IF(BDP("=A31&amp;" US Equity"","BEST_SALES","BEST_FPERIOD_OVERRIDE","26Y")&lt;&gt;0,BDP("=A31&amp;" US Equity"","BEST_EBIT","BEST_FPERIOD_OVERRIDE","26Y")/BDP("=A31&amp;" US Equity"","BEST_SALES","BEST_FPERIOD_OVERRIDE","26Y"),"")</f>
        <v/>
      </c>
      <c r="L31" s="97">
        <f>BDP("=A31&amp;" US Equity"","RETURN_ON_INV_CAPITAL")/100</f>
        <v/>
      </c>
      <c r="M31" s="97">
        <f>IF(AND(BDP("=A31&amp;" US Equity"","BEST_SALES","BEST_FPERIOD_OVERRIDE","25Y")&gt;0,BDP("=A31&amp;" US Equity"","BEST_SALES","BEST_FPERIOD_OVERRIDE","28Y")&gt;0),(BDP("=A31&amp;" US Equity"","BEST_SALES","BEST_FPERIOD_OVERRIDE","28Y")/BDP("=A31&amp;" US Equity"","BEST_SALES","BEST_FPERIOD_OVERRIDE","25Y"))^(1/3)-1,"")</f>
        <v/>
      </c>
      <c r="N31" s="97">
        <f>IF(AND(BDP("=A31&amp;" US Equity"","BEST_EBIT","BEST_FPERIOD_OVERRIDE","25Y")&gt;0,BDP("=A31&amp;" US Equity"","BEST_EBIT","BEST_FPERIOD_OVERRIDE","28Y")&gt;0),(BDP("=A31&amp;" US Equity"","BEST_EBIT","BEST_FPERIOD_OVERRIDE","28Y")/BDP("=A31&amp;" US Equity"","BEST_EBIT","BEST_FPERIOD_OVERRIDE","25Y"))^(1/3)-1,"")</f>
        <v/>
      </c>
      <c r="O31" s="97">
        <f>IF(AND(BDP("=A31&amp;" US Equity"","BEST_EPS","BEST_FPERIOD_OVERRIDE","25Y")&gt;0,BDP("=A31&amp;" US Equity"","BEST_EPS","BEST_FPERIOD_OVERRIDE","28Y")&gt;0),(BDP("=A31&amp;" US Equity"","BEST_EPS","BEST_FPERIOD_OVERRIDE","28Y")/BDP("=A31&amp;" US Equity"","BEST_EPS","BEST_FPERIOD_OVERRIDE","25Y"))^(1/3)-1,"")</f>
        <v/>
      </c>
      <c r="Q31" s="97">
        <f>BDP("=A31&amp;" US Equity"","CHG_PCT_YTD")/100</f>
        <v/>
      </c>
      <c r="T31" s="68">
        <f>IF(AND(F31&lt;&gt;"",O31&lt;&gt;"",O31&lt;&gt;0),F31/(O31*100),"")</f>
        <v/>
      </c>
      <c r="AB31" s="93">
        <f>BDP("=A31&amp;" US Equity"","TRAIL_12M_OPER_INC")</f>
        <v/>
      </c>
      <c r="AC31" s="93">
        <f>BDP("=A31&amp;" US Equity"","SHORT_AND_LONG_TERM_DEBT")</f>
        <v/>
      </c>
      <c r="AD31" s="93">
        <f>BDP("=A31&amp;" US Equity"","TOTAL_EQUITY")</f>
        <v/>
      </c>
      <c r="AE31" s="93">
        <f>BDP("=A31&amp;" US Equity"","BS_CASH_NEAR_CASH_ITEM")</f>
        <v/>
      </c>
      <c r="AF31" s="99">
        <f>BDP("=A31&amp;" US Equity"","BS_LT_INVEST")</f>
        <v/>
      </c>
      <c r="AG31" s="15">
        <f>AC31+AD31</f>
        <v/>
      </c>
      <c r="AH31" s="100">
        <f>BDP("=A31&amp;" US Equity"","RETURN_ON_INV_CAPITAL")/100</f>
        <v/>
      </c>
      <c r="AJ31" s="93">
        <f>BDP("=A31&amp;" US Equity"","BEST_EPS","BEST_FPERIOD_OVERRIDE","24Y")</f>
        <v/>
      </c>
      <c r="AK31" s="93">
        <f>BDP("=A31&amp;" US Equity"","BEST_EPS","BEST_FPERIOD_OVERRIDE","25Y")</f>
        <v/>
      </c>
      <c r="AL31" s="93">
        <f>BDP("=A31&amp;" US Equity"","BEST_EPS","BEST_FPERIOD_OVERRIDE","26Y")</f>
        <v/>
      </c>
      <c r="AM31" s="93">
        <f>BDP("=A31&amp;" US Equity"","BEST_EPS","BEST_FPERIOD_OVERRIDE","27Y")</f>
        <v/>
      </c>
      <c r="AN31" s="93">
        <f>BDP("=A31&amp;" US Equity"","BEST_EPS","BEST_FPERIOD_OVERRIDE","28Y")</f>
        <v/>
      </c>
      <c r="AP31" s="93">
        <f>BDP("=A31&amp;" US Equity"","BEST_SALES","BEST_FPERIOD_OVERRIDE","24Y")</f>
        <v/>
      </c>
      <c r="AQ31" s="93">
        <f>BDP("=A31&amp;" US Equity"","BEST_SALES","BEST_FPERIOD_OVERRIDE","25Y")</f>
        <v/>
      </c>
      <c r="AR31" s="93">
        <f>BDP("=A31&amp;" US Equity"","BEST_SALES","BEST_FPERIOD_OVERRIDE","26Y")</f>
        <v/>
      </c>
      <c r="AS31" s="93">
        <f>BDP("=A31&amp;" US Equity"","BEST_SALES","BEST_FPERIOD_OVERRIDE","27Y")</f>
        <v/>
      </c>
      <c r="AT31" s="93">
        <f>BDP("=A31&amp;" US Equity"","BEST_SALES","BEST_FPERIOD_OVERRIDE","28Y")</f>
        <v/>
      </c>
      <c r="AV31" s="93">
        <f>BDP("=A31&amp;" US Equity"","BEST_EBIT","BEST_FPERIOD_OVERRIDE","24Y")</f>
        <v/>
      </c>
      <c r="AW31" s="93">
        <f>BDP("=A31&amp;" US Equity"","BEST_EBIT","BEST_FPERIOD_OVERRIDE","25Y")</f>
        <v/>
      </c>
      <c r="AX31" s="93">
        <f>BDP("=A31&amp;" US Equity"","BEST_EBIT","BEST_FPERIOD_OVERRIDE","26Y")</f>
        <v/>
      </c>
      <c r="AY31" s="93">
        <f>BDP("=A31&amp;" US Equity"","BEST_EBIT","BEST_FPERIOD_OVERRIDE","27Y")</f>
        <v/>
      </c>
      <c r="AZ31" s="93">
        <f>BDP("=A31&amp;" US Equity"","BEST_EBIT","BEST_FPERIOD_OVERRIDE","28Y")</f>
        <v/>
      </c>
      <c r="BB31" s="68">
        <f>D31+BC31</f>
        <v/>
      </c>
      <c r="BC31" s="68">
        <f>AC31-AE31</f>
        <v/>
      </c>
      <c r="BD31" s="15">
        <f>D31</f>
        <v/>
      </c>
      <c r="BE31" s="99">
        <f>BDP("=A31&amp;" US Equity"","TRAIL_12M_EBITDA")</f>
        <v/>
      </c>
    </row>
    <row r="32">
      <c r="A32" t="inlineStr">
        <is>
          <t>IBM</t>
        </is>
      </c>
      <c r="B32">
        <f>A32&amp;" US Equity"</f>
        <v/>
      </c>
      <c r="C32" s="15" t="inlineStr">
        <is>
          <t>Dec</t>
        </is>
      </c>
      <c r="D32" s="93">
        <f>BDP("=A32&amp;" US Equity"","CUR_MKT_CAP")/1000000000</f>
        <v/>
      </c>
      <c r="E32" s="94">
        <f>BDP("=A32&amp;" US Equity"","PX_LAST")</f>
        <v/>
      </c>
      <c r="F32" s="95">
        <f>IF(BDP("=A32&amp;" US Equity"","BEST_EPS","BEST_FPERIOD_OVERRIDE","26Y")&lt;&gt;0,$E$32/BDP("=A32&amp;" US Equity"","BEST_EPS","BEST_FPERIOD_OVERRIDE","26Y"),"")</f>
        <v/>
      </c>
      <c r="G32" s="95">
        <f>IF(BDP("=A32&amp;" US Equity"","BEST_EPS","BEST_FPERIOD_OVERRIDE","27Y")&lt;&gt;0,$E$32/BDP("=A32&amp;" US Equity"","BEST_EPS","BEST_FPERIOD_OVERRIDE","27Y"),"")</f>
        <v/>
      </c>
      <c r="H32" s="95">
        <f>IF(BDP("=A32&amp;" US Equity"","BEST_EPS","BEST_FPERIOD_OVERRIDE","28Y")&lt;&gt;0,$E$32/BDP("=A32&amp;" US Equity"","BEST_EPS","BEST_FPERIOD_OVERRIDE","28Y"),"")</f>
        <v/>
      </c>
      <c r="I32" s="96">
        <f>BDP("=A32&amp;" US Equity"","NET_DEBT_TO_EBITDA")</f>
        <v/>
      </c>
      <c r="J32" s="93">
        <f>BDP("=A32&amp;" US Equity"","BEST_SALES","BEST_FPERIOD_OVERRIDE","26Y")/1000</f>
        <v/>
      </c>
      <c r="K32" s="97">
        <f>IF(BDP("=A32&amp;" US Equity"","BEST_SALES","BEST_FPERIOD_OVERRIDE","26Y")&lt;&gt;0,BDP("=A32&amp;" US Equity"","BEST_EBIT","BEST_FPERIOD_OVERRIDE","26Y")/BDP("=A32&amp;" US Equity"","BEST_SALES","BEST_FPERIOD_OVERRIDE","26Y"),"")</f>
        <v/>
      </c>
      <c r="L32" s="97">
        <f>BDP("=A32&amp;" US Equity"","RETURN_ON_INV_CAPITAL")/100</f>
        <v/>
      </c>
      <c r="M32" s="97">
        <f>IF(AND(BDP("=A32&amp;" US Equity"","BEST_SALES","BEST_FPERIOD_OVERRIDE","25Y")&gt;0,BDP("=A32&amp;" US Equity"","BEST_SALES","BEST_FPERIOD_OVERRIDE","28Y")&gt;0),(BDP("=A32&amp;" US Equity"","BEST_SALES","BEST_FPERIOD_OVERRIDE","28Y")/BDP("=A32&amp;" US Equity"","BEST_SALES","BEST_FPERIOD_OVERRIDE","25Y"))^(1/3)-1,"")</f>
        <v/>
      </c>
      <c r="N32" s="97">
        <f>IF(AND(BDP("=A32&amp;" US Equity"","BEST_EBIT","BEST_FPERIOD_OVERRIDE","25Y")&gt;0,BDP("=A32&amp;" US Equity"","BEST_EBIT","BEST_FPERIOD_OVERRIDE","28Y")&gt;0),(BDP("=A32&amp;" US Equity"","BEST_EBIT","BEST_FPERIOD_OVERRIDE","28Y")/BDP("=A32&amp;" US Equity"","BEST_EBIT","BEST_FPERIOD_OVERRIDE","25Y"))^(1/3)-1,"")</f>
        <v/>
      </c>
      <c r="O32" s="97">
        <f>IF(AND(BDP("=A32&amp;" US Equity"","BEST_EPS","BEST_FPERIOD_OVERRIDE","25Y")&gt;0,BDP("=A32&amp;" US Equity"","BEST_EPS","BEST_FPERIOD_OVERRIDE","28Y")&gt;0),(BDP("=A32&amp;" US Equity"","BEST_EPS","BEST_FPERIOD_OVERRIDE","28Y")/BDP("=A32&amp;" US Equity"","BEST_EPS","BEST_FPERIOD_OVERRIDE","25Y"))^(1/3)-1,"")</f>
        <v/>
      </c>
      <c r="Q32" s="97">
        <f>BDP("=A32&amp;" US Equity"","CHG_PCT_YTD")/100</f>
        <v/>
      </c>
      <c r="T32" s="68">
        <f>IF(AND(F32&lt;&gt;"",O32&lt;&gt;"",O32&lt;&gt;0),F32/(O32*100),"")</f>
        <v/>
      </c>
      <c r="AB32" s="93">
        <f>BDP("=A32&amp;" US Equity"","TRAIL_12M_OPER_INC")</f>
        <v/>
      </c>
      <c r="AC32" s="93">
        <f>BDP("=A32&amp;" US Equity"","SHORT_AND_LONG_TERM_DEBT")</f>
        <v/>
      </c>
      <c r="AD32" s="93">
        <f>BDP("=A32&amp;" US Equity"","TOTAL_EQUITY")</f>
        <v/>
      </c>
      <c r="AE32" s="93">
        <f>BDP("=A32&amp;" US Equity"","BS_CASH_NEAR_CASH_ITEM")</f>
        <v/>
      </c>
      <c r="AF32" s="99">
        <f>BDP("=A32&amp;" US Equity"","BS_LT_INVEST")</f>
        <v/>
      </c>
      <c r="AG32" s="15">
        <f>AC32+AD32</f>
        <v/>
      </c>
      <c r="AH32" s="100">
        <f>BDP("=A32&amp;" US Equity"","RETURN_ON_INV_CAPITAL")/100</f>
        <v/>
      </c>
      <c r="AJ32" s="93">
        <f>BDP("=A32&amp;" US Equity"","BEST_EPS","BEST_FPERIOD_OVERRIDE","24Y")</f>
        <v/>
      </c>
      <c r="AK32" s="93">
        <f>BDP("=A32&amp;" US Equity"","BEST_EPS","BEST_FPERIOD_OVERRIDE","25Y")</f>
        <v/>
      </c>
      <c r="AL32" s="93">
        <f>BDP("=A32&amp;" US Equity"","BEST_EPS","BEST_FPERIOD_OVERRIDE","26Y")</f>
        <v/>
      </c>
      <c r="AM32" s="93">
        <f>BDP("=A32&amp;" US Equity"","BEST_EPS","BEST_FPERIOD_OVERRIDE","27Y")</f>
        <v/>
      </c>
      <c r="AN32" s="93">
        <f>BDP("=A32&amp;" US Equity"","BEST_EPS","BEST_FPERIOD_OVERRIDE","28Y")</f>
        <v/>
      </c>
      <c r="AP32" s="93">
        <f>BDP("=A32&amp;" US Equity"","BEST_SALES","BEST_FPERIOD_OVERRIDE","24Y")</f>
        <v/>
      </c>
      <c r="AQ32" s="93">
        <f>BDP("=A32&amp;" US Equity"","BEST_SALES","BEST_FPERIOD_OVERRIDE","25Y")</f>
        <v/>
      </c>
      <c r="AR32" s="93">
        <f>BDP("=A32&amp;" US Equity"","BEST_SALES","BEST_FPERIOD_OVERRIDE","26Y")</f>
        <v/>
      </c>
      <c r="AS32" s="93">
        <f>BDP("=A32&amp;" US Equity"","BEST_SALES","BEST_FPERIOD_OVERRIDE","27Y")</f>
        <v/>
      </c>
      <c r="AT32" s="93">
        <f>BDP("=A32&amp;" US Equity"","BEST_SALES","BEST_FPERIOD_OVERRIDE","28Y")</f>
        <v/>
      </c>
      <c r="AV32" s="93">
        <f>BDP("=A32&amp;" US Equity"","BEST_EBIT","BEST_FPERIOD_OVERRIDE","24Y")</f>
        <v/>
      </c>
      <c r="AW32" s="93">
        <f>BDP("=A32&amp;" US Equity"","BEST_EBIT","BEST_FPERIOD_OVERRIDE","25Y")</f>
        <v/>
      </c>
      <c r="AX32" s="93">
        <f>BDP("=A32&amp;" US Equity"","BEST_EBIT","BEST_FPERIOD_OVERRIDE","26Y")</f>
        <v/>
      </c>
      <c r="AY32" s="93">
        <f>BDP("=A32&amp;" US Equity"","BEST_EBIT","BEST_FPERIOD_OVERRIDE","27Y")</f>
        <v/>
      </c>
      <c r="AZ32" s="93">
        <f>BDP("=A32&amp;" US Equity"","BEST_EBIT","BEST_FPERIOD_OVERRIDE","28Y")</f>
        <v/>
      </c>
      <c r="BB32" s="68">
        <f>D32+BC32</f>
        <v/>
      </c>
      <c r="BC32" s="68">
        <f>AC32-AE32</f>
        <v/>
      </c>
      <c r="BD32" s="15">
        <f>D32</f>
        <v/>
      </c>
      <c r="BE32" s="99">
        <f>BDP("=A32&amp;" US Equity"","TRAIL_12M_EBITDA")</f>
        <v/>
      </c>
    </row>
    <row r="33">
      <c r="A33" t="inlineStr">
        <is>
          <t>MCD</t>
        </is>
      </c>
      <c r="B33">
        <f>A33&amp;" US Equity"</f>
        <v/>
      </c>
      <c r="C33" s="15" t="inlineStr">
        <is>
          <t>Dec</t>
        </is>
      </c>
      <c r="D33" s="93">
        <f>BDP("=A33&amp;" US Equity"","CUR_MKT_CAP")/1000000000</f>
        <v/>
      </c>
      <c r="E33" s="94">
        <f>BDP("=A33&amp;" US Equity"","PX_LAST")</f>
        <v/>
      </c>
      <c r="F33" s="95">
        <f>IF(BDP("=A33&amp;" US Equity"","BEST_EPS","BEST_FPERIOD_OVERRIDE","26Y")&lt;&gt;0,$E$33/BDP("=A33&amp;" US Equity"","BEST_EPS","BEST_FPERIOD_OVERRIDE","26Y"),"")</f>
        <v/>
      </c>
      <c r="G33" s="95">
        <f>IF(BDP("=A33&amp;" US Equity"","BEST_EPS","BEST_FPERIOD_OVERRIDE","27Y")&lt;&gt;0,$E$33/BDP("=A33&amp;" US Equity"","BEST_EPS","BEST_FPERIOD_OVERRIDE","27Y"),"")</f>
        <v/>
      </c>
      <c r="H33" s="95">
        <f>IF(BDP("=A33&amp;" US Equity"","BEST_EPS","BEST_FPERIOD_OVERRIDE","28Y")&lt;&gt;0,$E$33/BDP("=A33&amp;" US Equity"","BEST_EPS","BEST_FPERIOD_OVERRIDE","28Y"),"")</f>
        <v/>
      </c>
      <c r="I33" s="96">
        <f>BDP("=A33&amp;" US Equity"","NET_DEBT_TO_EBITDA")</f>
        <v/>
      </c>
      <c r="J33" s="93">
        <f>BDP("=A33&amp;" US Equity"","BEST_SALES","BEST_FPERIOD_OVERRIDE","26Y")/1000</f>
        <v/>
      </c>
      <c r="K33" s="97">
        <f>IF(BDP("=A33&amp;" US Equity"","BEST_SALES","BEST_FPERIOD_OVERRIDE","26Y")&lt;&gt;0,BDP("=A33&amp;" US Equity"","BEST_EBIT","BEST_FPERIOD_OVERRIDE","26Y")/BDP("=A33&amp;" US Equity"","BEST_SALES","BEST_FPERIOD_OVERRIDE","26Y"),"")</f>
        <v/>
      </c>
      <c r="L33" s="97">
        <f>BDP("=A33&amp;" US Equity"","RETURN_ON_INV_CAPITAL")/100</f>
        <v/>
      </c>
      <c r="M33" s="97">
        <f>IF(AND(BDP("=A33&amp;" US Equity"","BEST_SALES","BEST_FPERIOD_OVERRIDE","25Y")&gt;0,BDP("=A33&amp;" US Equity"","BEST_SALES","BEST_FPERIOD_OVERRIDE","28Y")&gt;0),(BDP("=A33&amp;" US Equity"","BEST_SALES","BEST_FPERIOD_OVERRIDE","28Y")/BDP("=A33&amp;" US Equity"","BEST_SALES","BEST_FPERIOD_OVERRIDE","25Y"))^(1/3)-1,"")</f>
        <v/>
      </c>
      <c r="N33" s="97">
        <f>IF(AND(BDP("=A33&amp;" US Equity"","BEST_EBIT","BEST_FPERIOD_OVERRIDE","25Y")&gt;0,BDP("=A33&amp;" US Equity"","BEST_EBIT","BEST_FPERIOD_OVERRIDE","28Y")&gt;0),(BDP("=A33&amp;" US Equity"","BEST_EBIT","BEST_FPERIOD_OVERRIDE","28Y")/BDP("=A33&amp;" US Equity"","BEST_EBIT","BEST_FPERIOD_OVERRIDE","25Y"))^(1/3)-1,"")</f>
        <v/>
      </c>
      <c r="O33" s="97">
        <f>IF(AND(BDP("=A33&amp;" US Equity"","BEST_EPS","BEST_FPERIOD_OVERRIDE","25Y")&gt;0,BDP("=A33&amp;" US Equity"","BEST_EPS","BEST_FPERIOD_OVERRIDE","28Y")&gt;0),(BDP("=A33&amp;" US Equity"","BEST_EPS","BEST_FPERIOD_OVERRIDE","28Y")/BDP("=A33&amp;" US Equity"","BEST_EPS","BEST_FPERIOD_OVERRIDE","25Y"))^(1/3)-1,"")</f>
        <v/>
      </c>
      <c r="Q33" s="97">
        <f>BDP("=A33&amp;" US Equity"","CHG_PCT_YTD")/100</f>
        <v/>
      </c>
      <c r="T33" s="68">
        <f>IF(AND(F33&lt;&gt;"",O33&lt;&gt;"",O33&lt;&gt;0),F33/(O33*100),"")</f>
        <v/>
      </c>
      <c r="AB33" s="93">
        <f>BDP("=A33&amp;" US Equity"","TRAIL_12M_OPER_INC")</f>
        <v/>
      </c>
      <c r="AC33" s="93">
        <f>BDP("=A33&amp;" US Equity"","SHORT_AND_LONG_TERM_DEBT")</f>
        <v/>
      </c>
      <c r="AD33" s="93">
        <f>BDP("=A33&amp;" US Equity"","TOTAL_EQUITY")</f>
        <v/>
      </c>
      <c r="AE33" s="93">
        <f>BDP("=A33&amp;" US Equity"","BS_CASH_NEAR_CASH_ITEM")</f>
        <v/>
      </c>
      <c r="AF33" s="99">
        <f>BDP("=A33&amp;" US Equity"","BS_LT_INVEST")</f>
        <v/>
      </c>
      <c r="AG33" s="15">
        <f>AC33+AD33</f>
        <v/>
      </c>
      <c r="AH33" s="100">
        <f>BDP("=A33&amp;" US Equity"","RETURN_ON_INV_CAPITAL")/100</f>
        <v/>
      </c>
      <c r="AJ33" s="93">
        <f>BDP("=A33&amp;" US Equity"","BEST_EPS","BEST_FPERIOD_OVERRIDE","24Y")</f>
        <v/>
      </c>
      <c r="AK33" s="93">
        <f>BDP("=A33&amp;" US Equity"","BEST_EPS","BEST_FPERIOD_OVERRIDE","25Y")</f>
        <v/>
      </c>
      <c r="AL33" s="93">
        <f>BDP("=A33&amp;" US Equity"","BEST_EPS","BEST_FPERIOD_OVERRIDE","26Y")</f>
        <v/>
      </c>
      <c r="AM33" s="93">
        <f>BDP("=A33&amp;" US Equity"","BEST_EPS","BEST_FPERIOD_OVERRIDE","27Y")</f>
        <v/>
      </c>
      <c r="AN33" s="93">
        <f>BDP("=A33&amp;" US Equity"","BEST_EPS","BEST_FPERIOD_OVERRIDE","28Y")</f>
        <v/>
      </c>
      <c r="AP33" s="93">
        <f>BDP("=A33&amp;" US Equity"","BEST_SALES","BEST_FPERIOD_OVERRIDE","24Y")</f>
        <v/>
      </c>
      <c r="AQ33" s="93">
        <f>BDP("=A33&amp;" US Equity"","BEST_SALES","BEST_FPERIOD_OVERRIDE","25Y")</f>
        <v/>
      </c>
      <c r="AR33" s="93">
        <f>BDP("=A33&amp;" US Equity"","BEST_SALES","BEST_FPERIOD_OVERRIDE","26Y")</f>
        <v/>
      </c>
      <c r="AS33" s="93">
        <f>BDP("=A33&amp;" US Equity"","BEST_SALES","BEST_FPERIOD_OVERRIDE","27Y")</f>
        <v/>
      </c>
      <c r="AT33" s="93">
        <f>BDP("=A33&amp;" US Equity"","BEST_SALES","BEST_FPERIOD_OVERRIDE","28Y")</f>
        <v/>
      </c>
      <c r="AV33" s="93">
        <f>BDP("=A33&amp;" US Equity"","BEST_EBIT","BEST_FPERIOD_OVERRIDE","24Y")</f>
        <v/>
      </c>
      <c r="AW33" s="93">
        <f>BDP("=A33&amp;" US Equity"","BEST_EBIT","BEST_FPERIOD_OVERRIDE","25Y")</f>
        <v/>
      </c>
      <c r="AX33" s="93">
        <f>BDP("=A33&amp;" US Equity"","BEST_EBIT","BEST_FPERIOD_OVERRIDE","26Y")</f>
        <v/>
      </c>
      <c r="AY33" s="93">
        <f>BDP("=A33&amp;" US Equity"","BEST_EBIT","BEST_FPERIOD_OVERRIDE","27Y")</f>
        <v/>
      </c>
      <c r="AZ33" s="93">
        <f>BDP("=A33&amp;" US Equity"","BEST_EBIT","BEST_FPERIOD_OVERRIDE","28Y")</f>
        <v/>
      </c>
      <c r="BB33" s="68">
        <f>D33+BC33</f>
        <v/>
      </c>
      <c r="BC33" s="68">
        <f>AC33-AE33</f>
        <v/>
      </c>
      <c r="BD33" s="15">
        <f>D33</f>
        <v/>
      </c>
      <c r="BE33" s="99">
        <f>BDP("=A33&amp;" US Equity"","TRAIL_12M_EBITDA")</f>
        <v/>
      </c>
    </row>
    <row r="34">
      <c r="A34" t="inlineStr">
        <is>
          <t>HON</t>
        </is>
      </c>
      <c r="B34">
        <f>A34&amp;" US Equity"</f>
        <v/>
      </c>
      <c r="C34" s="15" t="inlineStr">
        <is>
          <t>Dec</t>
        </is>
      </c>
      <c r="D34" s="93">
        <f>BDP("=A34&amp;" US Equity"","CUR_MKT_CAP")/1000000000</f>
        <v/>
      </c>
      <c r="E34" s="94">
        <f>BDP("=A34&amp;" US Equity"","PX_LAST")</f>
        <v/>
      </c>
      <c r="F34" s="95">
        <f>IF(BDP("=A34&amp;" US Equity"","BEST_EPS","BEST_FPERIOD_OVERRIDE","26Y")&lt;&gt;0,$E$34/BDP("=A34&amp;" US Equity"","BEST_EPS","BEST_FPERIOD_OVERRIDE","26Y"),"")</f>
        <v/>
      </c>
      <c r="G34" s="95">
        <f>IF(BDP("=A34&amp;" US Equity"","BEST_EPS","BEST_FPERIOD_OVERRIDE","27Y")&lt;&gt;0,$E$34/BDP("=A34&amp;" US Equity"","BEST_EPS","BEST_FPERIOD_OVERRIDE","27Y"),"")</f>
        <v/>
      </c>
      <c r="H34" s="95">
        <f>IF(BDP("=A34&amp;" US Equity"","BEST_EPS","BEST_FPERIOD_OVERRIDE","28Y")&lt;&gt;0,$E$34/BDP("=A34&amp;" US Equity"","BEST_EPS","BEST_FPERIOD_OVERRIDE","28Y"),"")</f>
        <v/>
      </c>
      <c r="I34" s="96">
        <f>BDP("=A34&amp;" US Equity"","NET_DEBT_TO_EBITDA")</f>
        <v/>
      </c>
      <c r="J34" s="93">
        <f>BDP("=A34&amp;" US Equity"","BEST_SALES","BEST_FPERIOD_OVERRIDE","26Y")/1000</f>
        <v/>
      </c>
      <c r="K34" s="97">
        <f>IF(BDP("=A34&amp;" US Equity"","BEST_SALES","BEST_FPERIOD_OVERRIDE","26Y")&lt;&gt;0,BDP("=A34&amp;" US Equity"","BEST_EBIT","BEST_FPERIOD_OVERRIDE","26Y")/BDP("=A34&amp;" US Equity"","BEST_SALES","BEST_FPERIOD_OVERRIDE","26Y"),"")</f>
        <v/>
      </c>
      <c r="L34" s="97">
        <f>BDP("=A34&amp;" US Equity"","RETURN_ON_INV_CAPITAL")/100</f>
        <v/>
      </c>
      <c r="M34" s="97">
        <f>IF(AND(BDP("=A34&amp;" US Equity"","BEST_SALES","BEST_FPERIOD_OVERRIDE","25Y")&gt;0,BDP("=A34&amp;" US Equity"","BEST_SALES","BEST_FPERIOD_OVERRIDE","28Y")&gt;0),(BDP("=A34&amp;" US Equity"","BEST_SALES","BEST_FPERIOD_OVERRIDE","28Y")/BDP("=A34&amp;" US Equity"","BEST_SALES","BEST_FPERIOD_OVERRIDE","25Y"))^(1/3)-1,"")</f>
        <v/>
      </c>
      <c r="N34" s="97">
        <f>IF(AND(BDP("=A34&amp;" US Equity"","BEST_EBIT","BEST_FPERIOD_OVERRIDE","25Y")&gt;0,BDP("=A34&amp;" US Equity"","BEST_EBIT","BEST_FPERIOD_OVERRIDE","28Y")&gt;0),(BDP("=A34&amp;" US Equity"","BEST_EBIT","BEST_FPERIOD_OVERRIDE","28Y")/BDP("=A34&amp;" US Equity"","BEST_EBIT","BEST_FPERIOD_OVERRIDE","25Y"))^(1/3)-1,"")</f>
        <v/>
      </c>
      <c r="O34" s="97">
        <f>IF(AND(BDP("=A34&amp;" US Equity"","BEST_EPS","BEST_FPERIOD_OVERRIDE","25Y")&gt;0,BDP("=A34&amp;" US Equity"","BEST_EPS","BEST_FPERIOD_OVERRIDE","28Y")&gt;0),(BDP("=A34&amp;" US Equity"","BEST_EPS","BEST_FPERIOD_OVERRIDE","28Y")/BDP("=A34&amp;" US Equity"","BEST_EPS","BEST_FPERIOD_OVERRIDE","25Y"))^(1/3)-1,"")</f>
        <v/>
      </c>
      <c r="Q34" s="97">
        <f>BDP("=A34&amp;" US Equity"","CHG_PCT_YTD")/100</f>
        <v/>
      </c>
      <c r="T34" s="68">
        <f>IF(AND(F34&lt;&gt;"",O34&lt;&gt;"",O34&lt;&gt;0),F34/(O34*100),"")</f>
        <v/>
      </c>
      <c r="AB34" s="93">
        <f>BDP("=A34&amp;" US Equity"","TRAIL_12M_OPER_INC")</f>
        <v/>
      </c>
      <c r="AC34" s="93">
        <f>BDP("=A34&amp;" US Equity"","SHORT_AND_LONG_TERM_DEBT")</f>
        <v/>
      </c>
      <c r="AD34" s="93">
        <f>BDP("=A34&amp;" US Equity"","TOTAL_EQUITY")</f>
        <v/>
      </c>
      <c r="AE34" s="93">
        <f>BDP("=A34&amp;" US Equity"","BS_CASH_NEAR_CASH_ITEM")</f>
        <v/>
      </c>
      <c r="AF34" s="99">
        <f>BDP("=A34&amp;" US Equity"","BS_LT_INVEST")</f>
        <v/>
      </c>
      <c r="AG34" s="15">
        <f>AC34+AD34</f>
        <v/>
      </c>
      <c r="AH34" s="100">
        <f>BDP("=A34&amp;" US Equity"","RETURN_ON_INV_CAPITAL")/100</f>
        <v/>
      </c>
      <c r="AJ34" s="93">
        <f>BDP("=A34&amp;" US Equity"","BEST_EPS","BEST_FPERIOD_OVERRIDE","24Y")</f>
        <v/>
      </c>
      <c r="AK34" s="93">
        <f>BDP("=A34&amp;" US Equity"","BEST_EPS","BEST_FPERIOD_OVERRIDE","25Y")</f>
        <v/>
      </c>
      <c r="AL34" s="93">
        <f>BDP("=A34&amp;" US Equity"","BEST_EPS","BEST_FPERIOD_OVERRIDE","26Y")</f>
        <v/>
      </c>
      <c r="AM34" s="93">
        <f>BDP("=A34&amp;" US Equity"","BEST_EPS","BEST_FPERIOD_OVERRIDE","27Y")</f>
        <v/>
      </c>
      <c r="AN34" s="93">
        <f>BDP("=A34&amp;" US Equity"","BEST_EPS","BEST_FPERIOD_OVERRIDE","28Y")</f>
        <v/>
      </c>
      <c r="AP34" s="93">
        <f>BDP("=A34&amp;" US Equity"","BEST_SALES","BEST_FPERIOD_OVERRIDE","24Y")</f>
        <v/>
      </c>
      <c r="AQ34" s="93">
        <f>BDP("=A34&amp;" US Equity"","BEST_SALES","BEST_FPERIOD_OVERRIDE","25Y")</f>
        <v/>
      </c>
      <c r="AR34" s="93">
        <f>BDP("=A34&amp;" US Equity"","BEST_SALES","BEST_FPERIOD_OVERRIDE","26Y")</f>
        <v/>
      </c>
      <c r="AS34" s="93">
        <f>BDP("=A34&amp;" US Equity"","BEST_SALES","BEST_FPERIOD_OVERRIDE","27Y")</f>
        <v/>
      </c>
      <c r="AT34" s="93">
        <f>BDP("=A34&amp;" US Equity"","BEST_SALES","BEST_FPERIOD_OVERRIDE","28Y")</f>
        <v/>
      </c>
      <c r="AV34" s="93">
        <f>BDP("=A34&amp;" US Equity"","BEST_EBIT","BEST_FPERIOD_OVERRIDE","24Y")</f>
        <v/>
      </c>
      <c r="AW34" s="93">
        <f>BDP("=A34&amp;" US Equity"","BEST_EBIT","BEST_FPERIOD_OVERRIDE","25Y")</f>
        <v/>
      </c>
      <c r="AX34" s="93">
        <f>BDP("=A34&amp;" US Equity"","BEST_EBIT","BEST_FPERIOD_OVERRIDE","26Y")</f>
        <v/>
      </c>
      <c r="AY34" s="93">
        <f>BDP("=A34&amp;" US Equity"","BEST_EBIT","BEST_FPERIOD_OVERRIDE","27Y")</f>
        <v/>
      </c>
      <c r="AZ34" s="93">
        <f>BDP("=A34&amp;" US Equity"","BEST_EBIT","BEST_FPERIOD_OVERRIDE","28Y")</f>
        <v/>
      </c>
      <c r="BB34" s="68">
        <f>D34+BC34</f>
        <v/>
      </c>
      <c r="BC34" s="68">
        <f>AC34-AE34</f>
        <v/>
      </c>
      <c r="BD34" s="15">
        <f>D34</f>
        <v/>
      </c>
      <c r="BE34" s="99">
        <f>BDP("=A34&amp;" US Equity"","TRAIL_12M_EBITDA")</f>
        <v/>
      </c>
    </row>
    <row r="35">
      <c r="A35" t="inlineStr">
        <is>
          <t>SBUX</t>
        </is>
      </c>
      <c r="B35">
        <f>A35&amp;" US Equity"</f>
        <v/>
      </c>
      <c r="C35" s="15" t="inlineStr">
        <is>
          <t>Dec</t>
        </is>
      </c>
      <c r="D35" s="93">
        <f>BDP("=A35&amp;" US Equity"","CUR_MKT_CAP")/1000000000</f>
        <v/>
      </c>
      <c r="E35" s="94">
        <f>BDP("=A35&amp;" US Equity"","PX_LAST")</f>
        <v/>
      </c>
      <c r="F35" s="95">
        <f>IF(BDP("=A35&amp;" US Equity"","BEST_EPS","BEST_FPERIOD_OVERRIDE","26Y")&lt;&gt;0,$E$35/BDP("=A35&amp;" US Equity"","BEST_EPS","BEST_FPERIOD_OVERRIDE","26Y"),"")</f>
        <v/>
      </c>
      <c r="G35" s="95">
        <f>IF(BDP("=A35&amp;" US Equity"","BEST_EPS","BEST_FPERIOD_OVERRIDE","27Y")&lt;&gt;0,$E$35/BDP("=A35&amp;" US Equity"","BEST_EPS","BEST_FPERIOD_OVERRIDE","27Y"),"")</f>
        <v/>
      </c>
      <c r="H35" s="95">
        <f>IF(BDP("=A35&amp;" US Equity"","BEST_EPS","BEST_FPERIOD_OVERRIDE","28Y")&lt;&gt;0,$E$35/BDP("=A35&amp;" US Equity"","BEST_EPS","BEST_FPERIOD_OVERRIDE","28Y"),"")</f>
        <v/>
      </c>
      <c r="I35" s="96">
        <f>BDP("=A35&amp;" US Equity"","NET_DEBT_TO_EBITDA")</f>
        <v/>
      </c>
      <c r="J35" s="93">
        <f>BDP("=A35&amp;" US Equity"","BEST_SALES","BEST_FPERIOD_OVERRIDE","26Y")/1000</f>
        <v/>
      </c>
      <c r="K35" s="97">
        <f>IF(BDP("=A35&amp;" US Equity"","BEST_SALES","BEST_FPERIOD_OVERRIDE","26Y")&lt;&gt;0,BDP("=A35&amp;" US Equity"","BEST_EBIT","BEST_FPERIOD_OVERRIDE","26Y")/BDP("=A35&amp;" US Equity"","BEST_SALES","BEST_FPERIOD_OVERRIDE","26Y"),"")</f>
        <v/>
      </c>
      <c r="L35" s="97">
        <f>BDP("=A35&amp;" US Equity"","RETURN_ON_INV_CAPITAL")/100</f>
        <v/>
      </c>
      <c r="M35" s="97">
        <f>IF(AND(BDP("=A35&amp;" US Equity"","BEST_SALES","BEST_FPERIOD_OVERRIDE","25Y")&gt;0,BDP("=A35&amp;" US Equity"","BEST_SALES","BEST_FPERIOD_OVERRIDE","28Y")&gt;0),(BDP("=A35&amp;" US Equity"","BEST_SALES","BEST_FPERIOD_OVERRIDE","28Y")/BDP("=A35&amp;" US Equity"","BEST_SALES","BEST_FPERIOD_OVERRIDE","25Y"))^(1/3)-1,"")</f>
        <v/>
      </c>
      <c r="N35" s="97">
        <f>IF(AND(BDP("=A35&amp;" US Equity"","BEST_EBIT","BEST_FPERIOD_OVERRIDE","25Y")&gt;0,BDP("=A35&amp;" US Equity"","BEST_EBIT","BEST_FPERIOD_OVERRIDE","28Y")&gt;0),(BDP("=A35&amp;" US Equity"","BEST_EBIT","BEST_FPERIOD_OVERRIDE","28Y")/BDP("=A35&amp;" US Equity"","BEST_EBIT","BEST_FPERIOD_OVERRIDE","25Y"))^(1/3)-1,"")</f>
        <v/>
      </c>
      <c r="O35" s="97">
        <f>IF(AND(BDP("=A35&amp;" US Equity"","BEST_EPS","BEST_FPERIOD_OVERRIDE","25Y")&gt;0,BDP("=A35&amp;" US Equity"","BEST_EPS","BEST_FPERIOD_OVERRIDE","28Y")&gt;0),(BDP("=A35&amp;" US Equity"","BEST_EPS","BEST_FPERIOD_OVERRIDE","28Y")/BDP("=A35&amp;" US Equity"","BEST_EPS","BEST_FPERIOD_OVERRIDE","25Y"))^(1/3)-1,"")</f>
        <v/>
      </c>
      <c r="Q35" s="97">
        <f>BDP("=A35&amp;" US Equity"","CHG_PCT_YTD")/100</f>
        <v/>
      </c>
      <c r="T35" s="68">
        <f>IF(AND(F35&lt;&gt;"",O35&lt;&gt;"",O35&lt;&gt;0),F35/(O35*100),"")</f>
        <v/>
      </c>
      <c r="AB35" s="93">
        <f>BDP("=A35&amp;" US Equity"","TRAIL_12M_OPER_INC")</f>
        <v/>
      </c>
      <c r="AC35" s="93">
        <f>BDP("=A35&amp;" US Equity"","SHORT_AND_LONG_TERM_DEBT")</f>
        <v/>
      </c>
      <c r="AD35" s="93">
        <f>BDP("=A35&amp;" US Equity"","TOTAL_EQUITY")</f>
        <v/>
      </c>
      <c r="AE35" s="93">
        <f>BDP("=A35&amp;" US Equity"","BS_CASH_NEAR_CASH_ITEM")</f>
        <v/>
      </c>
      <c r="AF35" s="99">
        <f>BDP("=A35&amp;" US Equity"","BS_LT_INVEST")</f>
        <v/>
      </c>
      <c r="AG35" s="15">
        <f>AC35+AD35</f>
        <v/>
      </c>
      <c r="AH35" s="100">
        <f>BDP("=A35&amp;" US Equity"","RETURN_ON_INV_CAPITAL")/100</f>
        <v/>
      </c>
      <c r="AJ35" s="93">
        <f>BDP("=A35&amp;" US Equity"","BEST_EPS","BEST_FPERIOD_OVERRIDE","24Y")</f>
        <v/>
      </c>
      <c r="AK35" s="93">
        <f>BDP("=A35&amp;" US Equity"","BEST_EPS","BEST_FPERIOD_OVERRIDE","25Y")</f>
        <v/>
      </c>
      <c r="AL35" s="93">
        <f>BDP("=A35&amp;" US Equity"","BEST_EPS","BEST_FPERIOD_OVERRIDE","26Y")</f>
        <v/>
      </c>
      <c r="AM35" s="93">
        <f>BDP("=A35&amp;" US Equity"","BEST_EPS","BEST_FPERIOD_OVERRIDE","27Y")</f>
        <v/>
      </c>
      <c r="AN35" s="93">
        <f>BDP("=A35&amp;" US Equity"","BEST_EPS","BEST_FPERIOD_OVERRIDE","28Y")</f>
        <v/>
      </c>
      <c r="AP35" s="93">
        <f>BDP("=A35&amp;" US Equity"","BEST_SALES","BEST_FPERIOD_OVERRIDE","24Y")</f>
        <v/>
      </c>
      <c r="AQ35" s="93">
        <f>BDP("=A35&amp;" US Equity"","BEST_SALES","BEST_FPERIOD_OVERRIDE","25Y")</f>
        <v/>
      </c>
      <c r="AR35" s="93">
        <f>BDP("=A35&amp;" US Equity"","BEST_SALES","BEST_FPERIOD_OVERRIDE","26Y")</f>
        <v/>
      </c>
      <c r="AS35" s="93">
        <f>BDP("=A35&amp;" US Equity"","BEST_SALES","BEST_FPERIOD_OVERRIDE","27Y")</f>
        <v/>
      </c>
      <c r="AT35" s="93">
        <f>BDP("=A35&amp;" US Equity"","BEST_SALES","BEST_FPERIOD_OVERRIDE","28Y")</f>
        <v/>
      </c>
      <c r="AV35" s="93">
        <f>BDP("=A35&amp;" US Equity"","BEST_EBIT","BEST_FPERIOD_OVERRIDE","24Y")</f>
        <v/>
      </c>
      <c r="AW35" s="93">
        <f>BDP("=A35&amp;" US Equity"","BEST_EBIT","BEST_FPERIOD_OVERRIDE","25Y")</f>
        <v/>
      </c>
      <c r="AX35" s="93">
        <f>BDP("=A35&amp;" US Equity"","BEST_EBIT","BEST_FPERIOD_OVERRIDE","26Y")</f>
        <v/>
      </c>
      <c r="AY35" s="93">
        <f>BDP("=A35&amp;" US Equity"","BEST_EBIT","BEST_FPERIOD_OVERRIDE","27Y")</f>
        <v/>
      </c>
      <c r="AZ35" s="93">
        <f>BDP("=A35&amp;" US Equity"","BEST_EBIT","BEST_FPERIOD_OVERRIDE","28Y")</f>
        <v/>
      </c>
      <c r="BB35" s="68">
        <f>D35+BC35</f>
        <v/>
      </c>
      <c r="BC35" s="68">
        <f>AC35-AE35</f>
        <v/>
      </c>
      <c r="BD35" s="15">
        <f>D35</f>
        <v/>
      </c>
      <c r="BE35" s="99">
        <f>BDP("=A35&amp;" US Equity"","TRAIL_12M_EBITDA")</f>
        <v/>
      </c>
    </row>
    <row r="36">
      <c r="A36" t="inlineStr">
        <is>
          <t>NKE</t>
        </is>
      </c>
      <c r="B36">
        <f>A36&amp;" US Equity"</f>
        <v/>
      </c>
      <c r="C36" s="15" t="inlineStr">
        <is>
          <t>Dec</t>
        </is>
      </c>
      <c r="D36" s="93">
        <f>BDP("=A36&amp;" US Equity"","CUR_MKT_CAP")/1000000000</f>
        <v/>
      </c>
      <c r="E36" s="94">
        <f>BDP("=A36&amp;" US Equity"","PX_LAST")</f>
        <v/>
      </c>
      <c r="F36" s="95">
        <f>IF(BDP("=A36&amp;" US Equity"","BEST_EPS","BEST_FPERIOD_OVERRIDE","26Y")&lt;&gt;0,$E$36/BDP("=A36&amp;" US Equity"","BEST_EPS","BEST_FPERIOD_OVERRIDE","26Y"),"")</f>
        <v/>
      </c>
      <c r="G36" s="95">
        <f>IF(BDP("=A36&amp;" US Equity"","BEST_EPS","BEST_FPERIOD_OVERRIDE","27Y")&lt;&gt;0,$E$36/BDP("=A36&amp;" US Equity"","BEST_EPS","BEST_FPERIOD_OVERRIDE","27Y"),"")</f>
        <v/>
      </c>
      <c r="H36" s="95">
        <f>IF(BDP("=A36&amp;" US Equity"","BEST_EPS","BEST_FPERIOD_OVERRIDE","28Y")&lt;&gt;0,$E$36/BDP("=A36&amp;" US Equity"","BEST_EPS","BEST_FPERIOD_OVERRIDE","28Y"),"")</f>
        <v/>
      </c>
      <c r="I36" s="96">
        <f>BDP("=A36&amp;" US Equity"","NET_DEBT_TO_EBITDA")</f>
        <v/>
      </c>
      <c r="J36" s="93">
        <f>BDP("=A36&amp;" US Equity"","BEST_SALES","BEST_FPERIOD_OVERRIDE","26Y")/1000</f>
        <v/>
      </c>
      <c r="K36" s="97">
        <f>IF(BDP("=A36&amp;" US Equity"","BEST_SALES","BEST_FPERIOD_OVERRIDE","26Y")&lt;&gt;0,BDP("=A36&amp;" US Equity"","BEST_EBIT","BEST_FPERIOD_OVERRIDE","26Y")/BDP("=A36&amp;" US Equity"","BEST_SALES","BEST_FPERIOD_OVERRIDE","26Y"),"")</f>
        <v/>
      </c>
      <c r="L36" s="97">
        <f>BDP("=A36&amp;" US Equity"","RETURN_ON_INV_CAPITAL")/100</f>
        <v/>
      </c>
      <c r="M36" s="97">
        <f>IF(AND(BDP("=A36&amp;" US Equity"","BEST_SALES","BEST_FPERIOD_OVERRIDE","25Y")&gt;0,BDP("=A36&amp;" US Equity"","BEST_SALES","BEST_FPERIOD_OVERRIDE","28Y")&gt;0),(BDP("=A36&amp;" US Equity"","BEST_SALES","BEST_FPERIOD_OVERRIDE","28Y")/BDP("=A36&amp;" US Equity"","BEST_SALES","BEST_FPERIOD_OVERRIDE","25Y"))^(1/3)-1,"")</f>
        <v/>
      </c>
      <c r="N36" s="97">
        <f>IF(AND(BDP("=A36&amp;" US Equity"","BEST_EBIT","BEST_FPERIOD_OVERRIDE","25Y")&gt;0,BDP("=A36&amp;" US Equity"","BEST_EBIT","BEST_FPERIOD_OVERRIDE","28Y")&gt;0),(BDP("=A36&amp;" US Equity"","BEST_EBIT","BEST_FPERIOD_OVERRIDE","28Y")/BDP("=A36&amp;" US Equity"","BEST_EBIT","BEST_FPERIOD_OVERRIDE","25Y"))^(1/3)-1,"")</f>
        <v/>
      </c>
      <c r="O36" s="97">
        <f>IF(AND(BDP("=A36&amp;" US Equity"","BEST_EPS","BEST_FPERIOD_OVERRIDE","25Y")&gt;0,BDP("=A36&amp;" US Equity"","BEST_EPS","BEST_FPERIOD_OVERRIDE","28Y")&gt;0),(BDP("=A36&amp;" US Equity"","BEST_EPS","BEST_FPERIOD_OVERRIDE","28Y")/BDP("=A36&amp;" US Equity"","BEST_EPS","BEST_FPERIOD_OVERRIDE","25Y"))^(1/3)-1,"")</f>
        <v/>
      </c>
      <c r="Q36" s="97">
        <f>BDP("=A36&amp;" US Equity"","CHG_PCT_YTD")/100</f>
        <v/>
      </c>
      <c r="T36" s="87">
        <f>IF(AND(F36&lt;&gt;"",O36&lt;&gt;"",O36&lt;&gt;0),F36/(O36*100),"")</f>
        <v/>
      </c>
      <c r="AB36" s="93">
        <f>BDP("=A36&amp;" US Equity"","TRAIL_12M_OPER_INC")</f>
        <v/>
      </c>
      <c r="AC36" s="93">
        <f>BDP("=A36&amp;" US Equity"","SHORT_AND_LONG_TERM_DEBT")</f>
        <v/>
      </c>
      <c r="AD36" s="93">
        <f>BDP("=A36&amp;" US Equity"","TOTAL_EQUITY")</f>
        <v/>
      </c>
      <c r="AE36" s="93">
        <f>BDP("=A36&amp;" US Equity"","BS_CASH_NEAR_CASH_ITEM")</f>
        <v/>
      </c>
      <c r="AF36" s="99">
        <f>BDP("=A36&amp;" US Equity"","BS_LT_INVEST")</f>
        <v/>
      </c>
      <c r="AG36" s="15">
        <f>AC36+AD36</f>
        <v/>
      </c>
      <c r="AH36" s="100">
        <f>BDP("=A36&amp;" US Equity"","RETURN_ON_INV_CAPITAL")/100</f>
        <v/>
      </c>
      <c r="AJ36" s="93">
        <f>BDP("=A36&amp;" US Equity"","BEST_EPS","BEST_FPERIOD_OVERRIDE","24Y")</f>
        <v/>
      </c>
      <c r="AK36" s="93">
        <f>BDP("=A36&amp;" US Equity"","BEST_EPS","BEST_FPERIOD_OVERRIDE","25Y")</f>
        <v/>
      </c>
      <c r="AL36" s="93">
        <f>BDP("=A36&amp;" US Equity"","BEST_EPS","BEST_FPERIOD_OVERRIDE","26Y")</f>
        <v/>
      </c>
      <c r="AM36" s="93">
        <f>BDP("=A36&amp;" US Equity"","BEST_EPS","BEST_FPERIOD_OVERRIDE","27Y")</f>
        <v/>
      </c>
      <c r="AN36" s="93">
        <f>BDP("=A36&amp;" US Equity"","BEST_EPS","BEST_FPERIOD_OVERRIDE","28Y")</f>
        <v/>
      </c>
      <c r="AP36" s="93">
        <f>BDP("=A36&amp;" US Equity"","BEST_SALES","BEST_FPERIOD_OVERRIDE","24Y")</f>
        <v/>
      </c>
      <c r="AQ36" s="93">
        <f>BDP("=A36&amp;" US Equity"","BEST_SALES","BEST_FPERIOD_OVERRIDE","25Y")</f>
        <v/>
      </c>
      <c r="AR36" s="93">
        <f>BDP("=A36&amp;" US Equity"","BEST_SALES","BEST_FPERIOD_OVERRIDE","26Y")</f>
        <v/>
      </c>
      <c r="AS36" s="93">
        <f>BDP("=A36&amp;" US Equity"","BEST_SALES","BEST_FPERIOD_OVERRIDE","27Y")</f>
        <v/>
      </c>
      <c r="AT36" s="93">
        <f>BDP("=A36&amp;" US Equity"","BEST_SALES","BEST_FPERIOD_OVERRIDE","28Y")</f>
        <v/>
      </c>
      <c r="AV36" s="93">
        <f>BDP("=A36&amp;" US Equity"","BEST_EBIT","BEST_FPERIOD_OVERRIDE","24Y")</f>
        <v/>
      </c>
      <c r="AW36" s="93">
        <f>BDP("=A36&amp;" US Equity"","BEST_EBIT","BEST_FPERIOD_OVERRIDE","25Y")</f>
        <v/>
      </c>
      <c r="AX36" s="93">
        <f>BDP("=A36&amp;" US Equity"","BEST_EBIT","BEST_FPERIOD_OVERRIDE","26Y")</f>
        <v/>
      </c>
      <c r="AY36" s="93">
        <f>BDP("=A36&amp;" US Equity"","BEST_EBIT","BEST_FPERIOD_OVERRIDE","27Y")</f>
        <v/>
      </c>
      <c r="AZ36" s="93">
        <f>BDP("=A36&amp;" US Equity"","BEST_EBIT","BEST_FPERIOD_OVERRIDE","28Y")</f>
        <v/>
      </c>
      <c r="BB36" s="68">
        <f>D36+BC36</f>
        <v/>
      </c>
      <c r="BC36" s="68">
        <f>AC36-AE36</f>
        <v/>
      </c>
      <c r="BD36" s="15">
        <f>D36</f>
        <v/>
      </c>
      <c r="BE36" s="99">
        <f>BDP("=A36&amp;" US Equity"","TRAIL_12M_EBITDA")</f>
        <v/>
      </c>
    </row>
    <row r="37">
      <c r="A37" t="inlineStr">
        <is>
          <t>UNP</t>
        </is>
      </c>
      <c r="B37">
        <f>A37&amp;" US Equity"</f>
        <v/>
      </c>
      <c r="C37" s="15" t="inlineStr">
        <is>
          <t>Dec</t>
        </is>
      </c>
      <c r="D37" s="93">
        <f>BDP("=A37&amp;" US Equity"","CUR_MKT_CAP")/1000000000</f>
        <v/>
      </c>
      <c r="E37" s="94">
        <f>BDP("=A37&amp;" US Equity"","PX_LAST")</f>
        <v/>
      </c>
      <c r="F37" s="95">
        <f>IF(BDP("=A37&amp;" US Equity"","BEST_EPS","BEST_FPERIOD_OVERRIDE","26Y")&lt;&gt;0,$E$37/BDP("=A37&amp;" US Equity"","BEST_EPS","BEST_FPERIOD_OVERRIDE","26Y"),"")</f>
        <v/>
      </c>
      <c r="G37" s="95">
        <f>IF(BDP("=A37&amp;" US Equity"","BEST_EPS","BEST_FPERIOD_OVERRIDE","27Y")&lt;&gt;0,$E$37/BDP("=A37&amp;" US Equity"","BEST_EPS","BEST_FPERIOD_OVERRIDE","27Y"),"")</f>
        <v/>
      </c>
      <c r="H37" s="95">
        <f>IF(BDP("=A37&amp;" US Equity"","BEST_EPS","BEST_FPERIOD_OVERRIDE","28Y")&lt;&gt;0,$E$37/BDP("=A37&amp;" US Equity"","BEST_EPS","BEST_FPERIOD_OVERRIDE","28Y"),"")</f>
        <v/>
      </c>
      <c r="I37" s="96">
        <f>BDP("=A37&amp;" US Equity"","NET_DEBT_TO_EBITDA")</f>
        <v/>
      </c>
      <c r="J37" s="93">
        <f>BDP("=A37&amp;" US Equity"","BEST_SALES","BEST_FPERIOD_OVERRIDE","26Y")/1000</f>
        <v/>
      </c>
      <c r="K37" s="97">
        <f>IF(BDP("=A37&amp;" US Equity"","BEST_SALES","BEST_FPERIOD_OVERRIDE","26Y")&lt;&gt;0,BDP("=A37&amp;" US Equity"","BEST_EBIT","BEST_FPERIOD_OVERRIDE","26Y")/BDP("=A37&amp;" US Equity"","BEST_SALES","BEST_FPERIOD_OVERRIDE","26Y"),"")</f>
        <v/>
      </c>
      <c r="L37" s="97">
        <f>BDP("=A37&amp;" US Equity"","RETURN_ON_INV_CAPITAL")/100</f>
        <v/>
      </c>
      <c r="M37" s="97">
        <f>IF(AND(BDP("=A37&amp;" US Equity"","BEST_SALES","BEST_FPERIOD_OVERRIDE","25Y")&gt;0,BDP("=A37&amp;" US Equity"","BEST_SALES","BEST_FPERIOD_OVERRIDE","28Y")&gt;0),(BDP("=A37&amp;" US Equity"","BEST_SALES","BEST_FPERIOD_OVERRIDE","28Y")/BDP("=A37&amp;" US Equity"","BEST_SALES","BEST_FPERIOD_OVERRIDE","25Y"))^(1/3)-1,"")</f>
        <v/>
      </c>
      <c r="N37" s="97">
        <f>IF(AND(BDP("=A37&amp;" US Equity"","BEST_EBIT","BEST_FPERIOD_OVERRIDE","25Y")&gt;0,BDP("=A37&amp;" US Equity"","BEST_EBIT","BEST_FPERIOD_OVERRIDE","28Y")&gt;0),(BDP("=A37&amp;" US Equity"","BEST_EBIT","BEST_FPERIOD_OVERRIDE","28Y")/BDP("=A37&amp;" US Equity"","BEST_EBIT","BEST_FPERIOD_OVERRIDE","25Y"))^(1/3)-1,"")</f>
        <v/>
      </c>
      <c r="O37" s="97">
        <f>IF(AND(BDP("=A37&amp;" US Equity"","BEST_EPS","BEST_FPERIOD_OVERRIDE","25Y")&gt;0,BDP("=A37&amp;" US Equity"","BEST_EPS","BEST_FPERIOD_OVERRIDE","28Y")&gt;0),(BDP("=A37&amp;" US Equity"","BEST_EPS","BEST_FPERIOD_OVERRIDE","28Y")/BDP("=A37&amp;" US Equity"","BEST_EPS","BEST_FPERIOD_OVERRIDE","25Y"))^(1/3)-1,"")</f>
        <v/>
      </c>
      <c r="Q37" s="97">
        <f>BDP("=A37&amp;" US Equity"","CHG_PCT_YTD")/100</f>
        <v/>
      </c>
      <c r="T37" s="68">
        <f>IF(AND(F37&lt;&gt;"",O37&lt;&gt;"",O37&lt;&gt;0),F37/(O37*100),"")</f>
        <v/>
      </c>
      <c r="AB37" s="93">
        <f>BDP("=A37&amp;" US Equity"","TRAIL_12M_OPER_INC")</f>
        <v/>
      </c>
      <c r="AC37" s="93">
        <f>BDP("=A37&amp;" US Equity"","SHORT_AND_LONG_TERM_DEBT")</f>
        <v/>
      </c>
      <c r="AD37" s="93">
        <f>BDP("=A37&amp;" US Equity"","TOTAL_EQUITY")</f>
        <v/>
      </c>
      <c r="AE37" s="93">
        <f>BDP("=A37&amp;" US Equity"","BS_CASH_NEAR_CASH_ITEM")</f>
        <v/>
      </c>
      <c r="AF37" s="99">
        <f>BDP("=A37&amp;" US Equity"","BS_LT_INVEST")</f>
        <v/>
      </c>
      <c r="AG37" s="15">
        <f>AC37+AD37</f>
        <v/>
      </c>
      <c r="AH37" s="100">
        <f>BDP("=A37&amp;" US Equity"","RETURN_ON_INV_CAPITAL")/100</f>
        <v/>
      </c>
      <c r="AJ37" s="93">
        <f>BDP("=A37&amp;" US Equity"","BEST_EPS","BEST_FPERIOD_OVERRIDE","24Y")</f>
        <v/>
      </c>
      <c r="AK37" s="93">
        <f>BDP("=A37&amp;" US Equity"","BEST_EPS","BEST_FPERIOD_OVERRIDE","25Y")</f>
        <v/>
      </c>
      <c r="AL37" s="93">
        <f>BDP("=A37&amp;" US Equity"","BEST_EPS","BEST_FPERIOD_OVERRIDE","26Y")</f>
        <v/>
      </c>
      <c r="AM37" s="93">
        <f>BDP("=A37&amp;" US Equity"","BEST_EPS","BEST_FPERIOD_OVERRIDE","27Y")</f>
        <v/>
      </c>
      <c r="AN37" s="93">
        <f>BDP("=A37&amp;" US Equity"","BEST_EPS","BEST_FPERIOD_OVERRIDE","28Y")</f>
        <v/>
      </c>
      <c r="AP37" s="93">
        <f>BDP("=A37&amp;" US Equity"","BEST_SALES","BEST_FPERIOD_OVERRIDE","24Y")</f>
        <v/>
      </c>
      <c r="AQ37" s="93">
        <f>BDP("=A37&amp;" US Equity"","BEST_SALES","BEST_FPERIOD_OVERRIDE","25Y")</f>
        <v/>
      </c>
      <c r="AR37" s="93">
        <f>BDP("=A37&amp;" US Equity"","BEST_SALES","BEST_FPERIOD_OVERRIDE","26Y")</f>
        <v/>
      </c>
      <c r="AS37" s="93">
        <f>BDP("=A37&amp;" US Equity"","BEST_SALES","BEST_FPERIOD_OVERRIDE","27Y")</f>
        <v/>
      </c>
      <c r="AT37" s="93">
        <f>BDP("=A37&amp;" US Equity"","BEST_SALES","BEST_FPERIOD_OVERRIDE","28Y")</f>
        <v/>
      </c>
      <c r="AV37" s="93">
        <f>BDP("=A37&amp;" US Equity"","BEST_EBIT","BEST_FPERIOD_OVERRIDE","24Y")</f>
        <v/>
      </c>
      <c r="AW37" s="93">
        <f>BDP("=A37&amp;" US Equity"","BEST_EBIT","BEST_FPERIOD_OVERRIDE","25Y")</f>
        <v/>
      </c>
      <c r="AX37" s="93">
        <f>BDP("=A37&amp;" US Equity"","BEST_EBIT","BEST_FPERIOD_OVERRIDE","26Y")</f>
        <v/>
      </c>
      <c r="AY37" s="93">
        <f>BDP("=A37&amp;" US Equity"","BEST_EBIT","BEST_FPERIOD_OVERRIDE","27Y")</f>
        <v/>
      </c>
      <c r="AZ37" s="93">
        <f>BDP("=A37&amp;" US Equity"","BEST_EBIT","BEST_FPERIOD_OVERRIDE","28Y")</f>
        <v/>
      </c>
      <c r="BB37" s="68">
        <f>D37+BC37</f>
        <v/>
      </c>
      <c r="BC37" s="68">
        <f>AC37-AE37</f>
        <v/>
      </c>
      <c r="BD37" s="15">
        <f>D37</f>
        <v/>
      </c>
      <c r="BE37" s="99">
        <f>BDP("=A37&amp;" US Equity"","TRAIL_12M_EBITDA")</f>
        <v/>
      </c>
    </row>
    <row r="38">
      <c r="A38" t="inlineStr">
        <is>
          <t>ETN</t>
        </is>
      </c>
      <c r="B38">
        <f>A38&amp;" US Equity"</f>
        <v/>
      </c>
      <c r="C38" s="15" t="inlineStr">
        <is>
          <t>Dec</t>
        </is>
      </c>
      <c r="D38" s="93">
        <f>BDP("=A38&amp;" US Equity"","CUR_MKT_CAP")/1000000000</f>
        <v/>
      </c>
      <c r="E38" s="94">
        <f>BDP("=A38&amp;" US Equity"","PX_LAST")</f>
        <v/>
      </c>
      <c r="F38" s="95">
        <f>IF(BDP("=A38&amp;" US Equity"","BEST_EPS","BEST_FPERIOD_OVERRIDE","26Y")&lt;&gt;0,$E$38/BDP("=A38&amp;" US Equity"","BEST_EPS","BEST_FPERIOD_OVERRIDE","26Y"),"")</f>
        <v/>
      </c>
      <c r="G38" s="95">
        <f>IF(BDP("=A38&amp;" US Equity"","BEST_EPS","BEST_FPERIOD_OVERRIDE","27Y")&lt;&gt;0,$E$38/BDP("=A38&amp;" US Equity"","BEST_EPS","BEST_FPERIOD_OVERRIDE","27Y"),"")</f>
        <v/>
      </c>
      <c r="H38" s="95">
        <f>IF(BDP("=A38&amp;" US Equity"","BEST_EPS","BEST_FPERIOD_OVERRIDE","28Y")&lt;&gt;0,$E$38/BDP("=A38&amp;" US Equity"","BEST_EPS","BEST_FPERIOD_OVERRIDE","28Y"),"")</f>
        <v/>
      </c>
      <c r="I38" s="96">
        <f>BDP("=A38&amp;" US Equity"","NET_DEBT_TO_EBITDA")</f>
        <v/>
      </c>
      <c r="J38" s="93">
        <f>BDP("=A38&amp;" US Equity"","BEST_SALES","BEST_FPERIOD_OVERRIDE","26Y")/1000</f>
        <v/>
      </c>
      <c r="K38" s="97">
        <f>IF(BDP("=A38&amp;" US Equity"","BEST_SALES","BEST_FPERIOD_OVERRIDE","26Y")&lt;&gt;0,BDP("=A38&amp;" US Equity"","BEST_EBIT","BEST_FPERIOD_OVERRIDE","26Y")/BDP("=A38&amp;" US Equity"","BEST_SALES","BEST_FPERIOD_OVERRIDE","26Y"),"")</f>
        <v/>
      </c>
      <c r="L38" s="97">
        <f>BDP("=A38&amp;" US Equity"","RETURN_ON_INV_CAPITAL")/100</f>
        <v/>
      </c>
      <c r="M38" s="97">
        <f>IF(AND(BDP("=A38&amp;" US Equity"","BEST_SALES","BEST_FPERIOD_OVERRIDE","25Y")&gt;0,BDP("=A38&amp;" US Equity"","BEST_SALES","BEST_FPERIOD_OVERRIDE","28Y")&gt;0),(BDP("=A38&amp;" US Equity"","BEST_SALES","BEST_FPERIOD_OVERRIDE","28Y")/BDP("=A38&amp;" US Equity"","BEST_SALES","BEST_FPERIOD_OVERRIDE","25Y"))^(1/3)-1,"")</f>
        <v/>
      </c>
      <c r="N38" s="97">
        <f>IF(AND(BDP("=A38&amp;" US Equity"","BEST_EBIT","BEST_FPERIOD_OVERRIDE","25Y")&gt;0,BDP("=A38&amp;" US Equity"","BEST_EBIT","BEST_FPERIOD_OVERRIDE","28Y")&gt;0),(BDP("=A38&amp;" US Equity"","BEST_EBIT","BEST_FPERIOD_OVERRIDE","28Y")/BDP("=A38&amp;" US Equity"","BEST_EBIT","BEST_FPERIOD_OVERRIDE","25Y"))^(1/3)-1,"")</f>
        <v/>
      </c>
      <c r="O38" s="97">
        <f>IF(AND(BDP("=A38&amp;" US Equity"","BEST_EPS","BEST_FPERIOD_OVERRIDE","25Y")&gt;0,BDP("=A38&amp;" US Equity"","BEST_EPS","BEST_FPERIOD_OVERRIDE","28Y")&gt;0),(BDP("=A38&amp;" US Equity"","BEST_EPS","BEST_FPERIOD_OVERRIDE","28Y")/BDP("=A38&amp;" US Equity"","BEST_EPS","BEST_FPERIOD_OVERRIDE","25Y"))^(1/3)-1,"")</f>
        <v/>
      </c>
      <c r="Q38" s="97">
        <f>BDP("=A38&amp;" US Equity"","CHG_PCT_YTD")/100</f>
        <v/>
      </c>
      <c r="T38" s="68">
        <f>IF(AND(F38&lt;&gt;"",O38&lt;&gt;"",O38&lt;&gt;0),F38/(O38*100),"")</f>
        <v/>
      </c>
      <c r="AB38" s="93">
        <f>BDP("=A38&amp;" US Equity"","TRAIL_12M_OPER_INC")</f>
        <v/>
      </c>
      <c r="AC38" s="93">
        <f>BDP("=A38&amp;" US Equity"","SHORT_AND_LONG_TERM_DEBT")</f>
        <v/>
      </c>
      <c r="AD38" s="93">
        <f>BDP("=A38&amp;" US Equity"","TOTAL_EQUITY")</f>
        <v/>
      </c>
      <c r="AE38" s="93">
        <f>BDP("=A38&amp;" US Equity"","BS_CASH_NEAR_CASH_ITEM")</f>
        <v/>
      </c>
      <c r="AF38" s="99">
        <f>BDP("=A38&amp;" US Equity"","BS_LT_INVEST")</f>
        <v/>
      </c>
      <c r="AG38" s="15">
        <f>AC38+AD38</f>
        <v/>
      </c>
      <c r="AH38" s="100">
        <f>BDP("=A38&amp;" US Equity"","RETURN_ON_INV_CAPITAL")/100</f>
        <v/>
      </c>
      <c r="AJ38" s="93">
        <f>BDP("=A38&amp;" US Equity"","BEST_EPS","BEST_FPERIOD_OVERRIDE","24Y")</f>
        <v/>
      </c>
      <c r="AK38" s="93">
        <f>BDP("=A38&amp;" US Equity"","BEST_EPS","BEST_FPERIOD_OVERRIDE","25Y")</f>
        <v/>
      </c>
      <c r="AL38" s="93">
        <f>BDP("=A38&amp;" US Equity"","BEST_EPS","BEST_FPERIOD_OVERRIDE","26Y")</f>
        <v/>
      </c>
      <c r="AM38" s="93">
        <f>BDP("=A38&amp;" US Equity"","BEST_EPS","BEST_FPERIOD_OVERRIDE","27Y")</f>
        <v/>
      </c>
      <c r="AN38" s="93">
        <f>BDP("=A38&amp;" US Equity"","BEST_EPS","BEST_FPERIOD_OVERRIDE","28Y")</f>
        <v/>
      </c>
      <c r="AP38" s="93">
        <f>BDP("=A38&amp;" US Equity"","BEST_SALES","BEST_FPERIOD_OVERRIDE","24Y")</f>
        <v/>
      </c>
      <c r="AQ38" s="93">
        <f>BDP("=A38&amp;" US Equity"","BEST_SALES","BEST_FPERIOD_OVERRIDE","25Y")</f>
        <v/>
      </c>
      <c r="AR38" s="93">
        <f>BDP("=A38&amp;" US Equity"","BEST_SALES","BEST_FPERIOD_OVERRIDE","26Y")</f>
        <v/>
      </c>
      <c r="AS38" s="93">
        <f>BDP("=A38&amp;" US Equity"","BEST_SALES","BEST_FPERIOD_OVERRIDE","27Y")</f>
        <v/>
      </c>
      <c r="AT38" s="93">
        <f>BDP("=A38&amp;" US Equity"","BEST_SALES","BEST_FPERIOD_OVERRIDE","28Y")</f>
        <v/>
      </c>
      <c r="AV38" s="93">
        <f>BDP("=A38&amp;" US Equity"","BEST_EBIT","BEST_FPERIOD_OVERRIDE","24Y")</f>
        <v/>
      </c>
      <c r="AW38" s="93">
        <f>BDP("=A38&amp;" US Equity"","BEST_EBIT","BEST_FPERIOD_OVERRIDE","25Y")</f>
        <v/>
      </c>
      <c r="AX38" s="93">
        <f>BDP("=A38&amp;" US Equity"","BEST_EBIT","BEST_FPERIOD_OVERRIDE","26Y")</f>
        <v/>
      </c>
      <c r="AY38" s="93">
        <f>BDP("=A38&amp;" US Equity"","BEST_EBIT","BEST_FPERIOD_OVERRIDE","27Y")</f>
        <v/>
      </c>
      <c r="AZ38" s="93">
        <f>BDP("=A38&amp;" US Equity"","BEST_EBIT","BEST_FPERIOD_OVERRIDE","28Y")</f>
        <v/>
      </c>
      <c r="BB38" s="68">
        <f>D38+BC38</f>
        <v/>
      </c>
      <c r="BC38" s="68">
        <f>AC38-AE38</f>
        <v/>
      </c>
      <c r="BD38" s="15">
        <f>D38</f>
        <v/>
      </c>
      <c r="BE38" s="99">
        <f>BDP("=A38&amp;" US Equity"","TRAIL_12M_EBITDA")</f>
        <v/>
      </c>
    </row>
    <row r="39">
      <c r="A39" s="37" t="inlineStr">
        <is>
          <t>Average</t>
        </is>
      </c>
      <c r="B39" s="36" t="n"/>
      <c r="C39" s="38" t="n"/>
      <c r="D39" s="38" t="n"/>
      <c r="E39" s="82" t="n"/>
      <c r="F39" s="83">
        <f>AVERAGE(F29:F38)</f>
        <v/>
      </c>
      <c r="G39" s="83">
        <f>AVERAGE(G29:G38)</f>
        <v/>
      </c>
      <c r="H39" s="83">
        <f>AVERAGE(H29:H38)</f>
        <v/>
      </c>
      <c r="I39" s="84">
        <f>AVERAGE(I29:I38)</f>
        <v/>
      </c>
      <c r="J39" s="85" t="n"/>
      <c r="K39" s="85">
        <f>AVERAGE(K29:K38)</f>
        <v/>
      </c>
      <c r="L39" s="85">
        <f>AVERAGE(L29:L38)</f>
        <v/>
      </c>
      <c r="M39" s="85">
        <f>AVERAGE(M29:M38)</f>
        <v/>
      </c>
      <c r="N39" s="85">
        <f>AVERAGE(N29:N38)</f>
        <v/>
      </c>
      <c r="O39" s="85">
        <f>AVERAGE(O29:O38)</f>
        <v/>
      </c>
      <c r="P39" s="36" t="n"/>
      <c r="Q39" s="36" t="n"/>
      <c r="R39" s="36" t="n"/>
      <c r="S39" s="36" t="n"/>
      <c r="T39" s="86">
        <f>F39/O39/100</f>
        <v/>
      </c>
      <c r="AB39" s="15" t="n"/>
      <c r="AC39" s="15" t="n"/>
      <c r="AD39" s="15" t="n"/>
      <c r="AE39" s="15" t="n"/>
      <c r="AF39" s="16" t="n"/>
      <c r="AG39" s="15" t="n"/>
      <c r="AH39" s="67" t="n"/>
      <c r="AJ39" s="15" t="n"/>
      <c r="AK39" s="15" t="n"/>
      <c r="AL39" s="15" t="n"/>
      <c r="AM39" s="15" t="n"/>
      <c r="AN39" s="15" t="n"/>
      <c r="AP39" s="15" t="n"/>
      <c r="AQ39" s="15" t="n"/>
      <c r="AR39" s="15" t="n"/>
      <c r="AS39" s="15" t="n"/>
      <c r="AT39" s="15" t="n"/>
      <c r="AV39" s="15" t="n"/>
      <c r="AW39" s="15" t="n"/>
      <c r="AX39" s="15" t="n"/>
      <c r="AY39" s="15" t="n"/>
      <c r="AZ39" s="15" t="n"/>
      <c r="BB39" s="68" t="n"/>
      <c r="BC39" s="68" t="n"/>
      <c r="BD39" s="15" t="n"/>
      <c r="BE39" s="16" t="n"/>
    </row>
    <row r="40">
      <c r="C40" s="15" t="n"/>
      <c r="D40" s="15" t="n"/>
      <c r="E40" s="69" t="n"/>
      <c r="F40" s="70" t="n"/>
      <c r="G40" s="70" t="n"/>
      <c r="H40" s="70" t="n"/>
      <c r="I40" s="71" t="n"/>
      <c r="J40" s="15" t="n"/>
      <c r="K40" s="72" t="n"/>
      <c r="L40" s="72" t="n"/>
      <c r="M40" s="72" t="n"/>
      <c r="N40" s="72" t="n"/>
      <c r="O40" s="72" t="n"/>
      <c r="AB40" s="15" t="n"/>
      <c r="AC40" s="15" t="n"/>
      <c r="AD40" s="15" t="n"/>
      <c r="AE40" s="15" t="n"/>
      <c r="AF40" s="16" t="n"/>
      <c r="AG40" s="15" t="n"/>
      <c r="AH40" s="67" t="n"/>
      <c r="AJ40" s="15" t="n"/>
      <c r="AK40" s="15" t="n"/>
      <c r="AL40" s="15" t="n"/>
      <c r="AM40" s="15" t="n"/>
      <c r="AN40" s="15" t="n"/>
      <c r="AP40" s="15" t="n"/>
      <c r="AQ40" s="15" t="n"/>
      <c r="AR40" s="15" t="n"/>
      <c r="AS40" s="15" t="n"/>
      <c r="AT40" s="15" t="n"/>
      <c r="AV40" s="15" t="n"/>
      <c r="AW40" s="15" t="n"/>
      <c r="AX40" s="15" t="n"/>
      <c r="AY40" s="15" t="n"/>
      <c r="AZ40" s="15" t="n"/>
      <c r="BB40" s="68" t="n"/>
      <c r="BC40" s="68" t="n"/>
      <c r="BD40" s="15" t="n"/>
      <c r="BE40" s="16" t="n"/>
    </row>
    <row r="41">
      <c r="A41" s="7" t="inlineStr">
        <is>
          <t>Other businesses we own</t>
        </is>
      </c>
      <c r="B41" s="8" t="n"/>
      <c r="C41" s="9" t="n"/>
      <c r="D41" s="9" t="n"/>
      <c r="E41" s="63" t="n"/>
      <c r="F41" s="64" t="n"/>
      <c r="G41" s="64" t="n"/>
      <c r="H41" s="64" t="n"/>
      <c r="I41" s="88" t="n"/>
      <c r="J41" s="9" t="n"/>
      <c r="K41" s="89" t="n"/>
      <c r="L41" s="89" t="n"/>
      <c r="M41" s="89" t="n"/>
      <c r="N41" s="89" t="n"/>
      <c r="O41" s="89" t="n"/>
      <c r="P41" s="8" t="n"/>
      <c r="Q41" s="8" t="n"/>
      <c r="R41" s="8" t="n"/>
      <c r="S41" s="8" t="n"/>
      <c r="T41" s="14" t="n"/>
      <c r="AB41" s="15" t="n"/>
      <c r="AC41" s="15" t="n"/>
      <c r="AD41" s="15" t="n"/>
      <c r="AE41" s="15" t="n"/>
      <c r="AF41" s="16" t="n"/>
      <c r="AG41" s="15" t="n"/>
      <c r="AH41" s="67" t="n"/>
      <c r="AJ41" s="15" t="n"/>
      <c r="AK41" s="15" t="n"/>
      <c r="AL41" s="15" t="n"/>
      <c r="AM41" s="15" t="n"/>
      <c r="AN41" s="15" t="n"/>
      <c r="AP41" s="15" t="n"/>
      <c r="AQ41" s="15" t="n"/>
      <c r="AR41" s="15" t="n"/>
      <c r="AS41" s="15" t="n"/>
      <c r="AT41" s="15" t="n"/>
      <c r="AV41" s="15" t="n"/>
      <c r="AW41" s="15" t="n"/>
      <c r="AX41" s="15" t="n"/>
      <c r="AY41" s="15" t="n"/>
      <c r="AZ41" s="15" t="n"/>
      <c r="BB41" s="68" t="n"/>
      <c r="BC41" s="68" t="n"/>
      <c r="BD41" s="15" t="n"/>
      <c r="BE41" s="16" t="n"/>
    </row>
    <row r="42">
      <c r="A42" s="19" t="inlineStr">
        <is>
          <t>HCA</t>
        </is>
      </c>
      <c r="B42">
        <f>A42&amp;" US Equity"</f>
        <v/>
      </c>
      <c r="C42" s="15" t="inlineStr">
        <is>
          <t>Dec</t>
        </is>
      </c>
      <c r="D42" s="93">
        <f>BDP("=A42&amp;" US Equity"","CUR_MKT_CAP")/1000000000</f>
        <v/>
      </c>
      <c r="E42" s="94">
        <f>BDP("=A42&amp;" US Equity"","PX_LAST")</f>
        <v/>
      </c>
      <c r="F42" s="95">
        <f>IF(BDP("=A42&amp;" US Equity"","BEST_EPS","BEST_FPERIOD_OVERRIDE","26Y")&lt;&gt;0,$E$42/BDP("=A42&amp;" US Equity"","BEST_EPS","BEST_FPERIOD_OVERRIDE","26Y"),"")</f>
        <v/>
      </c>
      <c r="G42" s="95">
        <f>IF(BDP("=A42&amp;" US Equity"","BEST_EPS","BEST_FPERIOD_OVERRIDE","27Y")&lt;&gt;0,$E$42/BDP("=A42&amp;" US Equity"","BEST_EPS","BEST_FPERIOD_OVERRIDE","27Y"),"")</f>
        <v/>
      </c>
      <c r="H42" s="95">
        <f>IF(BDP("=A42&amp;" US Equity"","BEST_EPS","BEST_FPERIOD_OVERRIDE","28Y")&lt;&gt;0,$E$42/BDP("=A42&amp;" US Equity"","BEST_EPS","BEST_FPERIOD_OVERRIDE","28Y"),"")</f>
        <v/>
      </c>
      <c r="I42" s="96">
        <f>BDP("=A42&amp;" US Equity"","NET_DEBT_TO_EBITDA")</f>
        <v/>
      </c>
      <c r="J42" s="93">
        <f>BDP("=A42&amp;" US Equity"","BEST_SALES","BEST_FPERIOD_OVERRIDE","26Y")/1000</f>
        <v/>
      </c>
      <c r="K42" s="97">
        <f>IF(BDP("=A42&amp;" US Equity"","BEST_SALES","BEST_FPERIOD_OVERRIDE","26Y")&lt;&gt;0,BDP("=A42&amp;" US Equity"","BEST_EBIT","BEST_FPERIOD_OVERRIDE","26Y")/BDP("=A42&amp;" US Equity"","BEST_SALES","BEST_FPERIOD_OVERRIDE","26Y"),"")</f>
        <v/>
      </c>
      <c r="L42" s="97">
        <f>BDP("=A42&amp;" US Equity"","RETURN_ON_INV_CAPITAL")/100</f>
        <v/>
      </c>
      <c r="M42" s="97">
        <f>IF(AND(BDP("=A42&amp;" US Equity"","BEST_SALES","BEST_FPERIOD_OVERRIDE","25Y")&gt;0,BDP("=A42&amp;" US Equity"","BEST_SALES","BEST_FPERIOD_OVERRIDE","28Y")&gt;0),(BDP("=A42&amp;" US Equity"","BEST_SALES","BEST_FPERIOD_OVERRIDE","28Y")/BDP("=A42&amp;" US Equity"","BEST_SALES","BEST_FPERIOD_OVERRIDE","25Y"))^(1/3)-1,"")</f>
        <v/>
      </c>
      <c r="N42" s="97">
        <f>IF(AND(BDP("=A42&amp;" US Equity"","BEST_EBIT","BEST_FPERIOD_OVERRIDE","25Y")&gt;0,BDP("=A42&amp;" US Equity"","BEST_EBIT","BEST_FPERIOD_OVERRIDE","28Y")&gt;0),(BDP("=A42&amp;" US Equity"","BEST_EBIT","BEST_FPERIOD_OVERRIDE","28Y")/BDP("=A42&amp;" US Equity"","BEST_EBIT","BEST_FPERIOD_OVERRIDE","25Y"))^(1/3)-1,"")</f>
        <v/>
      </c>
      <c r="O42" s="97">
        <f>IF(AND(BDP("=A42&amp;" US Equity"","BEST_EPS","BEST_FPERIOD_OVERRIDE","25Y")&gt;0,BDP("=A42&amp;" US Equity"","BEST_EPS","BEST_FPERIOD_OVERRIDE","28Y")&gt;0),(BDP("=A42&amp;" US Equity"","BEST_EPS","BEST_FPERIOD_OVERRIDE","28Y")/BDP("=A42&amp;" US Equity"","BEST_EPS","BEST_FPERIOD_OVERRIDE","25Y"))^(1/3)-1,"")</f>
        <v/>
      </c>
      <c r="Q42" s="97">
        <f>BDP("=A42&amp;" US Equity"","CHG_PCT_YTD")/100</f>
        <v/>
      </c>
      <c r="T42" s="74">
        <f>IF(AND(F42&lt;&gt;"",O42&lt;&gt;"",O42&lt;&gt;0),F42/(O42*100),"")</f>
        <v/>
      </c>
      <c r="AB42" s="93">
        <f>BDP("=A42&amp;" US Equity"","TRAIL_12M_OPER_INC")</f>
        <v/>
      </c>
      <c r="AC42" s="93">
        <f>BDP("=A42&amp;" US Equity"","SHORT_AND_LONG_TERM_DEBT")</f>
        <v/>
      </c>
      <c r="AD42" s="93">
        <f>BDP("=A42&amp;" US Equity"","TOTAL_EQUITY")</f>
        <v/>
      </c>
      <c r="AE42" s="93">
        <f>BDP("=A42&amp;" US Equity"","BS_CASH_NEAR_CASH_ITEM")</f>
        <v/>
      </c>
      <c r="AF42" s="99">
        <f>BDP("=A42&amp;" US Equity"","BS_LT_INVEST")</f>
        <v/>
      </c>
      <c r="AG42" s="15">
        <f>AC42+AD42</f>
        <v/>
      </c>
      <c r="AH42" s="100">
        <f>BDP("=A42&amp;" US Equity"","RETURN_ON_INV_CAPITAL")/100</f>
        <v/>
      </c>
      <c r="AJ42" s="93">
        <f>BDP("=A42&amp;" US Equity"","BEST_EPS","BEST_FPERIOD_OVERRIDE","24Y")</f>
        <v/>
      </c>
      <c r="AK42" s="93">
        <f>BDP("=A42&amp;" US Equity"","BEST_EPS","BEST_FPERIOD_OVERRIDE","25Y")</f>
        <v/>
      </c>
      <c r="AL42" s="93">
        <f>BDP("=A42&amp;" US Equity"","BEST_EPS","BEST_FPERIOD_OVERRIDE","26Y")</f>
        <v/>
      </c>
      <c r="AM42" s="93">
        <f>BDP("=A42&amp;" US Equity"","BEST_EPS","BEST_FPERIOD_OVERRIDE","27Y")</f>
        <v/>
      </c>
      <c r="AN42" s="93">
        <f>BDP("=A42&amp;" US Equity"","BEST_EPS","BEST_FPERIOD_OVERRIDE","28Y")</f>
        <v/>
      </c>
      <c r="AP42" s="93">
        <f>BDP("=A42&amp;" US Equity"","BEST_SALES","BEST_FPERIOD_OVERRIDE","24Y")</f>
        <v/>
      </c>
      <c r="AQ42" s="93">
        <f>BDP("=A42&amp;" US Equity"","BEST_SALES","BEST_FPERIOD_OVERRIDE","25Y")</f>
        <v/>
      </c>
      <c r="AR42" s="93">
        <f>BDP("=A42&amp;" US Equity"","BEST_SALES","BEST_FPERIOD_OVERRIDE","26Y")</f>
        <v/>
      </c>
      <c r="AS42" s="93">
        <f>BDP("=A42&amp;" US Equity"","BEST_SALES","BEST_FPERIOD_OVERRIDE","27Y")</f>
        <v/>
      </c>
      <c r="AT42" s="93">
        <f>BDP("=A42&amp;" US Equity"","BEST_SALES","BEST_FPERIOD_OVERRIDE","28Y")</f>
        <v/>
      </c>
      <c r="AV42" s="93">
        <f>BDP("=A42&amp;" US Equity"","BEST_EBIT","BEST_FPERIOD_OVERRIDE","24Y")</f>
        <v/>
      </c>
      <c r="AW42" s="93">
        <f>BDP("=A42&amp;" US Equity"","BEST_EBIT","BEST_FPERIOD_OVERRIDE","25Y")</f>
        <v/>
      </c>
      <c r="AX42" s="93">
        <f>BDP("=A42&amp;" US Equity"","BEST_EBIT","BEST_FPERIOD_OVERRIDE","26Y")</f>
        <v/>
      </c>
      <c r="AY42" s="93">
        <f>BDP("=A42&amp;" US Equity"","BEST_EBIT","BEST_FPERIOD_OVERRIDE","27Y")</f>
        <v/>
      </c>
      <c r="AZ42" s="93">
        <f>BDP("=A42&amp;" US Equity"","BEST_EBIT","BEST_FPERIOD_OVERRIDE","28Y")</f>
        <v/>
      </c>
      <c r="BB42" s="68">
        <f>D42+BC42</f>
        <v/>
      </c>
      <c r="BC42" s="68">
        <f>AC42-AE42</f>
        <v/>
      </c>
      <c r="BD42" s="15">
        <f>D42</f>
        <v/>
      </c>
      <c r="BE42" s="99">
        <f>BDP("=A42&amp;" US Equity"","TRAIL_12M_EBITDA")</f>
        <v/>
      </c>
    </row>
    <row r="43">
      <c r="A43" s="19" t="inlineStr">
        <is>
          <t>UNH</t>
        </is>
      </c>
      <c r="B43">
        <f>A43&amp;" US Equity"</f>
        <v/>
      </c>
      <c r="C43" s="15" t="inlineStr">
        <is>
          <t>Dec</t>
        </is>
      </c>
      <c r="D43" s="93">
        <f>BDP("=A43&amp;" US Equity"","CUR_MKT_CAP")/1000000000</f>
        <v/>
      </c>
      <c r="E43" s="94">
        <f>BDP("=A43&amp;" US Equity"","PX_LAST")</f>
        <v/>
      </c>
      <c r="F43" s="95">
        <f>IF(BDP("=A43&amp;" US Equity"","BEST_EPS","BEST_FPERIOD_OVERRIDE","26Y")&lt;&gt;0,$E$43/BDP("=A43&amp;" US Equity"","BEST_EPS","BEST_FPERIOD_OVERRIDE","26Y"),"")</f>
        <v/>
      </c>
      <c r="G43" s="95">
        <f>IF(BDP("=A43&amp;" US Equity"","BEST_EPS","BEST_FPERIOD_OVERRIDE","27Y")&lt;&gt;0,$E$43/BDP("=A43&amp;" US Equity"","BEST_EPS","BEST_FPERIOD_OVERRIDE","27Y"),"")</f>
        <v/>
      </c>
      <c r="H43" s="95">
        <f>IF(BDP("=A43&amp;" US Equity"","BEST_EPS","BEST_FPERIOD_OVERRIDE","28Y")&lt;&gt;0,$E$43/BDP("=A43&amp;" US Equity"","BEST_EPS","BEST_FPERIOD_OVERRIDE","28Y"),"")</f>
        <v/>
      </c>
      <c r="I43" s="96">
        <f>BDP("=A43&amp;" US Equity"","NET_DEBT_TO_EBITDA")</f>
        <v/>
      </c>
      <c r="J43" s="93">
        <f>BDP("=A43&amp;" US Equity"","BEST_SALES","BEST_FPERIOD_OVERRIDE","26Y")/1000</f>
        <v/>
      </c>
      <c r="K43" s="97">
        <f>IF(BDP("=A43&amp;" US Equity"","BEST_SALES","BEST_FPERIOD_OVERRIDE","26Y")&lt;&gt;0,BDP("=A43&amp;" US Equity"","BEST_EBIT","BEST_FPERIOD_OVERRIDE","26Y")/BDP("=A43&amp;" US Equity"","BEST_SALES","BEST_FPERIOD_OVERRIDE","26Y"),"")</f>
        <v/>
      </c>
      <c r="L43" s="97">
        <f>BDP("=A43&amp;" US Equity"","RETURN_ON_INV_CAPITAL")/100</f>
        <v/>
      </c>
      <c r="M43" s="97">
        <f>IF(AND(BDP("=A43&amp;" US Equity"","BEST_SALES","BEST_FPERIOD_OVERRIDE","25Y")&gt;0,BDP("=A43&amp;" US Equity"","BEST_SALES","BEST_FPERIOD_OVERRIDE","28Y")&gt;0),(BDP("=A43&amp;" US Equity"","BEST_SALES","BEST_FPERIOD_OVERRIDE","28Y")/BDP("=A43&amp;" US Equity"","BEST_SALES","BEST_FPERIOD_OVERRIDE","25Y"))^(1/3)-1,"")</f>
        <v/>
      </c>
      <c r="N43" s="97">
        <f>IF(AND(BDP("=A43&amp;" US Equity"","BEST_EBIT","BEST_FPERIOD_OVERRIDE","25Y")&gt;0,BDP("=A43&amp;" US Equity"","BEST_EBIT","BEST_FPERIOD_OVERRIDE","28Y")&gt;0),(BDP("=A43&amp;" US Equity"","BEST_EBIT","BEST_FPERIOD_OVERRIDE","28Y")/BDP("=A43&amp;" US Equity"","BEST_EBIT","BEST_FPERIOD_OVERRIDE","25Y"))^(1/3)-1,"")</f>
        <v/>
      </c>
      <c r="O43" s="97">
        <f>IF(AND(BDP("=A43&amp;" US Equity"","BEST_EPS","BEST_FPERIOD_OVERRIDE","25Y")&gt;0,BDP("=A43&amp;" US Equity"","BEST_EPS","BEST_FPERIOD_OVERRIDE","28Y")&gt;0),(BDP("=A43&amp;" US Equity"","BEST_EPS","BEST_FPERIOD_OVERRIDE","28Y")/BDP("=A43&amp;" US Equity"","BEST_EPS","BEST_FPERIOD_OVERRIDE","25Y"))^(1/3)-1,"")</f>
        <v/>
      </c>
      <c r="Q43" s="97">
        <f>BDP("=A43&amp;" US Equity"","CHG_PCT_YTD")/100</f>
        <v/>
      </c>
      <c r="T43" s="74">
        <f>IF(AND(F43&lt;&gt;"",O43&lt;&gt;"",O43&lt;&gt;0),F43/(O43*100),"")</f>
        <v/>
      </c>
      <c r="AB43" s="93">
        <f>BDP("=A43&amp;" US Equity"","TRAIL_12M_OPER_INC")</f>
        <v/>
      </c>
      <c r="AC43" s="93">
        <f>BDP("=A43&amp;" US Equity"","SHORT_AND_LONG_TERM_DEBT")</f>
        <v/>
      </c>
      <c r="AD43" s="93">
        <f>BDP("=A43&amp;" US Equity"","TOTAL_EQUITY")</f>
        <v/>
      </c>
      <c r="AE43" s="93">
        <f>BDP("=A43&amp;" US Equity"","BS_CASH_NEAR_CASH_ITEM")</f>
        <v/>
      </c>
      <c r="AF43" s="99">
        <f>BDP("=A43&amp;" US Equity"","BS_LT_INVEST")</f>
        <v/>
      </c>
      <c r="AG43" s="15">
        <f>AC43+AD43</f>
        <v/>
      </c>
      <c r="AH43" s="100">
        <f>BDP("=A43&amp;" US Equity"","RETURN_ON_INV_CAPITAL")/100</f>
        <v/>
      </c>
      <c r="AJ43" s="93">
        <f>BDP("=A43&amp;" US Equity"","BEST_EPS","BEST_FPERIOD_OVERRIDE","24Y")</f>
        <v/>
      </c>
      <c r="AK43" s="93">
        <f>BDP("=A43&amp;" US Equity"","BEST_EPS","BEST_FPERIOD_OVERRIDE","25Y")</f>
        <v/>
      </c>
      <c r="AL43" s="93">
        <f>BDP("=A43&amp;" US Equity"","BEST_EPS","BEST_FPERIOD_OVERRIDE","26Y")</f>
        <v/>
      </c>
      <c r="AM43" s="93">
        <f>BDP("=A43&amp;" US Equity"","BEST_EPS","BEST_FPERIOD_OVERRIDE","27Y")</f>
        <v/>
      </c>
      <c r="AN43" s="93">
        <f>BDP("=A43&amp;" US Equity"","BEST_EPS","BEST_FPERIOD_OVERRIDE","28Y")</f>
        <v/>
      </c>
      <c r="AP43" s="93">
        <f>BDP("=A43&amp;" US Equity"","BEST_SALES","BEST_FPERIOD_OVERRIDE","24Y")</f>
        <v/>
      </c>
      <c r="AQ43" s="93">
        <f>BDP("=A43&amp;" US Equity"","BEST_SALES","BEST_FPERIOD_OVERRIDE","25Y")</f>
        <v/>
      </c>
      <c r="AR43" s="93">
        <f>BDP("=A43&amp;" US Equity"","BEST_SALES","BEST_FPERIOD_OVERRIDE","26Y")</f>
        <v/>
      </c>
      <c r="AS43" s="93">
        <f>BDP("=A43&amp;" US Equity"","BEST_SALES","BEST_FPERIOD_OVERRIDE","27Y")</f>
        <v/>
      </c>
      <c r="AT43" s="93">
        <f>BDP("=A43&amp;" US Equity"","BEST_SALES","BEST_FPERIOD_OVERRIDE","28Y")</f>
        <v/>
      </c>
      <c r="AV43" s="93">
        <f>BDP("=A43&amp;" US Equity"","BEST_EBIT","BEST_FPERIOD_OVERRIDE","24Y")</f>
        <v/>
      </c>
      <c r="AW43" s="93">
        <f>BDP("=A43&amp;" US Equity"","BEST_EBIT","BEST_FPERIOD_OVERRIDE","25Y")</f>
        <v/>
      </c>
      <c r="AX43" s="93">
        <f>BDP("=A43&amp;" US Equity"","BEST_EBIT","BEST_FPERIOD_OVERRIDE","26Y")</f>
        <v/>
      </c>
      <c r="AY43" s="93">
        <f>BDP("=A43&amp;" US Equity"","BEST_EBIT","BEST_FPERIOD_OVERRIDE","27Y")</f>
        <v/>
      </c>
      <c r="AZ43" s="93">
        <f>BDP("=A43&amp;" US Equity"","BEST_EBIT","BEST_FPERIOD_OVERRIDE","28Y")</f>
        <v/>
      </c>
      <c r="BB43" s="68">
        <f>D43+BC43</f>
        <v/>
      </c>
      <c r="BC43" s="68">
        <f>AC43-AE43</f>
        <v/>
      </c>
      <c r="BD43" s="15">
        <f>D43</f>
        <v/>
      </c>
      <c r="BE43" s="99">
        <f>BDP("=A43&amp;" US Equity"","TRAIL_12M_EBITDA")</f>
        <v/>
      </c>
      <c r="BK43" s="47" t="n"/>
      <c r="BL43" s="47" t="n"/>
      <c r="BM43" s="47" t="n"/>
      <c r="BN43" s="47" t="n"/>
      <c r="BO43" s="47" t="n"/>
      <c r="BP43" s="47" t="n"/>
      <c r="BQ43" s="47" t="n"/>
      <c r="BR43" s="47" t="n"/>
      <c r="BS43" s="47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</row>
    <row r="44">
      <c r="A44" s="19" t="inlineStr">
        <is>
          <t>CACC</t>
        </is>
      </c>
      <c r="B44">
        <f>A44&amp;" US Equity"</f>
        <v/>
      </c>
      <c r="C44" s="15" t="inlineStr">
        <is>
          <t>Dec</t>
        </is>
      </c>
      <c r="D44" s="93">
        <f>BDP("=A44&amp;" US Equity"","CUR_MKT_CAP")/1000000000</f>
        <v/>
      </c>
      <c r="E44" s="94">
        <f>BDP("=A44&amp;" US Equity"","PX_LAST")</f>
        <v/>
      </c>
      <c r="F44" s="95">
        <f>IF(BDP("=A44&amp;" US Equity"","BEST_EPS","BEST_FPERIOD_OVERRIDE","26Y")&lt;&gt;0,$E$44/BDP("=A44&amp;" US Equity"","BEST_EPS","BEST_FPERIOD_OVERRIDE","26Y"),"")</f>
        <v/>
      </c>
      <c r="G44" s="95">
        <f>IF(BDP("=A44&amp;" US Equity"","BEST_EPS","BEST_FPERIOD_OVERRIDE","27Y")&lt;&gt;0,$E$44/BDP("=A44&amp;" US Equity"","BEST_EPS","BEST_FPERIOD_OVERRIDE","27Y"),"")</f>
        <v/>
      </c>
      <c r="H44" s="95">
        <f>IF(BDP("=A44&amp;" US Equity"","BEST_EPS","BEST_FPERIOD_OVERRIDE","28Y")&lt;&gt;0,$E$44/BDP("=A44&amp;" US Equity"","BEST_EPS","BEST_FPERIOD_OVERRIDE","28Y"),"")</f>
        <v/>
      </c>
      <c r="I44" s="93">
        <f>BDP("=A44&amp;" US Equity"","NET_DEBT_TO_EBITDA")</f>
        <v/>
      </c>
      <c r="J44" s="93">
        <f>BDP("=A44&amp;" US Equity"","BEST_SALES","BEST_FPERIOD_OVERRIDE","26Y")/1000</f>
        <v/>
      </c>
      <c r="K44" s="97">
        <f>IF(BDP("=A44&amp;" US Equity"","BEST_SALES","BEST_FPERIOD_OVERRIDE","26Y")&lt;&gt;0,BDP("=A44&amp;" US Equity"","BEST_EBIT","BEST_FPERIOD_OVERRIDE","26Y")/BDP("=A44&amp;" US Equity"","BEST_SALES","BEST_FPERIOD_OVERRIDE","26Y"),"")</f>
        <v/>
      </c>
      <c r="L44" s="93">
        <f>BDP("=A44&amp;" US Equity"","RETURN_ON_INV_CAPITAL")/100</f>
        <v/>
      </c>
      <c r="M44" s="97">
        <f>IF(AND(BDP("=A44&amp;" US Equity"","BEST_SALES","BEST_FPERIOD_OVERRIDE","25Y")&gt;0,BDP("=A44&amp;" US Equity"","BEST_SALES","BEST_FPERIOD_OVERRIDE","28Y")&gt;0),(BDP("=A44&amp;" US Equity"","BEST_SALES","BEST_FPERIOD_OVERRIDE","28Y")/BDP("=A44&amp;" US Equity"","BEST_SALES","BEST_FPERIOD_OVERRIDE","25Y"))^(1/3)-1,"")</f>
        <v/>
      </c>
      <c r="N44" s="93">
        <f>IF(AND(BDP("=A44&amp;" US Equity"","BEST_EBIT","BEST_FPERIOD_OVERRIDE","25Y")&gt;0,BDP("=A44&amp;" US Equity"","BEST_EBIT","BEST_FPERIOD_OVERRIDE","28Y")&gt;0),(BDP("=A44&amp;" US Equity"","BEST_EBIT","BEST_FPERIOD_OVERRIDE","28Y")/BDP("=A44&amp;" US Equity"","BEST_EBIT","BEST_FPERIOD_OVERRIDE","25Y"))^(1/3)-1,"")</f>
        <v/>
      </c>
      <c r="O44" s="97">
        <f>IF(AND(BDP("=A44&amp;" US Equity"","BEST_EPS","BEST_FPERIOD_OVERRIDE","25Y")&gt;0,BDP("=A44&amp;" US Equity"","BEST_EPS","BEST_FPERIOD_OVERRIDE","28Y")&gt;0),(BDP("=A44&amp;" US Equity"","BEST_EPS","BEST_FPERIOD_OVERRIDE","28Y")/BDP("=A44&amp;" US Equity"","BEST_EPS","BEST_FPERIOD_OVERRIDE","25Y"))^(1/3)-1,"")</f>
        <v/>
      </c>
      <c r="Q44" s="97">
        <f>BDP("=A44&amp;" US Equity"","CHG_PCT_YTD")/100</f>
        <v/>
      </c>
      <c r="T44" s="74">
        <f>IF(AND(F44&lt;&gt;"",O44&lt;&gt;"",O44&lt;&gt;0),F44/(O44*100),"")</f>
        <v/>
      </c>
      <c r="AB44" s="93">
        <f>BDP("=A44&amp;" US Equity"","TRAIL_12M_OPER_INC")</f>
        <v/>
      </c>
      <c r="AC44" s="93">
        <f>BDP("=A44&amp;" US Equity"","SHORT_AND_LONG_TERM_DEBT")</f>
        <v/>
      </c>
      <c r="AD44" s="93">
        <f>BDP("=A44&amp;" US Equity"","TOTAL_EQUITY")</f>
        <v/>
      </c>
      <c r="AE44" s="93">
        <f>BDP("=A44&amp;" US Equity"","BS_CASH_NEAR_CASH_ITEM")</f>
        <v/>
      </c>
      <c r="AF44" s="99">
        <f>BDP("=A44&amp;" US Equity"","BS_LT_INVEST")</f>
        <v/>
      </c>
      <c r="AG44" s="15">
        <f>AC44+AD44</f>
        <v/>
      </c>
      <c r="AH44" s="100">
        <f>BDP("=A44&amp;" US Equity"","RETURN_ON_INV_CAPITAL")/100</f>
        <v/>
      </c>
      <c r="AJ44" s="93">
        <f>BDP("=A44&amp;" US Equity"","BEST_EPS","BEST_FPERIOD_OVERRIDE","24Y")</f>
        <v/>
      </c>
      <c r="AK44" s="93">
        <f>BDP("=A44&amp;" US Equity"","BEST_EPS","BEST_FPERIOD_OVERRIDE","25Y")</f>
        <v/>
      </c>
      <c r="AL44" s="93">
        <f>BDP("=A44&amp;" US Equity"","BEST_EPS","BEST_FPERIOD_OVERRIDE","26Y")</f>
        <v/>
      </c>
      <c r="AM44" s="93">
        <f>BDP("=A44&amp;" US Equity"","BEST_EPS","BEST_FPERIOD_OVERRIDE","27Y")</f>
        <v/>
      </c>
      <c r="AN44" s="93">
        <f>BDP("=A44&amp;" US Equity"","BEST_EPS","BEST_FPERIOD_OVERRIDE","28Y")</f>
        <v/>
      </c>
      <c r="AP44" s="93">
        <f>BDP("=A44&amp;" US Equity"","BEST_SALES","BEST_FPERIOD_OVERRIDE","24Y")</f>
        <v/>
      </c>
      <c r="AQ44" s="93">
        <f>BDP("=A44&amp;" US Equity"","BEST_SALES","BEST_FPERIOD_OVERRIDE","25Y")</f>
        <v/>
      </c>
      <c r="AR44" s="93">
        <f>BDP("=A44&amp;" US Equity"","BEST_SALES","BEST_FPERIOD_OVERRIDE","26Y")</f>
        <v/>
      </c>
      <c r="AS44" s="93">
        <f>BDP("=A44&amp;" US Equity"","BEST_SALES","BEST_FPERIOD_OVERRIDE","27Y")</f>
        <v/>
      </c>
      <c r="AT44" s="93">
        <f>BDP("=A44&amp;" US Equity"","BEST_SALES","BEST_FPERIOD_OVERRIDE","28Y")</f>
        <v/>
      </c>
      <c r="AV44" s="93">
        <f>BDP("=A44&amp;" US Equity"","BEST_EBIT","BEST_FPERIOD_OVERRIDE","24Y")</f>
        <v/>
      </c>
      <c r="AW44" s="93">
        <f>BDP("=A44&amp;" US Equity"","BEST_EBIT","BEST_FPERIOD_OVERRIDE","25Y")</f>
        <v/>
      </c>
      <c r="AX44" s="93">
        <f>BDP("=A44&amp;" US Equity"","BEST_EBIT","BEST_FPERIOD_OVERRIDE","26Y")</f>
        <v/>
      </c>
      <c r="AY44" s="93">
        <f>BDP("=A44&amp;" US Equity"","BEST_EBIT","BEST_FPERIOD_OVERRIDE","27Y")</f>
        <v/>
      </c>
      <c r="AZ44" s="93">
        <f>BDP("=A44&amp;" US Equity"","BEST_EBIT","BEST_FPERIOD_OVERRIDE","28Y")</f>
        <v/>
      </c>
      <c r="BB44" s="68">
        <f>D44+BC44</f>
        <v/>
      </c>
      <c r="BC44" s="68">
        <f>AC44-AE44</f>
        <v/>
      </c>
      <c r="BD44" s="15">
        <f>D44</f>
        <v/>
      </c>
      <c r="BE44" s="99">
        <f>BDP("=A44&amp;" US Equity"","TRAIL_12M_EBITDA")</f>
        <v/>
      </c>
      <c r="BK44" s="47" t="n"/>
      <c r="BL44" s="47" t="n"/>
      <c r="BM44" s="47" t="n"/>
      <c r="BN44" s="47" t="n"/>
      <c r="BO44" s="47" t="n"/>
      <c r="BP44" s="47" t="n"/>
      <c r="BQ44" s="47" t="n"/>
      <c r="BR44" s="47" t="n"/>
      <c r="BS44" s="47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</row>
    <row r="45">
      <c r="A45" s="19" t="inlineStr">
        <is>
          <t>GL</t>
        </is>
      </c>
      <c r="B45">
        <f>A45&amp;" US Equity"</f>
        <v/>
      </c>
      <c r="C45" s="15" t="inlineStr">
        <is>
          <t>Dec</t>
        </is>
      </c>
      <c r="D45" s="93">
        <f>BDP("=A45&amp;" US Equity"","CUR_MKT_CAP")/1000000000</f>
        <v/>
      </c>
      <c r="E45" s="94">
        <f>BDP("=A45&amp;" US Equity"","PX_LAST")</f>
        <v/>
      </c>
      <c r="F45" s="95">
        <f>IF(BDP("=A45&amp;" US Equity"","BEST_EPS","BEST_FPERIOD_OVERRIDE","26Y")&lt;&gt;0,$E$45/BDP("=A45&amp;" US Equity"","BEST_EPS","BEST_FPERIOD_OVERRIDE","26Y"),"")</f>
        <v/>
      </c>
      <c r="G45" s="95">
        <f>IF(BDP("=A45&amp;" US Equity"","BEST_EPS","BEST_FPERIOD_OVERRIDE","27Y")&lt;&gt;0,$E$45/BDP("=A45&amp;" US Equity"","BEST_EPS","BEST_FPERIOD_OVERRIDE","27Y"),"")</f>
        <v/>
      </c>
      <c r="H45" s="95">
        <f>IF(BDP("=A45&amp;" US Equity"","BEST_EPS","BEST_FPERIOD_OVERRIDE","28Y")&lt;&gt;0,$E$45/BDP("=A45&amp;" US Equity"","BEST_EPS","BEST_FPERIOD_OVERRIDE","28Y"),"")</f>
        <v/>
      </c>
      <c r="I45" s="93">
        <f>BDP("=A45&amp;" US Equity"","NET_DEBT_TO_EBITDA")</f>
        <v/>
      </c>
      <c r="J45" s="93">
        <f>BDP("=A45&amp;" US Equity"","BEST_SALES","BEST_FPERIOD_OVERRIDE","26Y")/1000</f>
        <v/>
      </c>
      <c r="K45" s="97">
        <f>IF(BDP("=A45&amp;" US Equity"","BEST_SALES","BEST_FPERIOD_OVERRIDE","26Y")&lt;&gt;0,BDP("=A45&amp;" US Equity"","BEST_EBIT","BEST_FPERIOD_OVERRIDE","26Y")/BDP("=A45&amp;" US Equity"","BEST_SALES","BEST_FPERIOD_OVERRIDE","26Y"),"")</f>
        <v/>
      </c>
      <c r="L45" s="93">
        <f>BDP("=A45&amp;" US Equity"","RETURN_ON_INV_CAPITAL")/100</f>
        <v/>
      </c>
      <c r="M45" s="97">
        <f>IF(AND(BDP("=A45&amp;" US Equity"","BEST_SALES","BEST_FPERIOD_OVERRIDE","25Y")&gt;0,BDP("=A45&amp;" US Equity"","BEST_SALES","BEST_FPERIOD_OVERRIDE","28Y")&gt;0),(BDP("=A45&amp;" US Equity"","BEST_SALES","BEST_FPERIOD_OVERRIDE","28Y")/BDP("=A45&amp;" US Equity"","BEST_SALES","BEST_FPERIOD_OVERRIDE","25Y"))^(1/3)-1,"")</f>
        <v/>
      </c>
      <c r="N45" s="97">
        <f>IF(AND(BDP("=A45&amp;" US Equity"","BEST_EBIT","BEST_FPERIOD_OVERRIDE","25Y")&gt;0,BDP("=A45&amp;" US Equity"","BEST_EBIT","BEST_FPERIOD_OVERRIDE","28Y")&gt;0),(BDP("=A45&amp;" US Equity"","BEST_EBIT","BEST_FPERIOD_OVERRIDE","28Y")/BDP("=A45&amp;" US Equity"","BEST_EBIT","BEST_FPERIOD_OVERRIDE","25Y"))^(1/3)-1,"")</f>
        <v/>
      </c>
      <c r="O45" s="97">
        <f>IF(AND(BDP("=A45&amp;" US Equity"","BEST_EPS","BEST_FPERIOD_OVERRIDE","25Y")&gt;0,BDP("=A45&amp;" US Equity"","BEST_EPS","BEST_FPERIOD_OVERRIDE","28Y")&gt;0),(BDP("=A45&amp;" US Equity"","BEST_EPS","BEST_FPERIOD_OVERRIDE","28Y")/BDP("=A45&amp;" US Equity"","BEST_EPS","BEST_FPERIOD_OVERRIDE","25Y"))^(1/3)-1,"")</f>
        <v/>
      </c>
      <c r="Q45" s="97">
        <f>BDP("=A45&amp;" US Equity"","CHG_PCT_YTD")/100</f>
        <v/>
      </c>
      <c r="T45" s="74">
        <f>IF(AND(F45&lt;&gt;"",O45&lt;&gt;"",O45&lt;&gt;0),F45/(O45*100),"")</f>
        <v/>
      </c>
      <c r="AB45" s="93">
        <f>BDP("=A45&amp;" US Equity"","TRAIL_12M_OPER_INC")</f>
        <v/>
      </c>
      <c r="AC45" s="93">
        <f>BDP("=A45&amp;" US Equity"","SHORT_AND_LONG_TERM_DEBT")</f>
        <v/>
      </c>
      <c r="AD45" s="93">
        <f>BDP("=A45&amp;" US Equity"","TOTAL_EQUITY")</f>
        <v/>
      </c>
      <c r="AE45" s="93">
        <f>BDP("=A45&amp;" US Equity"","BS_CASH_NEAR_CASH_ITEM")</f>
        <v/>
      </c>
      <c r="AF45" s="99">
        <f>BDP("=A45&amp;" US Equity"","BS_LT_INVEST")</f>
        <v/>
      </c>
      <c r="AG45" s="15">
        <f>AC45+AD45</f>
        <v/>
      </c>
      <c r="AH45" s="100">
        <f>BDP("=A45&amp;" US Equity"","RETURN_ON_INV_CAPITAL")/100</f>
        <v/>
      </c>
      <c r="AJ45" s="93">
        <f>BDP("=A45&amp;" US Equity"","BEST_EPS","BEST_FPERIOD_OVERRIDE","24Y")</f>
        <v/>
      </c>
      <c r="AK45" s="93">
        <f>BDP("=A45&amp;" US Equity"","BEST_EPS","BEST_FPERIOD_OVERRIDE","25Y")</f>
        <v/>
      </c>
      <c r="AL45" s="93">
        <f>BDP("=A45&amp;" US Equity"","BEST_EPS","BEST_FPERIOD_OVERRIDE","26Y")</f>
        <v/>
      </c>
      <c r="AM45" s="93">
        <f>BDP("=A45&amp;" US Equity"","BEST_EPS","BEST_FPERIOD_OVERRIDE","27Y")</f>
        <v/>
      </c>
      <c r="AN45" s="93">
        <f>BDP("=A45&amp;" US Equity"","BEST_EPS","BEST_FPERIOD_OVERRIDE","28Y")</f>
        <v/>
      </c>
      <c r="AP45" s="93">
        <f>BDP("=A45&amp;" US Equity"","BEST_SALES","BEST_FPERIOD_OVERRIDE","24Y")</f>
        <v/>
      </c>
      <c r="AQ45" s="93">
        <f>BDP("=A45&amp;" US Equity"","BEST_SALES","BEST_FPERIOD_OVERRIDE","25Y")</f>
        <v/>
      </c>
      <c r="AR45" s="93">
        <f>BDP("=A45&amp;" US Equity"","BEST_SALES","BEST_FPERIOD_OVERRIDE","26Y")</f>
        <v/>
      </c>
      <c r="AS45" s="93">
        <f>BDP("=A45&amp;" US Equity"","BEST_SALES","BEST_FPERIOD_OVERRIDE","27Y")</f>
        <v/>
      </c>
      <c r="AT45" s="93">
        <f>BDP("=A45&amp;" US Equity"","BEST_SALES","BEST_FPERIOD_OVERRIDE","28Y")</f>
        <v/>
      </c>
      <c r="AV45" s="93">
        <f>BDP("=A45&amp;" US Equity"","BEST_EBIT","BEST_FPERIOD_OVERRIDE","24Y")</f>
        <v/>
      </c>
      <c r="AW45" s="93">
        <f>BDP("=A45&amp;" US Equity"","BEST_EBIT","BEST_FPERIOD_OVERRIDE","25Y")</f>
        <v/>
      </c>
      <c r="AX45" s="93">
        <f>BDP("=A45&amp;" US Equity"","BEST_EBIT","BEST_FPERIOD_OVERRIDE","26Y")</f>
        <v/>
      </c>
      <c r="AY45" s="93">
        <f>BDP("=A45&amp;" US Equity"","BEST_EBIT","BEST_FPERIOD_OVERRIDE","27Y")</f>
        <v/>
      </c>
      <c r="AZ45" s="93">
        <f>BDP("=A45&amp;" US Equity"","BEST_EBIT","BEST_FPERIOD_OVERRIDE","28Y")</f>
        <v/>
      </c>
      <c r="BB45" s="68">
        <f>D45+BC45</f>
        <v/>
      </c>
      <c r="BC45" s="68">
        <f>AC45-AE45</f>
        <v/>
      </c>
      <c r="BD45" s="15">
        <f>D45</f>
        <v/>
      </c>
      <c r="BE45" s="99">
        <f>BDP("=A45&amp;" US Equity"","TRAIL_12M_EBITDA")</f>
        <v/>
      </c>
      <c r="BK45" s="47" t="n"/>
      <c r="BL45" s="47" t="n"/>
      <c r="BM45" s="47" t="n"/>
      <c r="BN45" s="47" t="n"/>
      <c r="BO45" s="47" t="n"/>
      <c r="BP45" s="47" t="n"/>
      <c r="BQ45" s="47" t="n"/>
      <c r="BR45" s="47" t="n"/>
      <c r="BS45" s="47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</row>
    <row r="46">
      <c r="A46" s="19" t="inlineStr">
        <is>
          <t>APO</t>
        </is>
      </c>
      <c r="B46">
        <f>A46&amp;" US Equity"</f>
        <v/>
      </c>
      <c r="C46" s="15" t="inlineStr">
        <is>
          <t>Dec</t>
        </is>
      </c>
      <c r="D46" s="93">
        <f>BDP("=A46&amp;" US Equity"","CUR_MKT_CAP")/1000000000</f>
        <v/>
      </c>
      <c r="E46" s="94">
        <f>BDP("=A46&amp;" US Equity"","PX_LAST")</f>
        <v/>
      </c>
      <c r="F46" s="95">
        <f>IF(BDP("=A46&amp;" US Equity"","BEST_EPS","BEST_FPERIOD_OVERRIDE","26Y")&lt;&gt;0,$E$46/BDP("=A46&amp;" US Equity"","BEST_EPS","BEST_FPERIOD_OVERRIDE","26Y"),"")</f>
        <v/>
      </c>
      <c r="G46" s="95">
        <f>IF(BDP("=A46&amp;" US Equity"","BEST_EPS","BEST_FPERIOD_OVERRIDE","27Y")&lt;&gt;0,$E$46/BDP("=A46&amp;" US Equity"","BEST_EPS","BEST_FPERIOD_OVERRIDE","27Y"),"")</f>
        <v/>
      </c>
      <c r="H46" s="95">
        <f>IF(BDP("=A46&amp;" US Equity"","BEST_EPS","BEST_FPERIOD_OVERRIDE","28Y")&lt;&gt;0,$E$46/BDP("=A46&amp;" US Equity"","BEST_EPS","BEST_FPERIOD_OVERRIDE","28Y"),"")</f>
        <v/>
      </c>
      <c r="I46" s="93">
        <f>BDP("=A46&amp;" US Equity"","NET_DEBT_TO_EBITDA")</f>
        <v/>
      </c>
      <c r="J46" s="93">
        <f>BDP("=A46&amp;" US Equity"","BEST_SALES","BEST_FPERIOD_OVERRIDE","26Y")/1000</f>
        <v/>
      </c>
      <c r="K46" s="97">
        <f>IF(BDP("=A46&amp;" US Equity"","BEST_SALES","BEST_FPERIOD_OVERRIDE","26Y")&lt;&gt;0,BDP("=A46&amp;" US Equity"","BEST_EBIT","BEST_FPERIOD_OVERRIDE","26Y")/BDP("=A46&amp;" US Equity"","BEST_SALES","BEST_FPERIOD_OVERRIDE","26Y"),"")</f>
        <v/>
      </c>
      <c r="L46" s="97">
        <f>BDP("=A46&amp;" US Equity"","RETURN_ON_INV_CAPITAL")/100</f>
        <v/>
      </c>
      <c r="M46" s="93">
        <f>IF(AND(BDP("=A46&amp;" US Equity"","BEST_SALES","BEST_FPERIOD_OVERRIDE","25Y")&gt;0,BDP("=A46&amp;" US Equity"","BEST_SALES","BEST_FPERIOD_OVERRIDE","28Y")&gt;0),(BDP("=A46&amp;" US Equity"","BEST_SALES","BEST_FPERIOD_OVERRIDE","28Y")/BDP("=A46&amp;" US Equity"","BEST_SALES","BEST_FPERIOD_OVERRIDE","25Y"))^(1/3)-1,"")</f>
        <v/>
      </c>
      <c r="N46" s="93">
        <f>IF(AND(BDP("=A46&amp;" US Equity"","BEST_EBIT","BEST_FPERIOD_OVERRIDE","25Y")&gt;0,BDP("=A46&amp;" US Equity"","BEST_EBIT","BEST_FPERIOD_OVERRIDE","28Y")&gt;0),(BDP("=A46&amp;" US Equity"","BEST_EBIT","BEST_FPERIOD_OVERRIDE","28Y")/BDP("=A46&amp;" US Equity"","BEST_EBIT","BEST_FPERIOD_OVERRIDE","25Y"))^(1/3)-1,"")</f>
        <v/>
      </c>
      <c r="O46" s="97">
        <f>IF(AND(BDP("=A46&amp;" US Equity"","BEST_EPS","BEST_FPERIOD_OVERRIDE","25Y")&gt;0,BDP("=A46&amp;" US Equity"","BEST_EPS","BEST_FPERIOD_OVERRIDE","28Y")&gt;0),(BDP("=A46&amp;" US Equity"","BEST_EPS","BEST_FPERIOD_OVERRIDE","28Y")/BDP("=A46&amp;" US Equity"","BEST_EPS","BEST_FPERIOD_OVERRIDE","25Y"))^(1/3)-1,"")</f>
        <v/>
      </c>
      <c r="Q46" s="97">
        <f>BDP("=A46&amp;" US Equity"","CHG_PCT_YTD")/100</f>
        <v/>
      </c>
      <c r="T46" s="74">
        <f>IF(AND(F46&lt;&gt;"",O46&lt;&gt;"",O46&lt;&gt;0),F46/(O46*100),"")</f>
        <v/>
      </c>
      <c r="AB46" s="93">
        <f>BDP("=A46&amp;" US Equity"","TRAIL_12M_OPER_INC")</f>
        <v/>
      </c>
      <c r="AC46" s="93">
        <f>BDP("=A46&amp;" US Equity"","SHORT_AND_LONG_TERM_DEBT")</f>
        <v/>
      </c>
      <c r="AD46" s="93">
        <f>BDP("=A46&amp;" US Equity"","TOTAL_EQUITY")</f>
        <v/>
      </c>
      <c r="AE46" s="93">
        <f>BDP("=A46&amp;" US Equity"","BS_CASH_NEAR_CASH_ITEM")</f>
        <v/>
      </c>
      <c r="AF46" s="99">
        <f>BDP("=A46&amp;" US Equity"","BS_LT_INVEST")</f>
        <v/>
      </c>
      <c r="AG46" s="15">
        <f>AC46+AD46</f>
        <v/>
      </c>
      <c r="AH46" s="100">
        <f>BDP("=A46&amp;" US Equity"","RETURN_ON_INV_CAPITAL")/100</f>
        <v/>
      </c>
      <c r="AJ46" s="93">
        <f>BDP("=A46&amp;" US Equity"","BEST_EPS","BEST_FPERIOD_OVERRIDE","24Y")</f>
        <v/>
      </c>
      <c r="AK46" s="93">
        <f>BDP("=A46&amp;" US Equity"","BEST_EPS","BEST_FPERIOD_OVERRIDE","25Y")</f>
        <v/>
      </c>
      <c r="AL46" s="93">
        <f>BDP("=A46&amp;" US Equity"","BEST_EPS","BEST_FPERIOD_OVERRIDE","26Y")</f>
        <v/>
      </c>
      <c r="AM46" s="93">
        <f>BDP("=A46&amp;" US Equity"","BEST_EPS","BEST_FPERIOD_OVERRIDE","27Y")</f>
        <v/>
      </c>
      <c r="AN46" s="93">
        <f>BDP("=A46&amp;" US Equity"","BEST_EPS","BEST_FPERIOD_OVERRIDE","28Y")</f>
        <v/>
      </c>
      <c r="AP46" s="93">
        <f>BDP("=A46&amp;" US Equity"","BEST_SALES","BEST_FPERIOD_OVERRIDE","24Y")</f>
        <v/>
      </c>
      <c r="AQ46" s="93">
        <f>BDP("=A46&amp;" US Equity"","BEST_SALES","BEST_FPERIOD_OVERRIDE","25Y")</f>
        <v/>
      </c>
      <c r="AR46" s="93">
        <f>BDP("=A46&amp;" US Equity"","BEST_SALES","BEST_FPERIOD_OVERRIDE","26Y")</f>
        <v/>
      </c>
      <c r="AS46" s="93">
        <f>BDP("=A46&amp;" US Equity"","BEST_SALES","BEST_FPERIOD_OVERRIDE","27Y")</f>
        <v/>
      </c>
      <c r="AT46" s="93">
        <f>BDP("=A46&amp;" US Equity"","BEST_SALES","BEST_FPERIOD_OVERRIDE","28Y")</f>
        <v/>
      </c>
      <c r="AV46" s="93">
        <f>BDP("=A46&amp;" US Equity"","BEST_EBIT","BEST_FPERIOD_OVERRIDE","24Y")</f>
        <v/>
      </c>
      <c r="AW46" s="93">
        <f>BDP("=A46&amp;" US Equity"","BEST_EBIT","BEST_FPERIOD_OVERRIDE","25Y")</f>
        <v/>
      </c>
      <c r="AX46" s="93">
        <f>BDP("=A46&amp;" US Equity"","BEST_EBIT","BEST_FPERIOD_OVERRIDE","26Y")</f>
        <v/>
      </c>
      <c r="AY46" s="93">
        <f>BDP("=A46&amp;" US Equity"","BEST_EBIT","BEST_FPERIOD_OVERRIDE","27Y")</f>
        <v/>
      </c>
      <c r="AZ46" s="93">
        <f>BDP("=A46&amp;" US Equity"","BEST_EBIT","BEST_FPERIOD_OVERRIDE","28Y")</f>
        <v/>
      </c>
      <c r="BB46" s="68">
        <f>D46+BC46</f>
        <v/>
      </c>
      <c r="BC46" s="68">
        <f>AC46-AE46</f>
        <v/>
      </c>
      <c r="BD46" s="15">
        <f>D46</f>
        <v/>
      </c>
      <c r="BE46" s="99">
        <f>BDP("=A46&amp;" US Equity"","TRAIL_12M_EBITDA")</f>
        <v/>
      </c>
    </row>
    <row r="47">
      <c r="A47" s="19" t="inlineStr">
        <is>
          <t>BN</t>
        </is>
      </c>
      <c r="B47">
        <f>A47&amp;" US Equity"</f>
        <v/>
      </c>
      <c r="C47" s="15" t="inlineStr">
        <is>
          <t>Dec</t>
        </is>
      </c>
      <c r="D47" s="93">
        <f>BDP("=A47&amp;" US Equity"","CUR_MKT_CAP")/1000000000</f>
        <v/>
      </c>
      <c r="E47" s="94">
        <f>BDP("=A47&amp;" US Equity"","PX_LAST")</f>
        <v/>
      </c>
      <c r="F47" s="95">
        <f>IF(BDP("=A47&amp;" US Equity"","BEST_EPS","BEST_FPERIOD_OVERRIDE","26Y")&lt;&gt;0,$E$47/BDP("=A47&amp;" US Equity"","BEST_EPS","BEST_FPERIOD_OVERRIDE","26Y"),"")</f>
        <v/>
      </c>
      <c r="G47" s="95">
        <f>IF(BDP("=A47&amp;" US Equity"","BEST_EPS","BEST_FPERIOD_OVERRIDE","27Y")&lt;&gt;0,$E$47/BDP("=A47&amp;" US Equity"","BEST_EPS","BEST_FPERIOD_OVERRIDE","27Y"),"")</f>
        <v/>
      </c>
      <c r="H47" s="95">
        <f>IF(BDP("=A47&amp;" US Equity"","BEST_EPS","BEST_FPERIOD_OVERRIDE","28Y")&lt;&gt;0,$E$47/BDP("=A47&amp;" US Equity"","BEST_EPS","BEST_FPERIOD_OVERRIDE","28Y"),"")</f>
        <v/>
      </c>
      <c r="I47" s="93">
        <f>BDP("=A47&amp;" US Equity"","NET_DEBT_TO_EBITDA")</f>
        <v/>
      </c>
      <c r="J47" s="93">
        <f>BDP("=A47&amp;" US Equity"","BEST_SALES","BEST_FPERIOD_OVERRIDE","26Y")/1000</f>
        <v/>
      </c>
      <c r="K47" s="97">
        <f>IF(BDP("=A47&amp;" US Equity"","BEST_SALES","BEST_FPERIOD_OVERRIDE","26Y")&lt;&gt;0,BDP("=A47&amp;" US Equity"","BEST_EBIT","BEST_FPERIOD_OVERRIDE","26Y")/BDP("=A47&amp;" US Equity"","BEST_SALES","BEST_FPERIOD_OVERRIDE","26Y"),"")</f>
        <v/>
      </c>
      <c r="L47" s="93">
        <f>BDP("=A47&amp;" US Equity"","RETURN_ON_INV_CAPITAL")/100</f>
        <v/>
      </c>
      <c r="M47" s="93">
        <f>IF(AND(BDP("=A47&amp;" US Equity"","BEST_SALES","BEST_FPERIOD_OVERRIDE","25Y")&gt;0,BDP("=A47&amp;" US Equity"","BEST_SALES","BEST_FPERIOD_OVERRIDE","28Y")&gt;0),(BDP("=A47&amp;" US Equity"","BEST_SALES","BEST_FPERIOD_OVERRIDE","28Y")/BDP("=A47&amp;" US Equity"","BEST_SALES","BEST_FPERIOD_OVERRIDE","25Y"))^(1/3)-1,"")</f>
        <v/>
      </c>
      <c r="N47" s="93">
        <f>IF(AND(BDP("=A47&amp;" US Equity"","BEST_EBIT","BEST_FPERIOD_OVERRIDE","25Y")&gt;0,BDP("=A47&amp;" US Equity"","BEST_EBIT","BEST_FPERIOD_OVERRIDE","28Y")&gt;0),(BDP("=A47&amp;" US Equity"","BEST_EBIT","BEST_FPERIOD_OVERRIDE","28Y")/BDP("=A47&amp;" US Equity"","BEST_EBIT","BEST_FPERIOD_OVERRIDE","25Y"))^(1/3)-1,"")</f>
        <v/>
      </c>
      <c r="O47" s="97">
        <f>IF(AND(BDP("=A47&amp;" US Equity"","BEST_EPS","BEST_FPERIOD_OVERRIDE","25Y")&gt;0,BDP("=A47&amp;" US Equity"","BEST_EPS","BEST_FPERIOD_OVERRIDE","28Y")&gt;0),(BDP("=A47&amp;" US Equity"","BEST_EPS","BEST_FPERIOD_OVERRIDE","28Y")/BDP("=A47&amp;" US Equity"","BEST_EPS","BEST_FPERIOD_OVERRIDE","25Y"))^(1/3)-1,"")</f>
        <v/>
      </c>
      <c r="Q47" s="97">
        <f>BDP("=A47&amp;" US Equity"","CHG_PCT_YTD")/100</f>
        <v/>
      </c>
      <c r="T47" s="74">
        <f>IF(AND(F47&lt;&gt;"",O47&lt;&gt;"",O47&lt;&gt;0),F47/(O47*100),"")</f>
        <v/>
      </c>
      <c r="AB47" s="93">
        <f>BDP("=A47&amp;" US Equity"","TRAIL_12M_OPER_INC")</f>
        <v/>
      </c>
      <c r="AC47" s="93">
        <f>BDP("=A47&amp;" US Equity"","SHORT_AND_LONG_TERM_DEBT")</f>
        <v/>
      </c>
      <c r="AD47" s="93">
        <f>BDP("=A47&amp;" US Equity"","TOTAL_EQUITY")</f>
        <v/>
      </c>
      <c r="AE47" s="93">
        <f>BDP("=A47&amp;" US Equity"","BS_CASH_NEAR_CASH_ITEM")</f>
        <v/>
      </c>
      <c r="AF47" s="99">
        <f>BDP("=A47&amp;" US Equity"","BS_LT_INVEST")</f>
        <v/>
      </c>
      <c r="AG47" s="15">
        <f>AC47+AD47</f>
        <v/>
      </c>
      <c r="AH47" s="100">
        <f>BDP("=A47&amp;" US Equity"","RETURN_ON_INV_CAPITAL")/100</f>
        <v/>
      </c>
      <c r="AJ47" s="93">
        <f>BDP("=A47&amp;" US Equity"","BEST_EPS","BEST_FPERIOD_OVERRIDE","24Y")</f>
        <v/>
      </c>
      <c r="AK47" s="93">
        <f>BDP("=A47&amp;" US Equity"","BEST_EPS","BEST_FPERIOD_OVERRIDE","25Y")</f>
        <v/>
      </c>
      <c r="AL47" s="93">
        <f>BDP("=A47&amp;" US Equity"","BEST_EPS","BEST_FPERIOD_OVERRIDE","26Y")</f>
        <v/>
      </c>
      <c r="AM47" s="93">
        <f>BDP("=A47&amp;" US Equity"","BEST_EPS","BEST_FPERIOD_OVERRIDE","27Y")</f>
        <v/>
      </c>
      <c r="AN47" s="93">
        <f>BDP("=A47&amp;" US Equity"","BEST_EPS","BEST_FPERIOD_OVERRIDE","28Y")</f>
        <v/>
      </c>
      <c r="AP47" s="93">
        <f>BDP("=A47&amp;" US Equity"","BEST_SALES","BEST_FPERIOD_OVERRIDE","24Y")</f>
        <v/>
      </c>
      <c r="AQ47" s="93">
        <f>BDP("=A47&amp;" US Equity"","BEST_SALES","BEST_FPERIOD_OVERRIDE","25Y")</f>
        <v/>
      </c>
      <c r="AR47" s="93">
        <f>BDP("=A47&amp;" US Equity"","BEST_SALES","BEST_FPERIOD_OVERRIDE","26Y")</f>
        <v/>
      </c>
      <c r="AS47" s="93">
        <f>BDP("=A47&amp;" US Equity"","BEST_SALES","BEST_FPERIOD_OVERRIDE","27Y")</f>
        <v/>
      </c>
      <c r="AT47" s="93">
        <f>BDP("=A47&amp;" US Equity"","BEST_SALES","BEST_FPERIOD_OVERRIDE","28Y")</f>
        <v/>
      </c>
      <c r="AV47" s="93">
        <f>BDP("=A47&amp;" US Equity"","BEST_EBIT","BEST_FPERIOD_OVERRIDE","24Y")</f>
        <v/>
      </c>
      <c r="AW47" s="93">
        <f>BDP("=A47&amp;" US Equity"","BEST_EBIT","BEST_FPERIOD_OVERRIDE","25Y")</f>
        <v/>
      </c>
      <c r="AX47" s="93">
        <f>BDP("=A47&amp;" US Equity"","BEST_EBIT","BEST_FPERIOD_OVERRIDE","26Y")</f>
        <v/>
      </c>
      <c r="AY47" s="93">
        <f>BDP("=A47&amp;" US Equity"","BEST_EBIT","BEST_FPERIOD_OVERRIDE","27Y")</f>
        <v/>
      </c>
      <c r="AZ47" s="93">
        <f>BDP("=A47&amp;" US Equity"","BEST_EBIT","BEST_FPERIOD_OVERRIDE","28Y")</f>
        <v/>
      </c>
      <c r="BB47" s="68">
        <f>D47+BC47</f>
        <v/>
      </c>
      <c r="BC47" s="68">
        <f>AC47-AE47</f>
        <v/>
      </c>
      <c r="BD47" s="15">
        <f>D47</f>
        <v/>
      </c>
      <c r="BE47" s="99">
        <f>BDP("=A47&amp;" US Equity"","TRAIL_12M_EBITDA")</f>
        <v/>
      </c>
    </row>
    <row r="48">
      <c r="A48" s="19" t="inlineStr">
        <is>
          <t>CVNA</t>
        </is>
      </c>
      <c r="B48">
        <f>A48&amp;" US Equity"</f>
        <v/>
      </c>
      <c r="C48" s="15" t="inlineStr">
        <is>
          <t>Dec</t>
        </is>
      </c>
      <c r="D48" s="93">
        <f>BDP("=A48&amp;" US Equity"","CUR_MKT_CAP")/1000000000</f>
        <v/>
      </c>
      <c r="E48" s="94">
        <f>BDP("=A48&amp;" US Equity"","PX_LAST")</f>
        <v/>
      </c>
      <c r="F48" s="95">
        <f>IF(BDP("=A48&amp;" US Equity"","BEST_EPS","BEST_FPERIOD_OVERRIDE","26Y")&lt;&gt;0,$E$48/BDP("=A48&amp;" US Equity"","BEST_EPS","BEST_FPERIOD_OVERRIDE","26Y"),"")</f>
        <v/>
      </c>
      <c r="G48" s="95">
        <f>IF(BDP("=A48&amp;" US Equity"","BEST_EPS","BEST_FPERIOD_OVERRIDE","27Y")&lt;&gt;0,$E$48/BDP("=A48&amp;" US Equity"","BEST_EPS","BEST_FPERIOD_OVERRIDE","27Y"),"")</f>
        <v/>
      </c>
      <c r="H48" s="95">
        <f>IF(BDP("=A48&amp;" US Equity"","BEST_EPS","BEST_FPERIOD_OVERRIDE","28Y")&lt;&gt;0,$E$48/BDP("=A48&amp;" US Equity"","BEST_EPS","BEST_FPERIOD_OVERRIDE","28Y"),"")</f>
        <v/>
      </c>
      <c r="I48" s="93">
        <f>BDP("=A48&amp;" US Equity"","NET_DEBT_TO_EBITDA")</f>
        <v/>
      </c>
      <c r="J48" s="93">
        <f>BDP("=A48&amp;" US Equity"","BEST_SALES","BEST_FPERIOD_OVERRIDE","26Y")/1000</f>
        <v/>
      </c>
      <c r="K48" s="97">
        <f>IF(BDP("=A48&amp;" US Equity"","BEST_SALES","BEST_FPERIOD_OVERRIDE","26Y")&lt;&gt;0,BDP("=A48&amp;" US Equity"","BEST_EBIT","BEST_FPERIOD_OVERRIDE","26Y")/BDP("=A48&amp;" US Equity"","BEST_SALES","BEST_FPERIOD_OVERRIDE","26Y"),"")</f>
        <v/>
      </c>
      <c r="L48" s="93">
        <f>BDP("=A48&amp;" US Equity"","RETURN_ON_INV_CAPITAL")/100</f>
        <v/>
      </c>
      <c r="M48" s="97">
        <f>IF(AND(BDP("=A48&amp;" US Equity"","BEST_SALES","BEST_FPERIOD_OVERRIDE","25Y")&gt;0,BDP("=A48&amp;" US Equity"","BEST_SALES","BEST_FPERIOD_OVERRIDE","28Y")&gt;0),(BDP("=A48&amp;" US Equity"","BEST_SALES","BEST_FPERIOD_OVERRIDE","28Y")/BDP("=A48&amp;" US Equity"","BEST_SALES","BEST_FPERIOD_OVERRIDE","25Y"))^(1/3)-1,"")</f>
        <v/>
      </c>
      <c r="N48" s="97">
        <f>IF(AND(BDP("=A48&amp;" US Equity"","BEST_EBIT","BEST_FPERIOD_OVERRIDE","25Y")&gt;0,BDP("=A48&amp;" US Equity"","BEST_EBIT","BEST_FPERIOD_OVERRIDE","28Y")&gt;0),(BDP("=A48&amp;" US Equity"","BEST_EBIT","BEST_FPERIOD_OVERRIDE","28Y")/BDP("=A48&amp;" US Equity"","BEST_EBIT","BEST_FPERIOD_OVERRIDE","25Y"))^(1/3)-1,"")</f>
        <v/>
      </c>
      <c r="O48" s="97">
        <f>IF(AND(BDP("=A48&amp;" US Equity"","BEST_EPS","BEST_FPERIOD_OVERRIDE","25Y")&gt;0,BDP("=A48&amp;" US Equity"","BEST_EPS","BEST_FPERIOD_OVERRIDE","28Y")&gt;0),(BDP("=A48&amp;" US Equity"","BEST_EPS","BEST_FPERIOD_OVERRIDE","28Y")/BDP("=A48&amp;" US Equity"","BEST_EPS","BEST_FPERIOD_OVERRIDE","25Y"))^(1/3)-1,"")</f>
        <v/>
      </c>
      <c r="Q48" s="97">
        <f>BDP("=A48&amp;" US Equity"","CHG_PCT_YTD")/100</f>
        <v/>
      </c>
      <c r="T48" s="74">
        <f>IF(AND(F48&lt;&gt;"",O48&lt;&gt;"",O48&lt;&gt;0),F48/(O48*100),"")</f>
        <v/>
      </c>
      <c r="AB48" s="93">
        <f>BDP("=A48&amp;" US Equity"","TRAIL_12M_OPER_INC")</f>
        <v/>
      </c>
      <c r="AC48" s="93">
        <f>BDP("=A48&amp;" US Equity"","SHORT_AND_LONG_TERM_DEBT")</f>
        <v/>
      </c>
      <c r="AD48" s="93">
        <f>BDP("=A48&amp;" US Equity"","TOTAL_EQUITY")</f>
        <v/>
      </c>
      <c r="AE48" s="93">
        <f>BDP("=A48&amp;" US Equity"","BS_CASH_NEAR_CASH_ITEM")</f>
        <v/>
      </c>
      <c r="AF48" s="99">
        <f>BDP("=A48&amp;" US Equity"","BS_LT_INVEST")</f>
        <v/>
      </c>
      <c r="AG48" s="15">
        <f>AC48+AD48</f>
        <v/>
      </c>
      <c r="AH48" s="100">
        <f>BDP("=A48&amp;" US Equity"","RETURN_ON_INV_CAPITAL")/100</f>
        <v/>
      </c>
      <c r="AJ48" s="93">
        <f>BDP("=A48&amp;" US Equity"","BEST_EPS","BEST_FPERIOD_OVERRIDE","24Y")</f>
        <v/>
      </c>
      <c r="AK48" s="93">
        <f>BDP("=A48&amp;" US Equity"","BEST_EPS","BEST_FPERIOD_OVERRIDE","25Y")</f>
        <v/>
      </c>
      <c r="AL48" s="93">
        <f>BDP("=A48&amp;" US Equity"","BEST_EPS","BEST_FPERIOD_OVERRIDE","26Y")</f>
        <v/>
      </c>
      <c r="AM48" s="93">
        <f>BDP("=A48&amp;" US Equity"","BEST_EPS","BEST_FPERIOD_OVERRIDE","27Y")</f>
        <v/>
      </c>
      <c r="AN48" s="93">
        <f>BDP("=A48&amp;" US Equity"","BEST_EPS","BEST_FPERIOD_OVERRIDE","28Y")</f>
        <v/>
      </c>
      <c r="AP48" s="93">
        <f>BDP("=A48&amp;" US Equity"","BEST_SALES","BEST_FPERIOD_OVERRIDE","24Y")</f>
        <v/>
      </c>
      <c r="AQ48" s="93">
        <f>BDP("=A48&amp;" US Equity"","BEST_SALES","BEST_FPERIOD_OVERRIDE","25Y")</f>
        <v/>
      </c>
      <c r="AR48" s="93">
        <f>BDP("=A48&amp;" US Equity"","BEST_SALES","BEST_FPERIOD_OVERRIDE","26Y")</f>
        <v/>
      </c>
      <c r="AS48" s="93">
        <f>BDP("=A48&amp;" US Equity"","BEST_SALES","BEST_FPERIOD_OVERRIDE","27Y")</f>
        <v/>
      </c>
      <c r="AT48" s="93">
        <f>BDP("=A48&amp;" US Equity"","BEST_SALES","BEST_FPERIOD_OVERRIDE","28Y")</f>
        <v/>
      </c>
      <c r="AV48" s="93">
        <f>BDP("=A48&amp;" US Equity"","BEST_EBIT","BEST_FPERIOD_OVERRIDE","24Y")</f>
        <v/>
      </c>
      <c r="AW48" s="93">
        <f>BDP("=A48&amp;" US Equity"","BEST_EBIT","BEST_FPERIOD_OVERRIDE","25Y")</f>
        <v/>
      </c>
      <c r="AX48" s="93">
        <f>BDP("=A48&amp;" US Equity"","BEST_EBIT","BEST_FPERIOD_OVERRIDE","26Y")</f>
        <v/>
      </c>
      <c r="AY48" s="93">
        <f>BDP("=A48&amp;" US Equity"","BEST_EBIT","BEST_FPERIOD_OVERRIDE","27Y")</f>
        <v/>
      </c>
      <c r="AZ48" s="93">
        <f>BDP("=A48&amp;" US Equity"","BEST_EBIT","BEST_FPERIOD_OVERRIDE","28Y")</f>
        <v/>
      </c>
      <c r="BB48" s="68">
        <f>D48+BC48</f>
        <v/>
      </c>
      <c r="BC48" s="68">
        <f>AC48-AE48</f>
        <v/>
      </c>
      <c r="BD48" s="15">
        <f>D48</f>
        <v/>
      </c>
      <c r="BE48" s="99">
        <f>BDP("=A48&amp;" US Equity"","TRAIL_12M_EBITDA")</f>
        <v/>
      </c>
    </row>
    <row r="49">
      <c r="A49" s="19" t="inlineStr">
        <is>
          <t>JPM</t>
        </is>
      </c>
      <c r="B49">
        <f>A49&amp;" US Equity"</f>
        <v/>
      </c>
      <c r="C49" s="15" t="inlineStr">
        <is>
          <t>Dec</t>
        </is>
      </c>
      <c r="D49" s="93">
        <f>BDP("=A49&amp;" US Equity"","CUR_MKT_CAP")/1000000000</f>
        <v/>
      </c>
      <c r="E49" s="94">
        <f>BDP("=A49&amp;" US Equity"","PX_LAST")</f>
        <v/>
      </c>
      <c r="F49" s="95">
        <f>IF(BDP("=A49&amp;" US Equity"","BEST_EPS","BEST_FPERIOD_OVERRIDE","26Y")&lt;&gt;0,$E$49/BDP("=A49&amp;" US Equity"","BEST_EPS","BEST_FPERIOD_OVERRIDE","26Y"),"")</f>
        <v/>
      </c>
      <c r="G49" s="95">
        <f>IF(BDP("=A49&amp;" US Equity"","BEST_EPS","BEST_FPERIOD_OVERRIDE","27Y")&lt;&gt;0,$E$49/BDP("=A49&amp;" US Equity"","BEST_EPS","BEST_FPERIOD_OVERRIDE","27Y"),"")</f>
        <v/>
      </c>
      <c r="H49" s="95">
        <f>IF(BDP("=A49&amp;" US Equity"","BEST_EPS","BEST_FPERIOD_OVERRIDE","28Y")&lt;&gt;0,$E$49/BDP("=A49&amp;" US Equity"","BEST_EPS","BEST_FPERIOD_OVERRIDE","28Y"),"")</f>
        <v/>
      </c>
      <c r="I49" s="93">
        <f>BDP("=A49&amp;" US Equity"","NET_DEBT_TO_EBITDA")</f>
        <v/>
      </c>
      <c r="J49" s="93">
        <f>BDP("=A49&amp;" US Equity"","BEST_SALES","BEST_FPERIOD_OVERRIDE","26Y")/1000</f>
        <v/>
      </c>
      <c r="K49" s="97">
        <f>IF(BDP("=A49&amp;" US Equity"","BEST_SALES","BEST_FPERIOD_OVERRIDE","26Y")&lt;&gt;0,BDP("=A49&amp;" US Equity"","BEST_EBIT","BEST_FPERIOD_OVERRIDE","26Y")/BDP("=A49&amp;" US Equity"","BEST_SALES","BEST_FPERIOD_OVERRIDE","26Y"),"")</f>
        <v/>
      </c>
      <c r="L49" s="93">
        <f>BDP("=A49&amp;" US Equity"","RETURN_ON_INV_CAPITAL")/100</f>
        <v/>
      </c>
      <c r="M49" s="93">
        <f>IF(AND(BDP("=A49&amp;" US Equity"","BEST_SALES","BEST_FPERIOD_OVERRIDE","25Y")&gt;0,BDP("=A49&amp;" US Equity"","BEST_SALES","BEST_FPERIOD_OVERRIDE","28Y")&gt;0),(BDP("=A49&amp;" US Equity"","BEST_SALES","BEST_FPERIOD_OVERRIDE","28Y")/BDP("=A49&amp;" US Equity"","BEST_SALES","BEST_FPERIOD_OVERRIDE","25Y"))^(1/3)-1,"")</f>
        <v/>
      </c>
      <c r="N49" s="97">
        <f>IF(AND(BDP("=A49&amp;" US Equity"","BEST_EBIT","BEST_FPERIOD_OVERRIDE","25Y")&gt;0,BDP("=A49&amp;" US Equity"","BEST_EBIT","BEST_FPERIOD_OVERRIDE","28Y")&gt;0),(BDP("=A49&amp;" US Equity"","BEST_EBIT","BEST_FPERIOD_OVERRIDE","28Y")/BDP("=A49&amp;" US Equity"","BEST_EBIT","BEST_FPERIOD_OVERRIDE","25Y"))^(1/3)-1,"")</f>
        <v/>
      </c>
      <c r="O49" s="97">
        <f>IF(AND(BDP("=A49&amp;" US Equity"","BEST_EPS","BEST_FPERIOD_OVERRIDE","25Y")&gt;0,BDP("=A49&amp;" US Equity"","BEST_EPS","BEST_FPERIOD_OVERRIDE","28Y")&gt;0),(BDP("=A49&amp;" US Equity"","BEST_EPS","BEST_FPERIOD_OVERRIDE","28Y")/BDP("=A49&amp;" US Equity"","BEST_EPS","BEST_FPERIOD_OVERRIDE","25Y"))^(1/3)-1,"")</f>
        <v/>
      </c>
      <c r="Q49" s="97">
        <f>BDP("=A49&amp;" US Equity"","CHG_PCT_YTD")/100</f>
        <v/>
      </c>
      <c r="T49" s="74">
        <f>IF(AND(F49&lt;&gt;"",O49&lt;&gt;"",O49&lt;&gt;0),F49/(O49*100),"")</f>
        <v/>
      </c>
      <c r="AB49" s="93">
        <f>BDP("=A49&amp;" US Equity"","TRAIL_12M_OPER_INC")</f>
        <v/>
      </c>
      <c r="AC49" s="93">
        <f>BDP("=A49&amp;" US Equity"","SHORT_AND_LONG_TERM_DEBT")</f>
        <v/>
      </c>
      <c r="AD49" s="93">
        <f>BDP("=A49&amp;" US Equity"","TOTAL_EQUITY")</f>
        <v/>
      </c>
      <c r="AE49" s="93">
        <f>BDP("=A49&amp;" US Equity"","BS_CASH_NEAR_CASH_ITEM")</f>
        <v/>
      </c>
      <c r="AF49" s="99">
        <f>BDP("=A49&amp;" US Equity"","BS_LT_INVEST")</f>
        <v/>
      </c>
      <c r="AG49" s="15">
        <f>AC49+AD49</f>
        <v/>
      </c>
      <c r="AH49" s="100">
        <f>BDP("=A49&amp;" US Equity"","RETURN_ON_INV_CAPITAL")/100</f>
        <v/>
      </c>
      <c r="AJ49" s="93">
        <f>BDP("=A49&amp;" US Equity"","BEST_EPS","BEST_FPERIOD_OVERRIDE","24Y")</f>
        <v/>
      </c>
      <c r="AK49" s="93">
        <f>BDP("=A49&amp;" US Equity"","BEST_EPS","BEST_FPERIOD_OVERRIDE","25Y")</f>
        <v/>
      </c>
      <c r="AL49" s="93">
        <f>BDP("=A49&amp;" US Equity"","BEST_EPS","BEST_FPERIOD_OVERRIDE","26Y")</f>
        <v/>
      </c>
      <c r="AM49" s="93">
        <f>BDP("=A49&amp;" US Equity"","BEST_EPS","BEST_FPERIOD_OVERRIDE","27Y")</f>
        <v/>
      </c>
      <c r="AN49" s="93">
        <f>BDP("=A49&amp;" US Equity"","BEST_EPS","BEST_FPERIOD_OVERRIDE","28Y")</f>
        <v/>
      </c>
      <c r="AP49" s="93">
        <f>BDP("=A49&amp;" US Equity"","BEST_SALES","BEST_FPERIOD_OVERRIDE","24Y")</f>
        <v/>
      </c>
      <c r="AQ49" s="93">
        <f>BDP("=A49&amp;" US Equity"","BEST_SALES","BEST_FPERIOD_OVERRIDE","25Y")</f>
        <v/>
      </c>
      <c r="AR49" s="93">
        <f>BDP("=A49&amp;" US Equity"","BEST_SALES","BEST_FPERIOD_OVERRIDE","26Y")</f>
        <v/>
      </c>
      <c r="AS49" s="93">
        <f>BDP("=A49&amp;" US Equity"","BEST_SALES","BEST_FPERIOD_OVERRIDE","27Y")</f>
        <v/>
      </c>
      <c r="AT49" s="93">
        <f>BDP("=A49&amp;" US Equity"","BEST_SALES","BEST_FPERIOD_OVERRIDE","28Y")</f>
        <v/>
      </c>
      <c r="AV49" s="93">
        <f>BDP("=A49&amp;" US Equity"","BEST_EBIT","BEST_FPERIOD_OVERRIDE","24Y")</f>
        <v/>
      </c>
      <c r="AW49" s="93">
        <f>BDP("=A49&amp;" US Equity"","BEST_EBIT","BEST_FPERIOD_OVERRIDE","25Y")</f>
        <v/>
      </c>
      <c r="AX49" s="93">
        <f>BDP("=A49&amp;" US Equity"","BEST_EBIT","BEST_FPERIOD_OVERRIDE","26Y")</f>
        <v/>
      </c>
      <c r="AY49" s="93">
        <f>BDP("=A49&amp;" US Equity"","BEST_EBIT","BEST_FPERIOD_OVERRIDE","27Y")</f>
        <v/>
      </c>
      <c r="AZ49" s="93">
        <f>BDP("=A49&amp;" US Equity"","BEST_EBIT","BEST_FPERIOD_OVERRIDE","28Y")</f>
        <v/>
      </c>
      <c r="BB49" s="68">
        <f>D49+BC49</f>
        <v/>
      </c>
      <c r="BC49" s="68">
        <f>AC49-AE49</f>
        <v/>
      </c>
      <c r="BD49" s="15">
        <f>D49</f>
        <v/>
      </c>
      <c r="BE49" s="99">
        <f>BDP("=A49&amp;" US Equity"","TRAIL_12M_EBITDA")</f>
        <v/>
      </c>
    </row>
    <row r="50">
      <c r="A50" s="26" t="inlineStr">
        <is>
          <t>Average</t>
        </is>
      </c>
      <c r="B50" s="27" t="n"/>
      <c r="C50" s="28" t="n"/>
      <c r="D50" s="28" t="n"/>
      <c r="E50" s="75" t="n"/>
      <c r="F50" s="76">
        <f>AVERAGE(F42:F49)</f>
        <v/>
      </c>
      <c r="G50" s="76">
        <f>AVERAGE(G42:G49)</f>
        <v/>
      </c>
      <c r="H50" s="76">
        <f>AVERAGE(H42:H49)</f>
        <v/>
      </c>
      <c r="I50" s="77" t="n"/>
      <c r="J50" s="28" t="n"/>
      <c r="K50" s="90" t="n"/>
      <c r="L50" s="90" t="n"/>
      <c r="M50" s="90" t="n"/>
      <c r="N50" s="90" t="n"/>
      <c r="O50" s="90">
        <f>AVERAGE(O42:O49)</f>
        <v/>
      </c>
      <c r="P50" s="27" t="n"/>
      <c r="Q50" s="27" t="n"/>
      <c r="R50" s="27" t="n"/>
      <c r="S50" s="27" t="n"/>
      <c r="T50" s="80">
        <f>F50/O50/100</f>
        <v/>
      </c>
      <c r="AB50" s="15" t="n"/>
      <c r="AC50" s="15" t="n"/>
      <c r="AD50" s="15" t="n"/>
      <c r="AE50" s="15" t="n"/>
      <c r="AF50" s="16" t="n"/>
      <c r="AG50" s="15" t="n"/>
      <c r="AH50" s="67" t="n"/>
      <c r="AJ50" s="15" t="n"/>
      <c r="AK50" s="15" t="n"/>
      <c r="AL50" s="15" t="n"/>
      <c r="AM50" s="15" t="n"/>
      <c r="AN50" s="15" t="n"/>
      <c r="AP50" s="15" t="n"/>
      <c r="AQ50" s="15" t="n"/>
      <c r="AR50" s="15" t="n"/>
      <c r="AS50" s="15" t="n"/>
      <c r="AT50" s="15" t="n"/>
      <c r="AV50" s="15" t="n"/>
      <c r="AW50" s="15" t="n"/>
      <c r="AX50" s="15" t="n"/>
      <c r="AY50" s="15" t="n"/>
      <c r="AZ50" s="15" t="n"/>
      <c r="BB50" s="68" t="n"/>
      <c r="BC50" s="68" t="n"/>
      <c r="BD50" s="15" t="n"/>
      <c r="BE50" s="16" t="n"/>
    </row>
    <row r="51">
      <c r="A51" s="36" t="inlineStr">
        <is>
          <t>Financials</t>
        </is>
      </c>
      <c r="C51" s="15" t="n"/>
      <c r="D51" s="15" t="n"/>
      <c r="E51" s="69" t="n"/>
      <c r="F51" s="70" t="n"/>
      <c r="G51" s="70" t="n"/>
      <c r="H51" s="70" t="n"/>
      <c r="I51" s="71" t="n"/>
      <c r="J51" s="15" t="n"/>
      <c r="K51" s="72" t="n"/>
      <c r="L51" s="72" t="n"/>
      <c r="M51" s="72" t="n"/>
      <c r="N51" s="72" t="n"/>
      <c r="O51" s="72" t="n"/>
      <c r="AB51" s="15" t="n"/>
      <c r="AC51" s="15" t="n"/>
      <c r="AD51" s="15" t="n"/>
      <c r="AE51" s="15" t="n"/>
      <c r="AF51" s="16" t="n"/>
      <c r="AG51" s="15" t="n"/>
      <c r="AH51" s="67" t="n"/>
      <c r="AJ51" s="15" t="n"/>
      <c r="AK51" s="15" t="n"/>
      <c r="AL51" s="15" t="n"/>
      <c r="AM51" s="15" t="n"/>
      <c r="AN51" s="15" t="n"/>
      <c r="AP51" s="15" t="n"/>
      <c r="AQ51" s="15" t="n"/>
      <c r="AR51" s="15" t="n"/>
      <c r="AS51" s="15" t="n"/>
      <c r="AT51" s="15" t="n"/>
      <c r="AV51" s="15" t="n"/>
      <c r="AW51" s="15" t="n"/>
      <c r="AX51" s="15" t="n"/>
      <c r="AY51" s="15" t="n"/>
      <c r="AZ51" s="15" t="n"/>
      <c r="BB51" s="68" t="n"/>
      <c r="BC51" s="68" t="n"/>
      <c r="BD51" s="15" t="n"/>
      <c r="BE51" s="16" t="n"/>
    </row>
    <row r="52">
      <c r="A52" t="inlineStr">
        <is>
          <t>BX</t>
        </is>
      </c>
      <c r="B52">
        <f>A52&amp;" US Equity"</f>
        <v/>
      </c>
      <c r="C52" s="15" t="inlineStr">
        <is>
          <t>Dec</t>
        </is>
      </c>
      <c r="D52" s="93">
        <f>BDP("=A52&amp;" US Equity"","CUR_MKT_CAP")/1000000000</f>
        <v/>
      </c>
      <c r="E52" s="94">
        <f>BDP("=A52&amp;" US Equity"","PX_LAST")</f>
        <v/>
      </c>
      <c r="F52" s="95">
        <f>IF(BDP("=A52&amp;" US Equity"","BEST_EPS","BEST_FPERIOD_OVERRIDE","26Y")&lt;&gt;0,$E$52/BDP("=A52&amp;" US Equity"","BEST_EPS","BEST_FPERIOD_OVERRIDE","26Y"),"")</f>
        <v/>
      </c>
      <c r="G52" s="95">
        <f>IF(BDP("=A52&amp;" US Equity"","BEST_EPS","BEST_FPERIOD_OVERRIDE","27Y")&lt;&gt;0,$E$52/BDP("=A52&amp;" US Equity"","BEST_EPS","BEST_FPERIOD_OVERRIDE","27Y"),"")</f>
        <v/>
      </c>
      <c r="H52" s="95">
        <f>IF(BDP("=A52&amp;" US Equity"","BEST_EPS","BEST_FPERIOD_OVERRIDE","28Y")&lt;&gt;0,$E$52/BDP("=A52&amp;" US Equity"","BEST_EPS","BEST_FPERIOD_OVERRIDE","28Y"),"")</f>
        <v/>
      </c>
      <c r="I52" s="96">
        <f>BDP("=A52&amp;" US Equity"","NET_DEBT_TO_EBITDA")</f>
        <v/>
      </c>
      <c r="J52" s="93">
        <f>BDP("=A52&amp;" US Equity"","BEST_SALES","BEST_FPERIOD_OVERRIDE","26Y")/1000</f>
        <v/>
      </c>
      <c r="K52" s="97">
        <f>IF(BDP("=A52&amp;" US Equity"","BEST_SALES","BEST_FPERIOD_OVERRIDE","26Y")&lt;&gt;0,BDP("=A52&amp;" US Equity"","BEST_EBIT","BEST_FPERIOD_OVERRIDE","26Y")/BDP("=A52&amp;" US Equity"","BEST_SALES","BEST_FPERIOD_OVERRIDE","26Y"),"")</f>
        <v/>
      </c>
      <c r="L52" s="97">
        <f>BDP("=A52&amp;" US Equity"","RETURN_ON_INV_CAPITAL")/100</f>
        <v/>
      </c>
      <c r="M52" s="93">
        <f>IF(AND(BDP("=A52&amp;" US Equity"","BEST_SALES","BEST_FPERIOD_OVERRIDE","25Y")&gt;0,BDP("=A52&amp;" US Equity"","BEST_SALES","BEST_FPERIOD_OVERRIDE","28Y")&gt;0),(BDP("=A52&amp;" US Equity"","BEST_SALES","BEST_FPERIOD_OVERRIDE","28Y")/BDP("=A52&amp;" US Equity"","BEST_SALES","BEST_FPERIOD_OVERRIDE","25Y"))^(1/3)-1,"")</f>
        <v/>
      </c>
      <c r="N52" s="93">
        <f>IF(AND(BDP("=A52&amp;" US Equity"","BEST_EBIT","BEST_FPERIOD_OVERRIDE","25Y")&gt;0,BDP("=A52&amp;" US Equity"","BEST_EBIT","BEST_FPERIOD_OVERRIDE","28Y")&gt;0),(BDP("=A52&amp;" US Equity"","BEST_EBIT","BEST_FPERIOD_OVERRIDE","28Y")/BDP("=A52&amp;" US Equity"","BEST_EBIT","BEST_FPERIOD_OVERRIDE","25Y"))^(1/3)-1,"")</f>
        <v/>
      </c>
      <c r="O52" s="97">
        <f>IF(AND(BDP("=A52&amp;" US Equity"","BEST_EPS","BEST_FPERIOD_OVERRIDE","25Y")&gt;0,BDP("=A52&amp;" US Equity"","BEST_EPS","BEST_FPERIOD_OVERRIDE","28Y")&gt;0),(BDP("=A52&amp;" US Equity"","BEST_EPS","BEST_FPERIOD_OVERRIDE","28Y")/BDP("=A52&amp;" US Equity"","BEST_EPS","BEST_FPERIOD_OVERRIDE","25Y"))^(1/3)-1,"")</f>
        <v/>
      </c>
      <c r="Q52" s="97">
        <f>BDP("=A52&amp;" US Equity"","CHG_PCT_YTD")/100</f>
        <v/>
      </c>
      <c r="T52" s="68">
        <f>IF(AND(F52&lt;&gt;"",O52&lt;&gt;"",O52&lt;&gt;0),F52/(O52*100),"")</f>
        <v/>
      </c>
      <c r="AB52" s="93">
        <f>BDP("=A52&amp;" US Equity"","TRAIL_12M_OPER_INC")</f>
        <v/>
      </c>
      <c r="AC52" s="93">
        <f>BDP("=A52&amp;" US Equity"","SHORT_AND_LONG_TERM_DEBT")</f>
        <v/>
      </c>
      <c r="AD52" s="93">
        <f>BDP("=A52&amp;" US Equity"","TOTAL_EQUITY")</f>
        <v/>
      </c>
      <c r="AE52" s="93">
        <f>BDP("=A52&amp;" US Equity"","BS_CASH_NEAR_CASH_ITEM")</f>
        <v/>
      </c>
      <c r="AF52" s="99">
        <f>BDP("=A52&amp;" US Equity"","BS_LT_INVEST")</f>
        <v/>
      </c>
      <c r="AG52" s="15">
        <f>AC52+AD52</f>
        <v/>
      </c>
      <c r="AH52" s="100">
        <f>BDP("=A52&amp;" US Equity"","RETURN_ON_INV_CAPITAL")/100</f>
        <v/>
      </c>
      <c r="AJ52" s="93">
        <f>BDP("=A52&amp;" US Equity"","BEST_EPS","BEST_FPERIOD_OVERRIDE","24Y")</f>
        <v/>
      </c>
      <c r="AK52" s="93">
        <f>BDP("=A52&amp;" US Equity"","BEST_EPS","BEST_FPERIOD_OVERRIDE","25Y")</f>
        <v/>
      </c>
      <c r="AL52" s="93">
        <f>BDP("=A52&amp;" US Equity"","BEST_EPS","BEST_FPERIOD_OVERRIDE","26Y")</f>
        <v/>
      </c>
      <c r="AM52" s="93">
        <f>BDP("=A52&amp;" US Equity"","BEST_EPS","BEST_FPERIOD_OVERRIDE","27Y")</f>
        <v/>
      </c>
      <c r="AN52" s="93">
        <f>BDP("=A52&amp;" US Equity"","BEST_EPS","BEST_FPERIOD_OVERRIDE","28Y")</f>
        <v/>
      </c>
      <c r="AP52" s="93">
        <f>BDP("=A52&amp;" US Equity"","BEST_SALES","BEST_FPERIOD_OVERRIDE","24Y")</f>
        <v/>
      </c>
      <c r="AQ52" s="93">
        <f>BDP("=A52&amp;" US Equity"","BEST_SALES","BEST_FPERIOD_OVERRIDE","25Y")</f>
        <v/>
      </c>
      <c r="AR52" s="93">
        <f>BDP("=A52&amp;" US Equity"","BEST_SALES","BEST_FPERIOD_OVERRIDE","26Y")</f>
        <v/>
      </c>
      <c r="AS52" s="93">
        <f>BDP("=A52&amp;" US Equity"","BEST_SALES","BEST_FPERIOD_OVERRIDE","27Y")</f>
        <v/>
      </c>
      <c r="AT52" s="93">
        <f>BDP("=A52&amp;" US Equity"","BEST_SALES","BEST_FPERIOD_OVERRIDE","28Y")</f>
        <v/>
      </c>
      <c r="AV52" s="93">
        <f>BDP("=A52&amp;" US Equity"","BEST_EBIT","BEST_FPERIOD_OVERRIDE","24Y")</f>
        <v/>
      </c>
      <c r="AW52" s="93">
        <f>BDP("=A52&amp;" US Equity"","BEST_EBIT","BEST_FPERIOD_OVERRIDE","25Y")</f>
        <v/>
      </c>
      <c r="AX52" s="93">
        <f>BDP("=A52&amp;" US Equity"","BEST_EBIT","BEST_FPERIOD_OVERRIDE","26Y")</f>
        <v/>
      </c>
      <c r="AY52" s="93">
        <f>BDP("=A52&amp;" US Equity"","BEST_EBIT","BEST_FPERIOD_OVERRIDE","27Y")</f>
        <v/>
      </c>
      <c r="AZ52" s="93">
        <f>BDP("=A52&amp;" US Equity"","BEST_EBIT","BEST_FPERIOD_OVERRIDE","28Y")</f>
        <v/>
      </c>
      <c r="BB52" s="68">
        <f>D52+BC52</f>
        <v/>
      </c>
      <c r="BC52" s="68">
        <f>AC52-AE52</f>
        <v/>
      </c>
      <c r="BD52" s="15">
        <f>D52</f>
        <v/>
      </c>
      <c r="BE52" s="99">
        <f>BDP("=A52&amp;" US Equity"","TRAIL_12M_EBITDA")</f>
        <v/>
      </c>
    </row>
    <row r="53">
      <c r="A53" t="inlineStr">
        <is>
          <t>KKR</t>
        </is>
      </c>
      <c r="B53">
        <f>A53&amp;" US Equity"</f>
        <v/>
      </c>
      <c r="C53" s="15" t="inlineStr">
        <is>
          <t>Dec</t>
        </is>
      </c>
      <c r="D53" s="93">
        <f>BDP("=A53&amp;" US Equity"","CUR_MKT_CAP")/1000000000</f>
        <v/>
      </c>
      <c r="E53" s="94">
        <f>BDP("=A53&amp;" US Equity"","PX_LAST")</f>
        <v/>
      </c>
      <c r="F53" s="95">
        <f>IF(BDP("=A53&amp;" US Equity"","BEST_EPS","BEST_FPERIOD_OVERRIDE","26Y")&lt;&gt;0,$E$53/BDP("=A53&amp;" US Equity"","BEST_EPS","BEST_FPERIOD_OVERRIDE","26Y"),"")</f>
        <v/>
      </c>
      <c r="G53" s="95">
        <f>IF(BDP("=A53&amp;" US Equity"","BEST_EPS","BEST_FPERIOD_OVERRIDE","27Y")&lt;&gt;0,$E$53/BDP("=A53&amp;" US Equity"","BEST_EPS","BEST_FPERIOD_OVERRIDE","27Y"),"")</f>
        <v/>
      </c>
      <c r="H53" s="95">
        <f>IF(BDP("=A53&amp;" US Equity"","BEST_EPS","BEST_FPERIOD_OVERRIDE","28Y")&lt;&gt;0,$E$53/BDP("=A53&amp;" US Equity"","BEST_EPS","BEST_FPERIOD_OVERRIDE","28Y"),"")</f>
        <v/>
      </c>
      <c r="I53" s="96">
        <f>BDP("=A53&amp;" US Equity"","NET_DEBT_TO_EBITDA")</f>
        <v/>
      </c>
      <c r="J53" s="93">
        <f>BDP("=A53&amp;" US Equity"","BEST_SALES","BEST_FPERIOD_OVERRIDE","26Y")/1000</f>
        <v/>
      </c>
      <c r="K53" s="97">
        <f>IF(BDP("=A53&amp;" US Equity"","BEST_SALES","BEST_FPERIOD_OVERRIDE","26Y")&lt;&gt;0,BDP("=A53&amp;" US Equity"","BEST_EBIT","BEST_FPERIOD_OVERRIDE","26Y")/BDP("=A53&amp;" US Equity"","BEST_SALES","BEST_FPERIOD_OVERRIDE","26Y"),"")</f>
        <v/>
      </c>
      <c r="L53" s="97">
        <f>BDP("=A53&amp;" US Equity"","RETURN_ON_INV_CAPITAL")/100</f>
        <v/>
      </c>
      <c r="M53" s="93">
        <f>IF(AND(BDP("=A53&amp;" US Equity"","BEST_SALES","BEST_FPERIOD_OVERRIDE","25Y")&gt;0,BDP("=A53&amp;" US Equity"","BEST_SALES","BEST_FPERIOD_OVERRIDE","28Y")&gt;0),(BDP("=A53&amp;" US Equity"","BEST_SALES","BEST_FPERIOD_OVERRIDE","28Y")/BDP("=A53&amp;" US Equity"","BEST_SALES","BEST_FPERIOD_OVERRIDE","25Y"))^(1/3)-1,"")</f>
        <v/>
      </c>
      <c r="N53" s="93">
        <f>IF(AND(BDP("=A53&amp;" US Equity"","BEST_EBIT","BEST_FPERIOD_OVERRIDE","25Y")&gt;0,BDP("=A53&amp;" US Equity"","BEST_EBIT","BEST_FPERIOD_OVERRIDE","28Y")&gt;0),(BDP("=A53&amp;" US Equity"","BEST_EBIT","BEST_FPERIOD_OVERRIDE","28Y")/BDP("=A53&amp;" US Equity"","BEST_EBIT","BEST_FPERIOD_OVERRIDE","25Y"))^(1/3)-1,"")</f>
        <v/>
      </c>
      <c r="O53" s="97">
        <f>IF(AND(BDP("=A53&amp;" US Equity"","BEST_EPS","BEST_FPERIOD_OVERRIDE","25Y")&gt;0,BDP("=A53&amp;" US Equity"","BEST_EPS","BEST_FPERIOD_OVERRIDE","28Y")&gt;0),(BDP("=A53&amp;" US Equity"","BEST_EPS","BEST_FPERIOD_OVERRIDE","28Y")/BDP("=A53&amp;" US Equity"","BEST_EPS","BEST_FPERIOD_OVERRIDE","25Y"))^(1/3)-1,"")</f>
        <v/>
      </c>
      <c r="Q53" s="97">
        <f>BDP("=A53&amp;" US Equity"","CHG_PCT_YTD")/100</f>
        <v/>
      </c>
      <c r="T53" s="68">
        <f>IF(AND(F53&lt;&gt;"",O53&lt;&gt;"",O53&lt;&gt;0),F53/(O53*100),"")</f>
        <v/>
      </c>
      <c r="AB53" s="93">
        <f>BDP("=A53&amp;" US Equity"","TRAIL_12M_OPER_INC")</f>
        <v/>
      </c>
      <c r="AC53" s="93">
        <f>BDP("=A53&amp;" US Equity"","SHORT_AND_LONG_TERM_DEBT")</f>
        <v/>
      </c>
      <c r="AD53" s="93">
        <f>BDP("=A53&amp;" US Equity"","TOTAL_EQUITY")</f>
        <v/>
      </c>
      <c r="AE53" s="93">
        <f>BDP("=A53&amp;" US Equity"","BS_CASH_NEAR_CASH_ITEM")</f>
        <v/>
      </c>
      <c r="AF53" s="99">
        <f>BDP("=A53&amp;" US Equity"","BS_LT_INVEST")</f>
        <v/>
      </c>
      <c r="AG53" s="15">
        <f>AC53+AD53</f>
        <v/>
      </c>
      <c r="AH53" s="100">
        <f>BDP("=A53&amp;" US Equity"","RETURN_ON_INV_CAPITAL")/100</f>
        <v/>
      </c>
      <c r="AJ53" s="93">
        <f>BDP("=A53&amp;" US Equity"","BEST_EPS","BEST_FPERIOD_OVERRIDE","24Y")</f>
        <v/>
      </c>
      <c r="AK53" s="93">
        <f>BDP("=A53&amp;" US Equity"","BEST_EPS","BEST_FPERIOD_OVERRIDE","25Y")</f>
        <v/>
      </c>
      <c r="AL53" s="93">
        <f>BDP("=A53&amp;" US Equity"","BEST_EPS","BEST_FPERIOD_OVERRIDE","26Y")</f>
        <v/>
      </c>
      <c r="AM53" s="93">
        <f>BDP("=A53&amp;" US Equity"","BEST_EPS","BEST_FPERIOD_OVERRIDE","27Y")</f>
        <v/>
      </c>
      <c r="AN53" s="93">
        <f>BDP("=A53&amp;" US Equity"","BEST_EPS","BEST_FPERIOD_OVERRIDE","28Y")</f>
        <v/>
      </c>
      <c r="AP53" s="93">
        <f>BDP("=A53&amp;" US Equity"","BEST_SALES","BEST_FPERIOD_OVERRIDE","24Y")</f>
        <v/>
      </c>
      <c r="AQ53" s="93">
        <f>BDP("=A53&amp;" US Equity"","BEST_SALES","BEST_FPERIOD_OVERRIDE","25Y")</f>
        <v/>
      </c>
      <c r="AR53" s="93">
        <f>BDP("=A53&amp;" US Equity"","BEST_SALES","BEST_FPERIOD_OVERRIDE","26Y")</f>
        <v/>
      </c>
      <c r="AS53" s="93">
        <f>BDP("=A53&amp;" US Equity"","BEST_SALES","BEST_FPERIOD_OVERRIDE","27Y")</f>
        <v/>
      </c>
      <c r="AT53" s="93">
        <f>BDP("=A53&amp;" US Equity"","BEST_SALES","BEST_FPERIOD_OVERRIDE","28Y")</f>
        <v/>
      </c>
      <c r="AV53" s="93">
        <f>BDP("=A53&amp;" US Equity"","BEST_EBIT","BEST_FPERIOD_OVERRIDE","24Y")</f>
        <v/>
      </c>
      <c r="AW53" s="93">
        <f>BDP("=A53&amp;" US Equity"","BEST_EBIT","BEST_FPERIOD_OVERRIDE","25Y")</f>
        <v/>
      </c>
      <c r="AX53" s="93">
        <f>BDP("=A53&amp;" US Equity"","BEST_EBIT","BEST_FPERIOD_OVERRIDE","26Y")</f>
        <v/>
      </c>
      <c r="AY53" s="93">
        <f>BDP("=A53&amp;" US Equity"","BEST_EBIT","BEST_FPERIOD_OVERRIDE","27Y")</f>
        <v/>
      </c>
      <c r="AZ53" s="93">
        <f>BDP("=A53&amp;" US Equity"","BEST_EBIT","BEST_FPERIOD_OVERRIDE","28Y")</f>
        <v/>
      </c>
      <c r="BB53" s="68">
        <f>D53+BC53</f>
        <v/>
      </c>
      <c r="BC53" s="68">
        <f>AC53-AE53</f>
        <v/>
      </c>
      <c r="BD53" s="15">
        <f>D53</f>
        <v/>
      </c>
      <c r="BE53" s="99">
        <f>BDP("=A53&amp;" US Equity"","TRAIL_12M_EBITDA")</f>
        <v/>
      </c>
    </row>
    <row r="54">
      <c r="A54" t="inlineStr">
        <is>
          <t>IBKR</t>
        </is>
      </c>
      <c r="B54">
        <f>A54&amp;" US Equity"</f>
        <v/>
      </c>
      <c r="C54" s="15" t="inlineStr">
        <is>
          <t>Dec</t>
        </is>
      </c>
      <c r="D54" s="93">
        <f>BDP("=A54&amp;" US Equity"","CUR_MKT_CAP")/1000000000</f>
        <v/>
      </c>
      <c r="E54" s="94">
        <f>BDP("=A54&amp;" US Equity"","PX_LAST")</f>
        <v/>
      </c>
      <c r="F54" s="95">
        <f>IF(BDP("=A54&amp;" US Equity"","BEST_EPS","BEST_FPERIOD_OVERRIDE","26Y")&lt;&gt;0,$E$54/BDP("=A54&amp;" US Equity"","BEST_EPS","BEST_FPERIOD_OVERRIDE","26Y"),"")</f>
        <v/>
      </c>
      <c r="G54" s="95">
        <f>IF(BDP("=A54&amp;" US Equity"","BEST_EPS","BEST_FPERIOD_OVERRIDE","27Y")&lt;&gt;0,$E$54/BDP("=A54&amp;" US Equity"","BEST_EPS","BEST_FPERIOD_OVERRIDE","27Y"),"")</f>
        <v/>
      </c>
      <c r="H54" s="95">
        <f>IF(BDP("=A54&amp;" US Equity"","BEST_EPS","BEST_FPERIOD_OVERRIDE","28Y")&lt;&gt;0,$E$54/BDP("=A54&amp;" US Equity"","BEST_EPS","BEST_FPERIOD_OVERRIDE","28Y"),"")</f>
        <v/>
      </c>
      <c r="I54" s="96">
        <f>BDP("=A54&amp;" US Equity"","NET_DEBT_TO_EBITDA")</f>
        <v/>
      </c>
      <c r="J54" s="93">
        <f>BDP("=A54&amp;" US Equity"","BEST_SALES","BEST_FPERIOD_OVERRIDE","26Y")/1000</f>
        <v/>
      </c>
      <c r="K54" s="97">
        <f>IF(BDP("=A54&amp;" US Equity"","BEST_SALES","BEST_FPERIOD_OVERRIDE","26Y")&lt;&gt;0,BDP("=A54&amp;" US Equity"","BEST_EBIT","BEST_FPERIOD_OVERRIDE","26Y")/BDP("=A54&amp;" US Equity"","BEST_SALES","BEST_FPERIOD_OVERRIDE","26Y"),"")</f>
        <v/>
      </c>
      <c r="L54" s="97">
        <f>BDP("=A54&amp;" US Equity"","RETURN_ON_INV_CAPITAL")/100</f>
        <v/>
      </c>
      <c r="M54" s="97">
        <f>IF(AND(BDP("=A54&amp;" US Equity"","BEST_SALES","BEST_FPERIOD_OVERRIDE","25Y")&gt;0,BDP("=A54&amp;" US Equity"","BEST_SALES","BEST_FPERIOD_OVERRIDE","28Y")&gt;0),(BDP("=A54&amp;" US Equity"","BEST_SALES","BEST_FPERIOD_OVERRIDE","28Y")/BDP("=A54&amp;" US Equity"","BEST_SALES","BEST_FPERIOD_OVERRIDE","25Y"))^(1/3)-1,"")</f>
        <v/>
      </c>
      <c r="N54" s="97">
        <f>IF(AND(BDP("=A54&amp;" US Equity"","BEST_EBIT","BEST_FPERIOD_OVERRIDE","25Y")&gt;0,BDP("=A54&amp;" US Equity"","BEST_EBIT","BEST_FPERIOD_OVERRIDE","28Y")&gt;0),(BDP("=A54&amp;" US Equity"","BEST_EBIT","BEST_FPERIOD_OVERRIDE","28Y")/BDP("=A54&amp;" US Equity"","BEST_EBIT","BEST_FPERIOD_OVERRIDE","25Y"))^(1/3)-1,"")</f>
        <v/>
      </c>
      <c r="O54" s="97">
        <f>IF(AND(BDP("=A54&amp;" US Equity"","BEST_EPS","BEST_FPERIOD_OVERRIDE","25Y")&gt;0,BDP("=A54&amp;" US Equity"","BEST_EPS","BEST_FPERIOD_OVERRIDE","28Y")&gt;0),(BDP("=A54&amp;" US Equity"","BEST_EPS","BEST_FPERIOD_OVERRIDE","28Y")/BDP("=A54&amp;" US Equity"","BEST_EPS","BEST_FPERIOD_OVERRIDE","25Y"))^(1/3)-1,"")</f>
        <v/>
      </c>
      <c r="Q54" s="97">
        <f>BDP("=A54&amp;" US Equity"","CHG_PCT_YTD")/100</f>
        <v/>
      </c>
      <c r="T54" s="15">
        <f>IF(AND(F54&lt;&gt;"",O54&lt;&gt;"",O54&lt;&gt;0),F54/(O54*100),"")</f>
        <v/>
      </c>
      <c r="AB54" s="93">
        <f>BDP("=A54&amp;" US Equity"","TRAIL_12M_OPER_INC")</f>
        <v/>
      </c>
      <c r="AC54" s="93">
        <f>BDP("=A54&amp;" US Equity"","SHORT_AND_LONG_TERM_DEBT")</f>
        <v/>
      </c>
      <c r="AD54" s="93">
        <f>BDP("=A54&amp;" US Equity"","TOTAL_EQUITY")</f>
        <v/>
      </c>
      <c r="AE54" s="93">
        <f>BDP("=A54&amp;" US Equity"","BS_CASH_NEAR_CASH_ITEM")</f>
        <v/>
      </c>
      <c r="AF54" s="99">
        <f>BDP("=A54&amp;" US Equity"","BS_LT_INVEST")</f>
        <v/>
      </c>
      <c r="AG54" s="15">
        <f>AC54+AD54</f>
        <v/>
      </c>
      <c r="AH54" s="100">
        <f>BDP("=A54&amp;" US Equity"","RETURN_ON_INV_CAPITAL")/100</f>
        <v/>
      </c>
      <c r="AJ54" s="93">
        <f>BDP("=A54&amp;" US Equity"","BEST_EPS","BEST_FPERIOD_OVERRIDE","24Y")</f>
        <v/>
      </c>
      <c r="AK54" s="93">
        <f>BDP("=A54&amp;" US Equity"","BEST_EPS","BEST_FPERIOD_OVERRIDE","25Y")</f>
        <v/>
      </c>
      <c r="AL54" s="93">
        <f>BDP("=A54&amp;" US Equity"","BEST_EPS","BEST_FPERIOD_OVERRIDE","26Y")</f>
        <v/>
      </c>
      <c r="AM54" s="93">
        <f>BDP("=A54&amp;" US Equity"","BEST_EPS","BEST_FPERIOD_OVERRIDE","27Y")</f>
        <v/>
      </c>
      <c r="AN54" s="93">
        <f>BDP("=A54&amp;" US Equity"","BEST_EPS","BEST_FPERIOD_OVERRIDE","28Y")</f>
        <v/>
      </c>
      <c r="AP54" s="93">
        <f>BDP("=A54&amp;" US Equity"","BEST_SALES","BEST_FPERIOD_OVERRIDE","24Y")</f>
        <v/>
      </c>
      <c r="AQ54" s="93">
        <f>BDP("=A54&amp;" US Equity"","BEST_SALES","BEST_FPERIOD_OVERRIDE","25Y")</f>
        <v/>
      </c>
      <c r="AR54" s="93">
        <f>BDP("=A54&amp;" US Equity"","BEST_SALES","BEST_FPERIOD_OVERRIDE","26Y")</f>
        <v/>
      </c>
      <c r="AS54" s="93">
        <f>BDP("=A54&amp;" US Equity"","BEST_SALES","BEST_FPERIOD_OVERRIDE","27Y")</f>
        <v/>
      </c>
      <c r="AT54" s="93">
        <f>BDP("=A54&amp;" US Equity"","BEST_SALES","BEST_FPERIOD_OVERRIDE","28Y")</f>
        <v/>
      </c>
      <c r="AV54" s="93">
        <f>BDP("=A54&amp;" US Equity"","BEST_EBIT","BEST_FPERIOD_OVERRIDE","24Y")</f>
        <v/>
      </c>
      <c r="AW54" s="93">
        <f>BDP("=A54&amp;" US Equity"","BEST_EBIT","BEST_FPERIOD_OVERRIDE","25Y")</f>
        <v/>
      </c>
      <c r="AX54" s="93">
        <f>BDP("=A54&amp;" US Equity"","BEST_EBIT","BEST_FPERIOD_OVERRIDE","26Y")</f>
        <v/>
      </c>
      <c r="AY54" s="93">
        <f>BDP("=A54&amp;" US Equity"","BEST_EBIT","BEST_FPERIOD_OVERRIDE","27Y")</f>
        <v/>
      </c>
      <c r="AZ54" s="93">
        <f>BDP("=A54&amp;" US Equity"","BEST_EBIT","BEST_FPERIOD_OVERRIDE","28Y")</f>
        <v/>
      </c>
      <c r="BB54" s="68">
        <f>D54+BC54</f>
        <v/>
      </c>
      <c r="BC54" s="68">
        <f>AC54-AE54</f>
        <v/>
      </c>
      <c r="BD54" s="15">
        <f>D54</f>
        <v/>
      </c>
      <c r="BE54" s="99">
        <f>BDP("=A54&amp;" US Equity"","TRAIL_12M_EBITDA")</f>
        <v/>
      </c>
    </row>
    <row r="55">
      <c r="A55" t="inlineStr">
        <is>
          <t>AXP</t>
        </is>
      </c>
      <c r="B55">
        <f>A55&amp;" US Equity"</f>
        <v/>
      </c>
      <c r="C55" s="15" t="inlineStr">
        <is>
          <t>Dec</t>
        </is>
      </c>
      <c r="D55" s="93">
        <f>BDP("=A55&amp;" US Equity"","CUR_MKT_CAP")/1000000000</f>
        <v/>
      </c>
      <c r="E55" s="94">
        <f>BDP("=A55&amp;" US Equity"","PX_LAST")</f>
        <v/>
      </c>
      <c r="F55" s="95">
        <f>IF(BDP("=A55&amp;" US Equity"","BEST_EPS","BEST_FPERIOD_OVERRIDE","26Y")&lt;&gt;0,$E$55/BDP("=A55&amp;" US Equity"","BEST_EPS","BEST_FPERIOD_OVERRIDE","26Y"),"")</f>
        <v/>
      </c>
      <c r="G55" s="95">
        <f>IF(BDP("=A55&amp;" US Equity"","BEST_EPS","BEST_FPERIOD_OVERRIDE","27Y")&lt;&gt;0,$E$55/BDP("=A55&amp;" US Equity"","BEST_EPS","BEST_FPERIOD_OVERRIDE","27Y"),"")</f>
        <v/>
      </c>
      <c r="H55" s="95">
        <f>IF(BDP("=A55&amp;" US Equity"","BEST_EPS","BEST_FPERIOD_OVERRIDE","28Y")&lt;&gt;0,$E$55/BDP("=A55&amp;" US Equity"","BEST_EPS","BEST_FPERIOD_OVERRIDE","28Y"),"")</f>
        <v/>
      </c>
      <c r="I55" s="96">
        <f>BDP("=A55&amp;" US Equity"","NET_DEBT_TO_EBITDA")</f>
        <v/>
      </c>
      <c r="J55" s="93">
        <f>BDP("=A55&amp;" US Equity"","BEST_SALES","BEST_FPERIOD_OVERRIDE","26Y")/1000</f>
        <v/>
      </c>
      <c r="K55" s="97">
        <f>IF(BDP("=A55&amp;" US Equity"","BEST_SALES","BEST_FPERIOD_OVERRIDE","26Y")&lt;&gt;0,BDP("=A55&amp;" US Equity"","BEST_EBIT","BEST_FPERIOD_OVERRIDE","26Y")/BDP("=A55&amp;" US Equity"","BEST_SALES","BEST_FPERIOD_OVERRIDE","26Y"),"")</f>
        <v/>
      </c>
      <c r="L55" s="97">
        <f>BDP("=A55&amp;" US Equity"","RETURN_ON_INV_CAPITAL")/100</f>
        <v/>
      </c>
      <c r="M55" s="97">
        <f>IF(AND(BDP("=A55&amp;" US Equity"","BEST_SALES","BEST_FPERIOD_OVERRIDE","25Y")&gt;0,BDP("=A55&amp;" US Equity"","BEST_SALES","BEST_FPERIOD_OVERRIDE","28Y")&gt;0),(BDP("=A55&amp;" US Equity"","BEST_SALES","BEST_FPERIOD_OVERRIDE","28Y")/BDP("=A55&amp;" US Equity"","BEST_SALES","BEST_FPERIOD_OVERRIDE","25Y"))^(1/3)-1,"")</f>
        <v/>
      </c>
      <c r="N55" s="93">
        <f>IF(AND(BDP("=A55&amp;" US Equity"","BEST_EBIT","BEST_FPERIOD_OVERRIDE","25Y")&gt;0,BDP("=A55&amp;" US Equity"","BEST_EBIT","BEST_FPERIOD_OVERRIDE","28Y")&gt;0),(BDP("=A55&amp;" US Equity"","BEST_EBIT","BEST_FPERIOD_OVERRIDE","28Y")/BDP("=A55&amp;" US Equity"","BEST_EBIT","BEST_FPERIOD_OVERRIDE","25Y"))^(1/3)-1,"")</f>
        <v/>
      </c>
      <c r="O55" s="97">
        <f>IF(AND(BDP("=A55&amp;" US Equity"","BEST_EPS","BEST_FPERIOD_OVERRIDE","25Y")&gt;0,BDP("=A55&amp;" US Equity"","BEST_EPS","BEST_FPERIOD_OVERRIDE","28Y")&gt;0),(BDP("=A55&amp;" US Equity"","BEST_EPS","BEST_FPERIOD_OVERRIDE","28Y")/BDP("=A55&amp;" US Equity"","BEST_EPS","BEST_FPERIOD_OVERRIDE","25Y"))^(1/3)-1,"")</f>
        <v/>
      </c>
      <c r="Q55" s="97">
        <f>BDP("=A55&amp;" US Equity"","CHG_PCT_YTD")/100</f>
        <v/>
      </c>
      <c r="T55" s="68">
        <f>IF(AND(F55&lt;&gt;"",O55&lt;&gt;"",O55&lt;&gt;0),F55/(O55*100),"")</f>
        <v/>
      </c>
      <c r="AB55" s="93">
        <f>BDP("=A55&amp;" US Equity"","TRAIL_12M_OPER_INC")</f>
        <v/>
      </c>
      <c r="AC55" s="93">
        <f>BDP("=A55&amp;" US Equity"","SHORT_AND_LONG_TERM_DEBT")</f>
        <v/>
      </c>
      <c r="AD55" s="93">
        <f>BDP("=A55&amp;" US Equity"","TOTAL_EQUITY")</f>
        <v/>
      </c>
      <c r="AE55" s="93">
        <f>BDP("=A55&amp;" US Equity"","BS_CASH_NEAR_CASH_ITEM")</f>
        <v/>
      </c>
      <c r="AF55" s="99">
        <f>BDP("=A55&amp;" US Equity"","BS_LT_INVEST")</f>
        <v/>
      </c>
      <c r="AG55" s="15">
        <f>AC55+AD55</f>
        <v/>
      </c>
      <c r="AH55" s="100">
        <f>BDP("=A55&amp;" US Equity"","RETURN_ON_INV_CAPITAL")/100</f>
        <v/>
      </c>
      <c r="AJ55" s="93">
        <f>BDP("=A55&amp;" US Equity"","BEST_EPS","BEST_FPERIOD_OVERRIDE","24Y")</f>
        <v/>
      </c>
      <c r="AK55" s="93">
        <f>BDP("=A55&amp;" US Equity"","BEST_EPS","BEST_FPERIOD_OVERRIDE","25Y")</f>
        <v/>
      </c>
      <c r="AL55" s="93">
        <f>BDP("=A55&amp;" US Equity"","BEST_EPS","BEST_FPERIOD_OVERRIDE","26Y")</f>
        <v/>
      </c>
      <c r="AM55" s="93">
        <f>BDP("=A55&amp;" US Equity"","BEST_EPS","BEST_FPERIOD_OVERRIDE","27Y")</f>
        <v/>
      </c>
      <c r="AN55" s="93">
        <f>BDP("=A55&amp;" US Equity"","BEST_EPS","BEST_FPERIOD_OVERRIDE","28Y")</f>
        <v/>
      </c>
      <c r="AP55" s="93">
        <f>BDP("=A55&amp;" US Equity"","BEST_SALES","BEST_FPERIOD_OVERRIDE","24Y")</f>
        <v/>
      </c>
      <c r="AQ55" s="93">
        <f>BDP("=A55&amp;" US Equity"","BEST_SALES","BEST_FPERIOD_OVERRIDE","25Y")</f>
        <v/>
      </c>
      <c r="AR55" s="93">
        <f>BDP("=A55&amp;" US Equity"","BEST_SALES","BEST_FPERIOD_OVERRIDE","26Y")</f>
        <v/>
      </c>
      <c r="AS55" s="93">
        <f>BDP("=A55&amp;" US Equity"","BEST_SALES","BEST_FPERIOD_OVERRIDE","27Y")</f>
        <v/>
      </c>
      <c r="AT55" s="93">
        <f>BDP("=A55&amp;" US Equity"","BEST_SALES","BEST_FPERIOD_OVERRIDE","28Y")</f>
        <v/>
      </c>
      <c r="AV55" s="93">
        <f>BDP("=A55&amp;" US Equity"","BEST_EBIT","BEST_FPERIOD_OVERRIDE","24Y")</f>
        <v/>
      </c>
      <c r="AW55" s="93">
        <f>BDP("=A55&amp;" US Equity"","BEST_EBIT","BEST_FPERIOD_OVERRIDE","25Y")</f>
        <v/>
      </c>
      <c r="AX55" s="93">
        <f>BDP("=A55&amp;" US Equity"","BEST_EBIT","BEST_FPERIOD_OVERRIDE","26Y")</f>
        <v/>
      </c>
      <c r="AY55" s="93">
        <f>BDP("=A55&amp;" US Equity"","BEST_EBIT","BEST_FPERIOD_OVERRIDE","27Y")</f>
        <v/>
      </c>
      <c r="AZ55" s="93">
        <f>BDP("=A55&amp;" US Equity"","BEST_EBIT","BEST_FPERIOD_OVERRIDE","28Y")</f>
        <v/>
      </c>
      <c r="BB55" s="68">
        <f>D55+BC55</f>
        <v/>
      </c>
      <c r="BC55" s="68">
        <f>AC55-AE55</f>
        <v/>
      </c>
      <c r="BD55" s="15">
        <f>D55</f>
        <v/>
      </c>
      <c r="BE55" s="99">
        <f>BDP("=A55&amp;" US Equity"","TRAIL_12M_EBITDA")</f>
        <v/>
      </c>
    </row>
    <row r="56">
      <c r="A56" t="inlineStr">
        <is>
          <t>AON</t>
        </is>
      </c>
      <c r="B56">
        <f>A56&amp;" US Equity"</f>
        <v/>
      </c>
      <c r="C56" s="15" t="inlineStr">
        <is>
          <t>Dec</t>
        </is>
      </c>
      <c r="D56" s="93">
        <f>BDP("=A56&amp;" US Equity"","CUR_MKT_CAP")/1000000000</f>
        <v/>
      </c>
      <c r="E56" s="94">
        <f>BDP("=A56&amp;" US Equity"","PX_LAST")</f>
        <v/>
      </c>
      <c r="F56" s="95">
        <f>IF(BDP("=A56&amp;" US Equity"","BEST_EPS","BEST_FPERIOD_OVERRIDE","26Y")&lt;&gt;0,$E$56/BDP("=A56&amp;" US Equity"","BEST_EPS","BEST_FPERIOD_OVERRIDE","26Y"),"")</f>
        <v/>
      </c>
      <c r="G56" s="95">
        <f>IF(BDP("=A56&amp;" US Equity"","BEST_EPS","BEST_FPERIOD_OVERRIDE","27Y")&lt;&gt;0,$E$56/BDP("=A56&amp;" US Equity"","BEST_EPS","BEST_FPERIOD_OVERRIDE","27Y"),"")</f>
        <v/>
      </c>
      <c r="H56" s="95">
        <f>IF(BDP("=A56&amp;" US Equity"","BEST_EPS","BEST_FPERIOD_OVERRIDE","28Y")&lt;&gt;0,$E$56/BDP("=A56&amp;" US Equity"","BEST_EPS","BEST_FPERIOD_OVERRIDE","28Y"),"")</f>
        <v/>
      </c>
      <c r="I56" s="96">
        <f>BDP("=A56&amp;" US Equity"","NET_DEBT_TO_EBITDA")</f>
        <v/>
      </c>
      <c r="J56" s="93">
        <f>BDP("=A56&amp;" US Equity"","BEST_SALES","BEST_FPERIOD_OVERRIDE","26Y")/1000</f>
        <v/>
      </c>
      <c r="K56" s="97">
        <f>IF(BDP("=A56&amp;" US Equity"","BEST_SALES","BEST_FPERIOD_OVERRIDE","26Y")&lt;&gt;0,BDP("=A56&amp;" US Equity"","BEST_EBIT","BEST_FPERIOD_OVERRIDE","26Y")/BDP("=A56&amp;" US Equity"","BEST_SALES","BEST_FPERIOD_OVERRIDE","26Y"),"")</f>
        <v/>
      </c>
      <c r="L56" s="97">
        <f>BDP("=A56&amp;" US Equity"","RETURN_ON_INV_CAPITAL")/100</f>
        <v/>
      </c>
      <c r="M56" s="97">
        <f>IF(AND(BDP("=A56&amp;" US Equity"","BEST_SALES","BEST_FPERIOD_OVERRIDE","25Y")&gt;0,BDP("=A56&amp;" US Equity"","BEST_SALES","BEST_FPERIOD_OVERRIDE","28Y")&gt;0),(BDP("=A56&amp;" US Equity"","BEST_SALES","BEST_FPERIOD_OVERRIDE","28Y")/BDP("=A56&amp;" US Equity"","BEST_SALES","BEST_FPERIOD_OVERRIDE","25Y"))^(1/3)-1,"")</f>
        <v/>
      </c>
      <c r="N56" s="97">
        <f>IF(AND(BDP("=A56&amp;" US Equity"","BEST_EBIT","BEST_FPERIOD_OVERRIDE","25Y")&gt;0,BDP("=A56&amp;" US Equity"","BEST_EBIT","BEST_FPERIOD_OVERRIDE","28Y")&gt;0),(BDP("=A56&amp;" US Equity"","BEST_EBIT","BEST_FPERIOD_OVERRIDE","28Y")/BDP("=A56&amp;" US Equity"","BEST_EBIT","BEST_FPERIOD_OVERRIDE","25Y"))^(1/3)-1,"")</f>
        <v/>
      </c>
      <c r="O56" s="97">
        <f>IF(AND(BDP("=A56&amp;" US Equity"","BEST_EPS","BEST_FPERIOD_OVERRIDE","25Y")&gt;0,BDP("=A56&amp;" US Equity"","BEST_EPS","BEST_FPERIOD_OVERRIDE","28Y")&gt;0),(BDP("=A56&amp;" US Equity"","BEST_EPS","BEST_FPERIOD_OVERRIDE","28Y")/BDP("=A56&amp;" US Equity"","BEST_EPS","BEST_FPERIOD_OVERRIDE","25Y"))^(1/3)-1,"")</f>
        <v/>
      </c>
      <c r="Q56" s="97">
        <f>BDP("=A56&amp;" US Equity"","CHG_PCT_YTD")/100</f>
        <v/>
      </c>
      <c r="T56" s="68">
        <f>IF(AND(F56&lt;&gt;"",O56&lt;&gt;"",O56&lt;&gt;0),F56/(O56*100),"")</f>
        <v/>
      </c>
      <c r="AB56" s="93">
        <f>BDP("=A56&amp;" US Equity"","TRAIL_12M_OPER_INC")</f>
        <v/>
      </c>
      <c r="AC56" s="93">
        <f>BDP("=A56&amp;" US Equity"","SHORT_AND_LONG_TERM_DEBT")</f>
        <v/>
      </c>
      <c r="AD56" s="93">
        <f>BDP("=A56&amp;" US Equity"","TOTAL_EQUITY")</f>
        <v/>
      </c>
      <c r="AE56" s="93">
        <f>BDP("=A56&amp;" US Equity"","BS_CASH_NEAR_CASH_ITEM")</f>
        <v/>
      </c>
      <c r="AF56" s="99">
        <f>BDP("=A56&amp;" US Equity"","BS_LT_INVEST")</f>
        <v/>
      </c>
      <c r="AG56" s="15">
        <f>AC56+AD56</f>
        <v/>
      </c>
      <c r="AH56" s="100">
        <f>BDP("=A56&amp;" US Equity"","RETURN_ON_INV_CAPITAL")/100</f>
        <v/>
      </c>
      <c r="AJ56" s="93">
        <f>BDP("=A56&amp;" US Equity"","BEST_EPS","BEST_FPERIOD_OVERRIDE","24Y")</f>
        <v/>
      </c>
      <c r="AK56" s="93">
        <f>BDP("=A56&amp;" US Equity"","BEST_EPS","BEST_FPERIOD_OVERRIDE","25Y")</f>
        <v/>
      </c>
      <c r="AL56" s="93">
        <f>BDP("=A56&amp;" US Equity"","BEST_EPS","BEST_FPERIOD_OVERRIDE","26Y")</f>
        <v/>
      </c>
      <c r="AM56" s="93">
        <f>BDP("=A56&amp;" US Equity"","BEST_EPS","BEST_FPERIOD_OVERRIDE","27Y")</f>
        <v/>
      </c>
      <c r="AN56" s="93">
        <f>BDP("=A56&amp;" US Equity"","BEST_EPS","BEST_FPERIOD_OVERRIDE","28Y")</f>
        <v/>
      </c>
      <c r="AP56" s="93">
        <f>BDP("=A56&amp;" US Equity"","BEST_SALES","BEST_FPERIOD_OVERRIDE","24Y")</f>
        <v/>
      </c>
      <c r="AQ56" s="93">
        <f>BDP("=A56&amp;" US Equity"","BEST_SALES","BEST_FPERIOD_OVERRIDE","25Y")</f>
        <v/>
      </c>
      <c r="AR56" s="93">
        <f>BDP("=A56&amp;" US Equity"","BEST_SALES","BEST_FPERIOD_OVERRIDE","26Y")</f>
        <v/>
      </c>
      <c r="AS56" s="93">
        <f>BDP("=A56&amp;" US Equity"","BEST_SALES","BEST_FPERIOD_OVERRIDE","27Y")</f>
        <v/>
      </c>
      <c r="AT56" s="93">
        <f>BDP("=A56&amp;" US Equity"","BEST_SALES","BEST_FPERIOD_OVERRIDE","28Y")</f>
        <v/>
      </c>
      <c r="AV56" s="93">
        <f>BDP("=A56&amp;" US Equity"","BEST_EBIT","BEST_FPERIOD_OVERRIDE","24Y")</f>
        <v/>
      </c>
      <c r="AW56" s="93">
        <f>BDP("=A56&amp;" US Equity"","BEST_EBIT","BEST_FPERIOD_OVERRIDE","25Y")</f>
        <v/>
      </c>
      <c r="AX56" s="93">
        <f>BDP("=A56&amp;" US Equity"","BEST_EBIT","BEST_FPERIOD_OVERRIDE","26Y")</f>
        <v/>
      </c>
      <c r="AY56" s="93">
        <f>BDP("=A56&amp;" US Equity"","BEST_EBIT","BEST_FPERIOD_OVERRIDE","27Y")</f>
        <v/>
      </c>
      <c r="AZ56" s="93">
        <f>BDP("=A56&amp;" US Equity"","BEST_EBIT","BEST_FPERIOD_OVERRIDE","28Y")</f>
        <v/>
      </c>
      <c r="BB56" s="68">
        <f>D56+BC56</f>
        <v/>
      </c>
      <c r="BC56" s="68">
        <f>AC56-AE56</f>
        <v/>
      </c>
      <c r="BD56" s="15">
        <f>D56</f>
        <v/>
      </c>
      <c r="BE56" s="99">
        <f>BDP("=A56&amp;" US Equity"","TRAIL_12M_EBITDA")</f>
        <v/>
      </c>
    </row>
    <row r="57">
      <c r="A57" t="inlineStr">
        <is>
          <t>MRSH</t>
        </is>
      </c>
      <c r="B57">
        <f>A57&amp;" US Equity"</f>
        <v/>
      </c>
      <c r="C57" s="15" t="inlineStr">
        <is>
          <t>Dec</t>
        </is>
      </c>
      <c r="D57" s="93">
        <f>BDP("=A57&amp;" US Equity"","CUR_MKT_CAP")/1000000000</f>
        <v/>
      </c>
      <c r="E57" s="94">
        <f>BDP("=A57&amp;" US Equity"","PX_LAST")</f>
        <v/>
      </c>
      <c r="F57" s="95">
        <f>IF(BDP("=A57&amp;" US Equity"","BEST_EPS","BEST_FPERIOD_OVERRIDE","26Y")&lt;&gt;0,$E$57/BDP("=A57&amp;" US Equity"","BEST_EPS","BEST_FPERIOD_OVERRIDE","26Y"),"")</f>
        <v/>
      </c>
      <c r="G57" s="95">
        <f>IF(BDP("=A57&amp;" US Equity"","BEST_EPS","BEST_FPERIOD_OVERRIDE","27Y")&lt;&gt;0,$E$57/BDP("=A57&amp;" US Equity"","BEST_EPS","BEST_FPERIOD_OVERRIDE","27Y"),"")</f>
        <v/>
      </c>
      <c r="H57" s="95">
        <f>IF(BDP("=A57&amp;" US Equity"","BEST_EPS","BEST_FPERIOD_OVERRIDE","28Y")&lt;&gt;0,$E$57/BDP("=A57&amp;" US Equity"","BEST_EPS","BEST_FPERIOD_OVERRIDE","28Y"),"")</f>
        <v/>
      </c>
      <c r="I57" s="96">
        <f>BDP("=A57&amp;" US Equity"","NET_DEBT_TO_EBITDA")</f>
        <v/>
      </c>
      <c r="J57" s="93">
        <f>BDP("=A57&amp;" US Equity"","BEST_SALES","BEST_FPERIOD_OVERRIDE","26Y")/1000</f>
        <v/>
      </c>
      <c r="K57" s="97">
        <f>IF(BDP("=A57&amp;" US Equity"","BEST_SALES","BEST_FPERIOD_OVERRIDE","26Y")&lt;&gt;0,BDP("=A57&amp;" US Equity"","BEST_EBIT","BEST_FPERIOD_OVERRIDE","26Y")/BDP("=A57&amp;" US Equity"","BEST_SALES","BEST_FPERIOD_OVERRIDE","26Y"),"")</f>
        <v/>
      </c>
      <c r="L57" s="97">
        <f>BDP("=A57&amp;" US Equity"","RETURN_ON_INV_CAPITAL")/100</f>
        <v/>
      </c>
      <c r="M57" s="97">
        <f>IF(AND(BDP("=A57&amp;" US Equity"","BEST_SALES","BEST_FPERIOD_OVERRIDE","25Y")&gt;0,BDP("=A57&amp;" US Equity"","BEST_SALES","BEST_FPERIOD_OVERRIDE","28Y")&gt;0),(BDP("=A57&amp;" US Equity"","BEST_SALES","BEST_FPERIOD_OVERRIDE","28Y")/BDP("=A57&amp;" US Equity"","BEST_SALES","BEST_FPERIOD_OVERRIDE","25Y"))^(1/3)-1,"")</f>
        <v/>
      </c>
      <c r="N57" s="97">
        <f>IF(AND(BDP("=A57&amp;" US Equity"","BEST_EBIT","BEST_FPERIOD_OVERRIDE","25Y")&gt;0,BDP("=A57&amp;" US Equity"","BEST_EBIT","BEST_FPERIOD_OVERRIDE","28Y")&gt;0),(BDP("=A57&amp;" US Equity"","BEST_EBIT","BEST_FPERIOD_OVERRIDE","28Y")/BDP("=A57&amp;" US Equity"","BEST_EBIT","BEST_FPERIOD_OVERRIDE","25Y"))^(1/3)-1,"")</f>
        <v/>
      </c>
      <c r="O57" s="97">
        <f>IF(AND(BDP("=A57&amp;" US Equity"","BEST_EPS","BEST_FPERIOD_OVERRIDE","25Y")&gt;0,BDP("=A57&amp;" US Equity"","BEST_EPS","BEST_FPERIOD_OVERRIDE","28Y")&gt;0),(BDP("=A57&amp;" US Equity"","BEST_EPS","BEST_FPERIOD_OVERRIDE","28Y")/BDP("=A57&amp;" US Equity"","BEST_EPS","BEST_FPERIOD_OVERRIDE","25Y"))^(1/3)-1,"")</f>
        <v/>
      </c>
      <c r="Q57" s="97">
        <f>BDP("=A57&amp;" US Equity"","CHG_PCT_YTD")/100</f>
        <v/>
      </c>
      <c r="T57" s="68">
        <f>IF(AND(F57&lt;&gt;"",O57&lt;&gt;"",O57&lt;&gt;0),F57/(O57*100),"")</f>
        <v/>
      </c>
      <c r="AB57" s="93">
        <f>BDP("=A57&amp;" US Equity"","TRAIL_12M_OPER_INC")</f>
        <v/>
      </c>
      <c r="AC57" s="93">
        <f>BDP("=A57&amp;" US Equity"","SHORT_AND_LONG_TERM_DEBT")</f>
        <v/>
      </c>
      <c r="AD57" s="93">
        <f>BDP("=A57&amp;" US Equity"","TOTAL_EQUITY")</f>
        <v/>
      </c>
      <c r="AE57" s="93">
        <f>BDP("=A57&amp;" US Equity"","BS_CASH_NEAR_CASH_ITEM")</f>
        <v/>
      </c>
      <c r="AF57" s="99">
        <f>BDP("=A57&amp;" US Equity"","BS_LT_INVEST")</f>
        <v/>
      </c>
      <c r="AG57" s="15">
        <f>AC57+AD57</f>
        <v/>
      </c>
      <c r="AH57" s="100">
        <f>BDP("=A57&amp;" US Equity"","RETURN_ON_INV_CAPITAL")/100</f>
        <v/>
      </c>
      <c r="AJ57" s="93">
        <f>BDP("=A57&amp;" US Equity"","BEST_EPS","BEST_FPERIOD_OVERRIDE","24Y")</f>
        <v/>
      </c>
      <c r="AK57" s="93">
        <f>BDP("=A57&amp;" US Equity"","BEST_EPS","BEST_FPERIOD_OVERRIDE","25Y")</f>
        <v/>
      </c>
      <c r="AL57" s="93">
        <f>BDP("=A57&amp;" US Equity"","BEST_EPS","BEST_FPERIOD_OVERRIDE","26Y")</f>
        <v/>
      </c>
      <c r="AM57" s="93">
        <f>BDP("=A57&amp;" US Equity"","BEST_EPS","BEST_FPERIOD_OVERRIDE","27Y")</f>
        <v/>
      </c>
      <c r="AN57" s="93">
        <f>BDP("=A57&amp;" US Equity"","BEST_EPS","BEST_FPERIOD_OVERRIDE","28Y")</f>
        <v/>
      </c>
      <c r="AP57" s="93">
        <f>BDP("=A57&amp;" US Equity"","BEST_SALES","BEST_FPERIOD_OVERRIDE","24Y")</f>
        <v/>
      </c>
      <c r="AQ57" s="93">
        <f>BDP("=A57&amp;" US Equity"","BEST_SALES","BEST_FPERIOD_OVERRIDE","25Y")</f>
        <v/>
      </c>
      <c r="AR57" s="93">
        <f>BDP("=A57&amp;" US Equity"","BEST_SALES","BEST_FPERIOD_OVERRIDE","26Y")</f>
        <v/>
      </c>
      <c r="AS57" s="93">
        <f>BDP("=A57&amp;" US Equity"","BEST_SALES","BEST_FPERIOD_OVERRIDE","27Y")</f>
        <v/>
      </c>
      <c r="AT57" s="93">
        <f>BDP("=A57&amp;" US Equity"","BEST_SALES","BEST_FPERIOD_OVERRIDE","28Y")</f>
        <v/>
      </c>
      <c r="AV57" s="93">
        <f>BDP("=A57&amp;" US Equity"","BEST_EBIT","BEST_FPERIOD_OVERRIDE","24Y")</f>
        <v/>
      </c>
      <c r="AW57" s="93">
        <f>BDP("=A57&amp;" US Equity"","BEST_EBIT","BEST_FPERIOD_OVERRIDE","25Y")</f>
        <v/>
      </c>
      <c r="AX57" s="93">
        <f>BDP("=A57&amp;" US Equity"","BEST_EBIT","BEST_FPERIOD_OVERRIDE","26Y")</f>
        <v/>
      </c>
      <c r="AY57" s="93">
        <f>BDP("=A57&amp;" US Equity"","BEST_EBIT","BEST_FPERIOD_OVERRIDE","27Y")</f>
        <v/>
      </c>
      <c r="AZ57" s="93">
        <f>BDP("=A57&amp;" US Equity"","BEST_EBIT","BEST_FPERIOD_OVERRIDE","28Y")</f>
        <v/>
      </c>
      <c r="BB57" s="68">
        <f>D57+BC57</f>
        <v/>
      </c>
      <c r="BC57" s="68">
        <f>AC57-AE57</f>
        <v/>
      </c>
      <c r="BD57" s="15">
        <f>D57</f>
        <v/>
      </c>
      <c r="BE57" s="99">
        <f>BDP("=A57&amp;" US Equity"","TRAIL_12M_EBITDA")</f>
        <v/>
      </c>
    </row>
    <row r="58">
      <c r="A58" t="inlineStr">
        <is>
          <t>MSCI</t>
        </is>
      </c>
      <c r="B58">
        <f>A58&amp;" US Equity"</f>
        <v/>
      </c>
      <c r="C58" s="15" t="inlineStr">
        <is>
          <t>Dec</t>
        </is>
      </c>
      <c r="D58" s="93">
        <f>BDP("=A58&amp;" US Equity"","CUR_MKT_CAP")/1000000000</f>
        <v/>
      </c>
      <c r="E58" s="94">
        <f>BDP("=A58&amp;" US Equity"","PX_LAST")</f>
        <v/>
      </c>
      <c r="F58" s="95">
        <f>IF(BDP("=A58&amp;" US Equity"","BEST_EPS","BEST_FPERIOD_OVERRIDE","26Y")&lt;&gt;0,$E$58/BDP("=A58&amp;" US Equity"","BEST_EPS","BEST_FPERIOD_OVERRIDE","26Y"),"")</f>
        <v/>
      </c>
      <c r="G58" s="95">
        <f>IF(BDP("=A58&amp;" US Equity"","BEST_EPS","BEST_FPERIOD_OVERRIDE","27Y")&lt;&gt;0,$E$58/BDP("=A58&amp;" US Equity"","BEST_EPS","BEST_FPERIOD_OVERRIDE","27Y"),"")</f>
        <v/>
      </c>
      <c r="H58" s="95">
        <f>IF(BDP("=A58&amp;" US Equity"","BEST_EPS","BEST_FPERIOD_OVERRIDE","28Y")&lt;&gt;0,$E$58/BDP("=A58&amp;" US Equity"","BEST_EPS","BEST_FPERIOD_OVERRIDE","28Y"),"")</f>
        <v/>
      </c>
      <c r="I58" s="96">
        <f>BDP("=A58&amp;" US Equity"","NET_DEBT_TO_EBITDA")</f>
        <v/>
      </c>
      <c r="J58" s="93">
        <f>BDP("=A58&amp;" US Equity"","BEST_SALES","BEST_FPERIOD_OVERRIDE","26Y")/1000</f>
        <v/>
      </c>
      <c r="K58" s="97">
        <f>IF(BDP("=A58&amp;" US Equity"","BEST_SALES","BEST_FPERIOD_OVERRIDE","26Y")&lt;&gt;0,BDP("=A58&amp;" US Equity"","BEST_EBIT","BEST_FPERIOD_OVERRIDE","26Y")/BDP("=A58&amp;" US Equity"","BEST_SALES","BEST_FPERIOD_OVERRIDE","26Y"),"")</f>
        <v/>
      </c>
      <c r="L58" s="97">
        <f>BDP("=A58&amp;" US Equity"","RETURN_ON_INV_CAPITAL")/100</f>
        <v/>
      </c>
      <c r="M58" s="97">
        <f>IF(AND(BDP("=A58&amp;" US Equity"","BEST_SALES","BEST_FPERIOD_OVERRIDE","25Y")&gt;0,BDP("=A58&amp;" US Equity"","BEST_SALES","BEST_FPERIOD_OVERRIDE","28Y")&gt;0),(BDP("=A58&amp;" US Equity"","BEST_SALES","BEST_FPERIOD_OVERRIDE","28Y")/BDP("=A58&amp;" US Equity"","BEST_SALES","BEST_FPERIOD_OVERRIDE","25Y"))^(1/3)-1,"")</f>
        <v/>
      </c>
      <c r="N58" s="97">
        <f>IF(AND(BDP("=A58&amp;" US Equity"","BEST_EBIT","BEST_FPERIOD_OVERRIDE","25Y")&gt;0,BDP("=A58&amp;" US Equity"","BEST_EBIT","BEST_FPERIOD_OVERRIDE","28Y")&gt;0),(BDP("=A58&amp;" US Equity"","BEST_EBIT","BEST_FPERIOD_OVERRIDE","28Y")/BDP("=A58&amp;" US Equity"","BEST_EBIT","BEST_FPERIOD_OVERRIDE","25Y"))^(1/3)-1,"")</f>
        <v/>
      </c>
      <c r="O58" s="97">
        <f>IF(AND(BDP("=A58&amp;" US Equity"","BEST_EPS","BEST_FPERIOD_OVERRIDE","25Y")&gt;0,BDP("=A58&amp;" US Equity"","BEST_EPS","BEST_FPERIOD_OVERRIDE","28Y")&gt;0),(BDP("=A58&amp;" US Equity"","BEST_EPS","BEST_FPERIOD_OVERRIDE","28Y")/BDP("=A58&amp;" US Equity"","BEST_EPS","BEST_FPERIOD_OVERRIDE","25Y"))^(1/3)-1,"")</f>
        <v/>
      </c>
      <c r="Q58" s="97">
        <f>BDP("=A58&amp;" US Equity"","CHG_PCT_YTD")/100</f>
        <v/>
      </c>
      <c r="T58" s="68">
        <f>IF(AND(F58&lt;&gt;"",O58&lt;&gt;"",O58&lt;&gt;0),F58/(O58*100),"")</f>
        <v/>
      </c>
      <c r="AB58" s="93">
        <f>BDP("=A58&amp;" US Equity"","TRAIL_12M_OPER_INC")</f>
        <v/>
      </c>
      <c r="AC58" s="93">
        <f>BDP("=A58&amp;" US Equity"","SHORT_AND_LONG_TERM_DEBT")</f>
        <v/>
      </c>
      <c r="AD58" s="93">
        <f>BDP("=A58&amp;" US Equity"","TOTAL_EQUITY")</f>
        <v/>
      </c>
      <c r="AE58" s="93">
        <f>BDP("=A58&amp;" US Equity"","BS_CASH_NEAR_CASH_ITEM")</f>
        <v/>
      </c>
      <c r="AF58" s="99">
        <f>BDP("=A58&amp;" US Equity"","BS_LT_INVEST")</f>
        <v/>
      </c>
      <c r="AG58" s="15">
        <f>AC58+AD58</f>
        <v/>
      </c>
      <c r="AH58" s="100">
        <f>BDP("=A58&amp;" US Equity"","RETURN_ON_INV_CAPITAL")/100</f>
        <v/>
      </c>
      <c r="AJ58" s="93">
        <f>BDP("=A58&amp;" US Equity"","BEST_EPS","BEST_FPERIOD_OVERRIDE","24Y")</f>
        <v/>
      </c>
      <c r="AK58" s="93">
        <f>BDP("=A58&amp;" US Equity"","BEST_EPS","BEST_FPERIOD_OVERRIDE","25Y")</f>
        <v/>
      </c>
      <c r="AL58" s="93">
        <f>BDP("=A58&amp;" US Equity"","BEST_EPS","BEST_FPERIOD_OVERRIDE","26Y")</f>
        <v/>
      </c>
      <c r="AM58" s="93">
        <f>BDP("=A58&amp;" US Equity"","BEST_EPS","BEST_FPERIOD_OVERRIDE","27Y")</f>
        <v/>
      </c>
      <c r="AN58" s="93">
        <f>BDP("=A58&amp;" US Equity"","BEST_EPS","BEST_FPERIOD_OVERRIDE","28Y")</f>
        <v/>
      </c>
      <c r="AP58" s="93">
        <f>BDP("=A58&amp;" US Equity"","BEST_SALES","BEST_FPERIOD_OVERRIDE","24Y")</f>
        <v/>
      </c>
      <c r="AQ58" s="93">
        <f>BDP("=A58&amp;" US Equity"","BEST_SALES","BEST_FPERIOD_OVERRIDE","25Y")</f>
        <v/>
      </c>
      <c r="AR58" s="93">
        <f>BDP("=A58&amp;" US Equity"","BEST_SALES","BEST_FPERIOD_OVERRIDE","26Y")</f>
        <v/>
      </c>
      <c r="AS58" s="93">
        <f>BDP("=A58&amp;" US Equity"","BEST_SALES","BEST_FPERIOD_OVERRIDE","27Y")</f>
        <v/>
      </c>
      <c r="AT58" s="93">
        <f>BDP("=A58&amp;" US Equity"","BEST_SALES","BEST_FPERIOD_OVERRIDE","28Y")</f>
        <v/>
      </c>
      <c r="AV58" s="93">
        <f>BDP("=A58&amp;" US Equity"","BEST_EBIT","BEST_FPERIOD_OVERRIDE","24Y")</f>
        <v/>
      </c>
      <c r="AW58" s="93">
        <f>BDP("=A58&amp;" US Equity"","BEST_EBIT","BEST_FPERIOD_OVERRIDE","25Y")</f>
        <v/>
      </c>
      <c r="AX58" s="93">
        <f>BDP("=A58&amp;" US Equity"","BEST_EBIT","BEST_FPERIOD_OVERRIDE","26Y")</f>
        <v/>
      </c>
      <c r="AY58" s="93">
        <f>BDP("=A58&amp;" US Equity"","BEST_EBIT","BEST_FPERIOD_OVERRIDE","27Y")</f>
        <v/>
      </c>
      <c r="AZ58" s="93">
        <f>BDP("=A58&amp;" US Equity"","BEST_EBIT","BEST_FPERIOD_OVERRIDE","28Y")</f>
        <v/>
      </c>
      <c r="BB58" s="68">
        <f>D58+BC58</f>
        <v/>
      </c>
      <c r="BC58" s="68">
        <f>AC58-AE58</f>
        <v/>
      </c>
      <c r="BD58" s="15">
        <f>D58</f>
        <v/>
      </c>
      <c r="BE58" s="99">
        <f>BDP("=A58&amp;" US Equity"","TRAIL_12M_EBITDA")</f>
        <v/>
      </c>
    </row>
    <row r="59">
      <c r="A59" t="inlineStr">
        <is>
          <t>FICO</t>
        </is>
      </c>
      <c r="B59">
        <f>A59&amp;" US Equity"</f>
        <v/>
      </c>
      <c r="C59" s="15" t="inlineStr">
        <is>
          <t>Dec</t>
        </is>
      </c>
      <c r="D59" s="93">
        <f>BDP("=A59&amp;" US Equity"","CUR_MKT_CAP")/1000000000</f>
        <v/>
      </c>
      <c r="E59" s="94">
        <f>BDP("=A59&amp;" US Equity"","PX_LAST")</f>
        <v/>
      </c>
      <c r="F59" s="95">
        <f>IF(BDP("=A59&amp;" US Equity"","BEST_EPS","BEST_FPERIOD_OVERRIDE","26Y")&lt;&gt;0,$E$59/BDP("=A59&amp;" US Equity"","BEST_EPS","BEST_FPERIOD_OVERRIDE","26Y"),"")</f>
        <v/>
      </c>
      <c r="G59" s="95">
        <f>IF(BDP("=A59&amp;" US Equity"","BEST_EPS","BEST_FPERIOD_OVERRIDE","27Y")&lt;&gt;0,$E$59/BDP("=A59&amp;" US Equity"","BEST_EPS","BEST_FPERIOD_OVERRIDE","27Y"),"")</f>
        <v/>
      </c>
      <c r="H59" s="95">
        <f>IF(BDP("=A59&amp;" US Equity"","BEST_EPS","BEST_FPERIOD_OVERRIDE","28Y")&lt;&gt;0,$E$59/BDP("=A59&amp;" US Equity"","BEST_EPS","BEST_FPERIOD_OVERRIDE","28Y"),"")</f>
        <v/>
      </c>
      <c r="I59" s="96">
        <f>BDP("=A59&amp;" US Equity"","NET_DEBT_TO_EBITDA")</f>
        <v/>
      </c>
      <c r="J59" s="93">
        <f>BDP("=A59&amp;" US Equity"","BEST_SALES","BEST_FPERIOD_OVERRIDE","26Y")/1000</f>
        <v/>
      </c>
      <c r="K59" s="97">
        <f>IF(BDP("=A59&amp;" US Equity"","BEST_SALES","BEST_FPERIOD_OVERRIDE","26Y")&lt;&gt;0,BDP("=A59&amp;" US Equity"","BEST_EBIT","BEST_FPERIOD_OVERRIDE","26Y")/BDP("=A59&amp;" US Equity"","BEST_SALES","BEST_FPERIOD_OVERRIDE","26Y"),"")</f>
        <v/>
      </c>
      <c r="L59" s="97">
        <f>BDP("=A59&amp;" US Equity"","RETURN_ON_INV_CAPITAL")/100</f>
        <v/>
      </c>
      <c r="M59" s="97">
        <f>IF(AND(BDP("=A59&amp;" US Equity"","BEST_SALES","BEST_FPERIOD_OVERRIDE","25Y")&gt;0,BDP("=A59&amp;" US Equity"","BEST_SALES","BEST_FPERIOD_OVERRIDE","28Y")&gt;0),(BDP("=A59&amp;" US Equity"","BEST_SALES","BEST_FPERIOD_OVERRIDE","28Y")/BDP("=A59&amp;" US Equity"","BEST_SALES","BEST_FPERIOD_OVERRIDE","25Y"))^(1/3)-1,"")</f>
        <v/>
      </c>
      <c r="N59" s="97">
        <f>IF(AND(BDP("=A59&amp;" US Equity"","BEST_EBIT","BEST_FPERIOD_OVERRIDE","25Y")&gt;0,BDP("=A59&amp;" US Equity"","BEST_EBIT","BEST_FPERIOD_OVERRIDE","28Y")&gt;0),(BDP("=A59&amp;" US Equity"","BEST_EBIT","BEST_FPERIOD_OVERRIDE","28Y")/BDP("=A59&amp;" US Equity"","BEST_EBIT","BEST_FPERIOD_OVERRIDE","25Y"))^(1/3)-1,"")</f>
        <v/>
      </c>
      <c r="O59" s="97">
        <f>IF(AND(BDP("=A59&amp;" US Equity"","BEST_EPS","BEST_FPERIOD_OVERRIDE","25Y")&gt;0,BDP("=A59&amp;" US Equity"","BEST_EPS","BEST_FPERIOD_OVERRIDE","28Y")&gt;0),(BDP("=A59&amp;" US Equity"","BEST_EPS","BEST_FPERIOD_OVERRIDE","28Y")/BDP("=A59&amp;" US Equity"","BEST_EPS","BEST_FPERIOD_OVERRIDE","25Y"))^(1/3)-1,"")</f>
        <v/>
      </c>
      <c r="Q59" s="97">
        <f>BDP("=A59&amp;" US Equity"","CHG_PCT_YTD")/100</f>
        <v/>
      </c>
      <c r="T59" s="68">
        <f>IF(AND(F59&lt;&gt;"",O59&lt;&gt;"",O59&lt;&gt;0),F59/(O59*100),"")</f>
        <v/>
      </c>
      <c r="AB59" s="93">
        <f>BDP("=A59&amp;" US Equity"","TRAIL_12M_OPER_INC")</f>
        <v/>
      </c>
      <c r="AC59" s="93">
        <f>BDP("=A59&amp;" US Equity"","SHORT_AND_LONG_TERM_DEBT")</f>
        <v/>
      </c>
      <c r="AD59" s="93">
        <f>BDP("=A59&amp;" US Equity"","TOTAL_EQUITY")</f>
        <v/>
      </c>
      <c r="AE59" s="93">
        <f>BDP("=A59&amp;" US Equity"","BS_CASH_NEAR_CASH_ITEM")</f>
        <v/>
      </c>
      <c r="AF59" s="99">
        <f>BDP("=A59&amp;" US Equity"","BS_LT_INVEST")</f>
        <v/>
      </c>
      <c r="AG59" s="15">
        <f>AC59+AD59</f>
        <v/>
      </c>
      <c r="AH59" s="100">
        <f>BDP("=A59&amp;" US Equity"","RETURN_ON_INV_CAPITAL")/100</f>
        <v/>
      </c>
      <c r="AJ59" s="93">
        <f>BDP("=A59&amp;" US Equity"","BEST_EPS","BEST_FPERIOD_OVERRIDE","24Y")</f>
        <v/>
      </c>
      <c r="AK59" s="93">
        <f>BDP("=A59&amp;" US Equity"","BEST_EPS","BEST_FPERIOD_OVERRIDE","25Y")</f>
        <v/>
      </c>
      <c r="AL59" s="93">
        <f>BDP("=A59&amp;" US Equity"","BEST_EPS","BEST_FPERIOD_OVERRIDE","26Y")</f>
        <v/>
      </c>
      <c r="AM59" s="93">
        <f>BDP("=A59&amp;" US Equity"","BEST_EPS","BEST_FPERIOD_OVERRIDE","27Y")</f>
        <v/>
      </c>
      <c r="AN59" s="93">
        <f>BDP("=A59&amp;" US Equity"","BEST_EPS","BEST_FPERIOD_OVERRIDE","28Y")</f>
        <v/>
      </c>
      <c r="AP59" s="93">
        <f>BDP("=A59&amp;" US Equity"","BEST_SALES","BEST_FPERIOD_OVERRIDE","24Y")</f>
        <v/>
      </c>
      <c r="AQ59" s="93">
        <f>BDP("=A59&amp;" US Equity"","BEST_SALES","BEST_FPERIOD_OVERRIDE","25Y")</f>
        <v/>
      </c>
      <c r="AR59" s="93">
        <f>BDP("=A59&amp;" US Equity"","BEST_SALES","BEST_FPERIOD_OVERRIDE","26Y")</f>
        <v/>
      </c>
      <c r="AS59" s="93">
        <f>BDP("=A59&amp;" US Equity"","BEST_SALES","BEST_FPERIOD_OVERRIDE","27Y")</f>
        <v/>
      </c>
      <c r="AT59" s="93">
        <f>BDP("=A59&amp;" US Equity"","BEST_SALES","BEST_FPERIOD_OVERRIDE","28Y")</f>
        <v/>
      </c>
      <c r="AV59" s="93">
        <f>BDP("=A59&amp;" US Equity"","BEST_EBIT","BEST_FPERIOD_OVERRIDE","24Y")</f>
        <v/>
      </c>
      <c r="AW59" s="93">
        <f>BDP("=A59&amp;" US Equity"","BEST_EBIT","BEST_FPERIOD_OVERRIDE","25Y")</f>
        <v/>
      </c>
      <c r="AX59" s="93">
        <f>BDP("=A59&amp;" US Equity"","BEST_EBIT","BEST_FPERIOD_OVERRIDE","26Y")</f>
        <v/>
      </c>
      <c r="AY59" s="93">
        <f>BDP("=A59&amp;" US Equity"","BEST_EBIT","BEST_FPERIOD_OVERRIDE","27Y")</f>
        <v/>
      </c>
      <c r="AZ59" s="93">
        <f>BDP("=A59&amp;" US Equity"","BEST_EBIT","BEST_FPERIOD_OVERRIDE","28Y")</f>
        <v/>
      </c>
      <c r="BB59" s="68">
        <f>D59+BC59</f>
        <v/>
      </c>
      <c r="BC59" s="68">
        <f>AC59-AE59</f>
        <v/>
      </c>
      <c r="BD59" s="15">
        <f>D59</f>
        <v/>
      </c>
      <c r="BE59" s="99">
        <f>BDP("=A59&amp;" US Equity"","TRAIL_12M_EBITDA")</f>
        <v/>
      </c>
    </row>
    <row r="60">
      <c r="A60" t="inlineStr">
        <is>
          <t>PGR</t>
        </is>
      </c>
      <c r="B60">
        <f>A60&amp;" US Equity"</f>
        <v/>
      </c>
      <c r="C60" s="15" t="inlineStr">
        <is>
          <t>Dec</t>
        </is>
      </c>
      <c r="D60" s="93">
        <f>BDP("=A60&amp;" US Equity"","CUR_MKT_CAP")/1000000000</f>
        <v/>
      </c>
      <c r="E60" s="94">
        <f>BDP("=A60&amp;" US Equity"","PX_LAST")</f>
        <v/>
      </c>
      <c r="F60" s="95">
        <f>IF(BDP("=A60&amp;" US Equity"","BEST_EPS","BEST_FPERIOD_OVERRIDE","26Y")&lt;&gt;0,$E$60/BDP("=A60&amp;" US Equity"","BEST_EPS","BEST_FPERIOD_OVERRIDE","26Y"),"")</f>
        <v/>
      </c>
      <c r="G60" s="95">
        <f>IF(BDP("=A60&amp;" US Equity"","BEST_EPS","BEST_FPERIOD_OVERRIDE","27Y")&lt;&gt;0,$E$60/BDP("=A60&amp;" US Equity"","BEST_EPS","BEST_FPERIOD_OVERRIDE","27Y"),"")</f>
        <v/>
      </c>
      <c r="H60" s="95">
        <f>IF(BDP("=A60&amp;" US Equity"","BEST_EPS","BEST_FPERIOD_OVERRIDE","28Y")&lt;&gt;0,$E$60/BDP("=A60&amp;" US Equity"","BEST_EPS","BEST_FPERIOD_OVERRIDE","28Y"),"")</f>
        <v/>
      </c>
      <c r="I60" s="93">
        <f>BDP("=A60&amp;" US Equity"","NET_DEBT_TO_EBITDA")</f>
        <v/>
      </c>
      <c r="J60" s="93">
        <f>BDP("=A60&amp;" US Equity"","BEST_SALES","BEST_FPERIOD_OVERRIDE","26Y")/1000</f>
        <v/>
      </c>
      <c r="K60" s="97">
        <f>IF(BDP("=A60&amp;" US Equity"","BEST_SALES","BEST_FPERIOD_OVERRIDE","26Y")&lt;&gt;0,BDP("=A60&amp;" US Equity"","BEST_EBIT","BEST_FPERIOD_OVERRIDE","26Y")/BDP("=A60&amp;" US Equity"","BEST_SALES","BEST_FPERIOD_OVERRIDE","26Y"),"")</f>
        <v/>
      </c>
      <c r="L60" s="93">
        <f>BDP("=A60&amp;" US Equity"","RETURN_ON_INV_CAPITAL")/100</f>
        <v/>
      </c>
      <c r="M60" s="97">
        <f>IF(AND(BDP("=A60&amp;" US Equity"","BEST_SALES","BEST_FPERIOD_OVERRIDE","25Y")&gt;0,BDP("=A60&amp;" US Equity"","BEST_SALES","BEST_FPERIOD_OVERRIDE","28Y")&gt;0),(BDP("=A60&amp;" US Equity"","BEST_SALES","BEST_FPERIOD_OVERRIDE","28Y")/BDP("=A60&amp;" US Equity"","BEST_SALES","BEST_FPERIOD_OVERRIDE","25Y"))^(1/3)-1,"")</f>
        <v/>
      </c>
      <c r="N60" s="93">
        <f>IF(AND(BDP("=A60&amp;" US Equity"","BEST_EBIT","BEST_FPERIOD_OVERRIDE","25Y")&gt;0,BDP("=A60&amp;" US Equity"","BEST_EBIT","BEST_FPERIOD_OVERRIDE","28Y")&gt;0),(BDP("=A60&amp;" US Equity"","BEST_EBIT","BEST_FPERIOD_OVERRIDE","28Y")/BDP("=A60&amp;" US Equity"","BEST_EBIT","BEST_FPERIOD_OVERRIDE","25Y"))^(1/3)-1,"")</f>
        <v/>
      </c>
      <c r="O60" s="97">
        <f>IF(AND(BDP("=A60&amp;" US Equity"","BEST_EPS","BEST_FPERIOD_OVERRIDE","25Y")&gt;0,BDP("=A60&amp;" US Equity"","BEST_EPS","BEST_FPERIOD_OVERRIDE","28Y")&gt;0),(BDP("=A60&amp;" US Equity"","BEST_EPS","BEST_FPERIOD_OVERRIDE","28Y")/BDP("=A60&amp;" US Equity"","BEST_EPS","BEST_FPERIOD_OVERRIDE","25Y"))^(1/3)-1,"")</f>
        <v/>
      </c>
      <c r="Q60" s="97">
        <f>BDP("=A60&amp;" US Equity"","CHG_PCT_YTD")/100</f>
        <v/>
      </c>
      <c r="T60" s="68">
        <f>IF(AND(F60&lt;&gt;"",O60&lt;&gt;"",O60&lt;&gt;0),F60/(O60*100),"")</f>
        <v/>
      </c>
      <c r="AB60" s="93">
        <f>BDP("=A60&amp;" US Equity"","TRAIL_12M_OPER_INC")</f>
        <v/>
      </c>
      <c r="AC60" s="93">
        <f>BDP("=A60&amp;" US Equity"","SHORT_AND_LONG_TERM_DEBT")</f>
        <v/>
      </c>
      <c r="AD60" s="93">
        <f>BDP("=A60&amp;" US Equity"","TOTAL_EQUITY")</f>
        <v/>
      </c>
      <c r="AE60" s="93">
        <f>BDP("=A60&amp;" US Equity"","BS_CASH_NEAR_CASH_ITEM")</f>
        <v/>
      </c>
      <c r="AF60" s="99">
        <f>BDP("=A60&amp;" US Equity"","BS_LT_INVEST")</f>
        <v/>
      </c>
      <c r="AG60" s="15">
        <f>AC60+AD60</f>
        <v/>
      </c>
      <c r="AH60" s="100">
        <f>BDP("=A60&amp;" US Equity"","RETURN_ON_INV_CAPITAL")/100</f>
        <v/>
      </c>
      <c r="AJ60" s="93">
        <f>BDP("=A60&amp;" US Equity"","BEST_EPS","BEST_FPERIOD_OVERRIDE","24Y")</f>
        <v/>
      </c>
      <c r="AK60" s="93">
        <f>BDP("=A60&amp;" US Equity"","BEST_EPS","BEST_FPERIOD_OVERRIDE","25Y")</f>
        <v/>
      </c>
      <c r="AL60" s="93">
        <f>BDP("=A60&amp;" US Equity"","BEST_EPS","BEST_FPERIOD_OVERRIDE","26Y")</f>
        <v/>
      </c>
      <c r="AM60" s="93">
        <f>BDP("=A60&amp;" US Equity"","BEST_EPS","BEST_FPERIOD_OVERRIDE","27Y")</f>
        <v/>
      </c>
      <c r="AN60" s="93">
        <f>BDP("=A60&amp;" US Equity"","BEST_EPS","BEST_FPERIOD_OVERRIDE","28Y")</f>
        <v/>
      </c>
      <c r="AP60" s="93">
        <f>BDP("=A60&amp;" US Equity"","BEST_SALES","BEST_FPERIOD_OVERRIDE","24Y")</f>
        <v/>
      </c>
      <c r="AQ60" s="93">
        <f>BDP("=A60&amp;" US Equity"","BEST_SALES","BEST_FPERIOD_OVERRIDE","25Y")</f>
        <v/>
      </c>
      <c r="AR60" s="93">
        <f>BDP("=A60&amp;" US Equity"","BEST_SALES","BEST_FPERIOD_OVERRIDE","26Y")</f>
        <v/>
      </c>
      <c r="AS60" s="93">
        <f>BDP("=A60&amp;" US Equity"","BEST_SALES","BEST_FPERIOD_OVERRIDE","27Y")</f>
        <v/>
      </c>
      <c r="AT60" s="93">
        <f>BDP("=A60&amp;" US Equity"","BEST_SALES","BEST_FPERIOD_OVERRIDE","28Y")</f>
        <v/>
      </c>
      <c r="AV60" s="93">
        <f>BDP("=A60&amp;" US Equity"","BEST_EBIT","BEST_FPERIOD_OVERRIDE","24Y")</f>
        <v/>
      </c>
      <c r="AW60" s="93">
        <f>BDP("=A60&amp;" US Equity"","BEST_EBIT","BEST_FPERIOD_OVERRIDE","25Y")</f>
        <v/>
      </c>
      <c r="AX60" s="93">
        <f>BDP("=A60&amp;" US Equity"","BEST_EBIT","BEST_FPERIOD_OVERRIDE","26Y")</f>
        <v/>
      </c>
      <c r="AY60" s="93">
        <f>BDP("=A60&amp;" US Equity"","BEST_EBIT","BEST_FPERIOD_OVERRIDE","27Y")</f>
        <v/>
      </c>
      <c r="AZ60" s="93">
        <f>BDP("=A60&amp;" US Equity"","BEST_EBIT","BEST_FPERIOD_OVERRIDE","28Y")</f>
        <v/>
      </c>
      <c r="BB60" s="68">
        <f>D60+BC60</f>
        <v/>
      </c>
      <c r="BC60" s="68">
        <f>AC60-AE60</f>
        <v/>
      </c>
      <c r="BD60" s="15">
        <f>D60</f>
        <v/>
      </c>
      <c r="BE60" s="99">
        <f>BDP("=A60&amp;" US Equity"","TRAIL_12M_EBITDA")</f>
        <v/>
      </c>
    </row>
    <row r="61">
      <c r="A61" t="inlineStr">
        <is>
          <t>CME</t>
        </is>
      </c>
      <c r="B61">
        <f>A61&amp;" US Equity"</f>
        <v/>
      </c>
      <c r="C61" s="15" t="inlineStr">
        <is>
          <t>Dec</t>
        </is>
      </c>
      <c r="D61" s="93">
        <f>BDP("=A61&amp;" US Equity"","CUR_MKT_CAP")/1000000000</f>
        <v/>
      </c>
      <c r="E61" s="94">
        <f>BDP("=A61&amp;" US Equity"","PX_LAST")</f>
        <v/>
      </c>
      <c r="F61" s="95">
        <f>IF(BDP("=A61&amp;" US Equity"","BEST_EPS","BEST_FPERIOD_OVERRIDE","26Y")&lt;&gt;0,$E$61/BDP("=A61&amp;" US Equity"","BEST_EPS","BEST_FPERIOD_OVERRIDE","26Y"),"")</f>
        <v/>
      </c>
      <c r="G61" s="95">
        <f>IF(BDP("=A61&amp;" US Equity"","BEST_EPS","BEST_FPERIOD_OVERRIDE","27Y")&lt;&gt;0,$E$61/BDP("=A61&amp;" US Equity"","BEST_EPS","BEST_FPERIOD_OVERRIDE","27Y"),"")</f>
        <v/>
      </c>
      <c r="H61" s="95">
        <f>IF(BDP("=A61&amp;" US Equity"","BEST_EPS","BEST_FPERIOD_OVERRIDE","28Y")&lt;&gt;0,$E$61/BDP("=A61&amp;" US Equity"","BEST_EPS","BEST_FPERIOD_OVERRIDE","28Y"),"")</f>
        <v/>
      </c>
      <c r="I61" s="96">
        <f>BDP("=A61&amp;" US Equity"","NET_DEBT_TO_EBITDA")</f>
        <v/>
      </c>
      <c r="J61" s="93">
        <f>BDP("=A61&amp;" US Equity"","BEST_SALES","BEST_FPERIOD_OVERRIDE","26Y")/1000</f>
        <v/>
      </c>
      <c r="K61" s="97">
        <f>IF(BDP("=A61&amp;" US Equity"","BEST_SALES","BEST_FPERIOD_OVERRIDE","26Y")&lt;&gt;0,BDP("=A61&amp;" US Equity"","BEST_EBIT","BEST_FPERIOD_OVERRIDE","26Y")/BDP("=A61&amp;" US Equity"","BEST_SALES","BEST_FPERIOD_OVERRIDE","26Y"),"")</f>
        <v/>
      </c>
      <c r="L61" s="97">
        <f>BDP("=A61&amp;" US Equity"","RETURN_ON_INV_CAPITAL")/100</f>
        <v/>
      </c>
      <c r="M61" s="97">
        <f>IF(AND(BDP("=A61&amp;" US Equity"","BEST_SALES","BEST_FPERIOD_OVERRIDE","25Y")&gt;0,BDP("=A61&amp;" US Equity"","BEST_SALES","BEST_FPERIOD_OVERRIDE","28Y")&gt;0),(BDP("=A61&amp;" US Equity"","BEST_SALES","BEST_FPERIOD_OVERRIDE","28Y")/BDP("=A61&amp;" US Equity"","BEST_SALES","BEST_FPERIOD_OVERRIDE","25Y"))^(1/3)-1,"")</f>
        <v/>
      </c>
      <c r="N61" s="97">
        <f>IF(AND(BDP("=A61&amp;" US Equity"","BEST_EBIT","BEST_FPERIOD_OVERRIDE","25Y")&gt;0,BDP("=A61&amp;" US Equity"","BEST_EBIT","BEST_FPERIOD_OVERRIDE","28Y")&gt;0),(BDP("=A61&amp;" US Equity"","BEST_EBIT","BEST_FPERIOD_OVERRIDE","28Y")/BDP("=A61&amp;" US Equity"","BEST_EBIT","BEST_FPERIOD_OVERRIDE","25Y"))^(1/3)-1,"")</f>
        <v/>
      </c>
      <c r="O61" s="97">
        <f>IF(AND(BDP("=A61&amp;" US Equity"","BEST_EPS","BEST_FPERIOD_OVERRIDE","25Y")&gt;0,BDP("=A61&amp;" US Equity"","BEST_EPS","BEST_FPERIOD_OVERRIDE","28Y")&gt;0),(BDP("=A61&amp;" US Equity"","BEST_EPS","BEST_FPERIOD_OVERRIDE","28Y")/BDP("=A61&amp;" US Equity"","BEST_EPS","BEST_FPERIOD_OVERRIDE","25Y"))^(1/3)-1,"")</f>
        <v/>
      </c>
      <c r="Q61" s="97">
        <f>BDP("=A61&amp;" US Equity"","CHG_PCT_YTD")/100</f>
        <v/>
      </c>
      <c r="T61" s="68">
        <f>IF(AND(F61&lt;&gt;"",O61&lt;&gt;"",O61&lt;&gt;0),F61/(O61*100),"")</f>
        <v/>
      </c>
      <c r="AB61" s="93">
        <f>BDP("=A61&amp;" US Equity"","TRAIL_12M_OPER_INC")</f>
        <v/>
      </c>
      <c r="AC61" s="93">
        <f>BDP("=A61&amp;" US Equity"","SHORT_AND_LONG_TERM_DEBT")</f>
        <v/>
      </c>
      <c r="AD61" s="93">
        <f>BDP("=A61&amp;" US Equity"","TOTAL_EQUITY")</f>
        <v/>
      </c>
      <c r="AE61" s="93">
        <f>BDP("=A61&amp;" US Equity"","BS_CASH_NEAR_CASH_ITEM")</f>
        <v/>
      </c>
      <c r="AF61" s="99">
        <f>BDP("=A61&amp;" US Equity"","BS_LT_INVEST")</f>
        <v/>
      </c>
      <c r="AG61" s="15">
        <f>AC61+AD61</f>
        <v/>
      </c>
      <c r="AH61" s="100">
        <f>BDP("=A61&amp;" US Equity"","RETURN_ON_INV_CAPITAL")/100</f>
        <v/>
      </c>
      <c r="AJ61" s="93">
        <f>BDP("=A61&amp;" US Equity"","BEST_EPS","BEST_FPERIOD_OVERRIDE","24Y")</f>
        <v/>
      </c>
      <c r="AK61" s="93">
        <f>BDP("=A61&amp;" US Equity"","BEST_EPS","BEST_FPERIOD_OVERRIDE","25Y")</f>
        <v/>
      </c>
      <c r="AL61" s="93">
        <f>BDP("=A61&amp;" US Equity"","BEST_EPS","BEST_FPERIOD_OVERRIDE","26Y")</f>
        <v/>
      </c>
      <c r="AM61" s="93">
        <f>BDP("=A61&amp;" US Equity"","BEST_EPS","BEST_FPERIOD_OVERRIDE","27Y")</f>
        <v/>
      </c>
      <c r="AN61" s="93">
        <f>BDP("=A61&amp;" US Equity"","BEST_EPS","BEST_FPERIOD_OVERRIDE","28Y")</f>
        <v/>
      </c>
      <c r="AP61" s="93">
        <f>BDP("=A61&amp;" US Equity"","BEST_SALES","BEST_FPERIOD_OVERRIDE","24Y")</f>
        <v/>
      </c>
      <c r="AQ61" s="93">
        <f>BDP("=A61&amp;" US Equity"","BEST_SALES","BEST_FPERIOD_OVERRIDE","25Y")</f>
        <v/>
      </c>
      <c r="AR61" s="93">
        <f>BDP("=A61&amp;" US Equity"","BEST_SALES","BEST_FPERIOD_OVERRIDE","26Y")</f>
        <v/>
      </c>
      <c r="AS61" s="93">
        <f>BDP("=A61&amp;" US Equity"","BEST_SALES","BEST_FPERIOD_OVERRIDE","27Y")</f>
        <v/>
      </c>
      <c r="AT61" s="93">
        <f>BDP("=A61&amp;" US Equity"","BEST_SALES","BEST_FPERIOD_OVERRIDE","28Y")</f>
        <v/>
      </c>
      <c r="AV61" s="93">
        <f>BDP("=A61&amp;" US Equity"","BEST_EBIT","BEST_FPERIOD_OVERRIDE","24Y")</f>
        <v/>
      </c>
      <c r="AW61" s="93">
        <f>BDP("=A61&amp;" US Equity"","BEST_EBIT","BEST_FPERIOD_OVERRIDE","25Y")</f>
        <v/>
      </c>
      <c r="AX61" s="93">
        <f>BDP("=A61&amp;" US Equity"","BEST_EBIT","BEST_FPERIOD_OVERRIDE","26Y")</f>
        <v/>
      </c>
      <c r="AY61" s="93">
        <f>BDP("=A61&amp;" US Equity"","BEST_EBIT","BEST_FPERIOD_OVERRIDE","27Y")</f>
        <v/>
      </c>
      <c r="AZ61" s="93">
        <f>BDP("=A61&amp;" US Equity"","BEST_EBIT","BEST_FPERIOD_OVERRIDE","28Y")</f>
        <v/>
      </c>
      <c r="BB61" s="68">
        <f>D61+BC61</f>
        <v/>
      </c>
      <c r="BC61" s="68">
        <f>AC61-AE61</f>
        <v/>
      </c>
      <c r="BD61" s="15">
        <f>D61</f>
        <v/>
      </c>
      <c r="BE61" s="99">
        <f>BDP("=A61&amp;" US Equity"","TRAIL_12M_EBITDA")</f>
        <v/>
      </c>
    </row>
    <row r="62">
      <c r="A62" t="inlineStr">
        <is>
          <t>ICE</t>
        </is>
      </c>
      <c r="B62">
        <f>A62&amp;" US Equity"</f>
        <v/>
      </c>
      <c r="C62" s="15" t="inlineStr">
        <is>
          <t>Dec</t>
        </is>
      </c>
      <c r="D62" s="93">
        <f>BDP("=A62&amp;" US Equity"","CUR_MKT_CAP")/1000000000</f>
        <v/>
      </c>
      <c r="E62" s="94">
        <f>BDP("=A62&amp;" US Equity"","PX_LAST")</f>
        <v/>
      </c>
      <c r="F62" s="95">
        <f>IF(BDP("=A62&amp;" US Equity"","BEST_EPS","BEST_FPERIOD_OVERRIDE","26Y")&lt;&gt;0,$E$62/BDP("=A62&amp;" US Equity"","BEST_EPS","BEST_FPERIOD_OVERRIDE","26Y"),"")</f>
        <v/>
      </c>
      <c r="G62" s="95">
        <f>IF(BDP("=A62&amp;" US Equity"","BEST_EPS","BEST_FPERIOD_OVERRIDE","27Y")&lt;&gt;0,$E$62/BDP("=A62&amp;" US Equity"","BEST_EPS","BEST_FPERIOD_OVERRIDE","27Y"),"")</f>
        <v/>
      </c>
      <c r="H62" s="95">
        <f>IF(BDP("=A62&amp;" US Equity"","BEST_EPS","BEST_FPERIOD_OVERRIDE","28Y")&lt;&gt;0,$E$62/BDP("=A62&amp;" US Equity"","BEST_EPS","BEST_FPERIOD_OVERRIDE","28Y"),"")</f>
        <v/>
      </c>
      <c r="I62" s="96">
        <f>BDP("=A62&amp;" US Equity"","NET_DEBT_TO_EBITDA")</f>
        <v/>
      </c>
      <c r="J62" s="93">
        <f>BDP("=A62&amp;" US Equity"","BEST_SALES","BEST_FPERIOD_OVERRIDE","26Y")/1000</f>
        <v/>
      </c>
      <c r="K62" s="97">
        <f>IF(BDP("=A62&amp;" US Equity"","BEST_SALES","BEST_FPERIOD_OVERRIDE","26Y")&lt;&gt;0,BDP("=A62&amp;" US Equity"","BEST_EBIT","BEST_FPERIOD_OVERRIDE","26Y")/BDP("=A62&amp;" US Equity"","BEST_SALES","BEST_FPERIOD_OVERRIDE","26Y"),"")</f>
        <v/>
      </c>
      <c r="L62" s="97">
        <f>BDP("=A62&amp;" US Equity"","RETURN_ON_INV_CAPITAL")/100</f>
        <v/>
      </c>
      <c r="M62" s="97">
        <f>IF(AND(BDP("=A62&amp;" US Equity"","BEST_SALES","BEST_FPERIOD_OVERRIDE","25Y")&gt;0,BDP("=A62&amp;" US Equity"","BEST_SALES","BEST_FPERIOD_OVERRIDE","28Y")&gt;0),(BDP("=A62&amp;" US Equity"","BEST_SALES","BEST_FPERIOD_OVERRIDE","28Y")/BDP("=A62&amp;" US Equity"","BEST_SALES","BEST_FPERIOD_OVERRIDE","25Y"))^(1/3)-1,"")</f>
        <v/>
      </c>
      <c r="N62" s="97">
        <f>IF(AND(BDP("=A62&amp;" US Equity"","BEST_EBIT","BEST_FPERIOD_OVERRIDE","25Y")&gt;0,BDP("=A62&amp;" US Equity"","BEST_EBIT","BEST_FPERIOD_OVERRIDE","28Y")&gt;0),(BDP("=A62&amp;" US Equity"","BEST_EBIT","BEST_FPERIOD_OVERRIDE","28Y")/BDP("=A62&amp;" US Equity"","BEST_EBIT","BEST_FPERIOD_OVERRIDE","25Y"))^(1/3)-1,"")</f>
        <v/>
      </c>
      <c r="O62" s="97">
        <f>IF(AND(BDP("=A62&amp;" US Equity"","BEST_EPS","BEST_FPERIOD_OVERRIDE","25Y")&gt;0,BDP("=A62&amp;" US Equity"","BEST_EPS","BEST_FPERIOD_OVERRIDE","28Y")&gt;0),(BDP("=A62&amp;" US Equity"","BEST_EPS","BEST_FPERIOD_OVERRIDE","28Y")/BDP("=A62&amp;" US Equity"","BEST_EPS","BEST_FPERIOD_OVERRIDE","25Y"))^(1/3)-1,"")</f>
        <v/>
      </c>
      <c r="Q62" s="97">
        <f>BDP("=A62&amp;" US Equity"","CHG_PCT_YTD")/100</f>
        <v/>
      </c>
      <c r="T62" s="68">
        <f>IF(AND(F62&lt;&gt;"",O62&lt;&gt;"",O62&lt;&gt;0),F62/(O62*100),"")</f>
        <v/>
      </c>
      <c r="AB62" s="93">
        <f>BDP("=A62&amp;" US Equity"","TRAIL_12M_OPER_INC")</f>
        <v/>
      </c>
      <c r="AC62" s="93">
        <f>BDP("=A62&amp;" US Equity"","SHORT_AND_LONG_TERM_DEBT")</f>
        <v/>
      </c>
      <c r="AD62" s="93">
        <f>BDP("=A62&amp;" US Equity"","TOTAL_EQUITY")</f>
        <v/>
      </c>
      <c r="AE62" s="93">
        <f>BDP("=A62&amp;" US Equity"","BS_CASH_NEAR_CASH_ITEM")</f>
        <v/>
      </c>
      <c r="AF62" s="99">
        <f>BDP("=A62&amp;" US Equity"","BS_LT_INVEST")</f>
        <v/>
      </c>
      <c r="AG62" s="15">
        <f>AC62+AD62</f>
        <v/>
      </c>
      <c r="AH62" s="100">
        <f>BDP("=A62&amp;" US Equity"","RETURN_ON_INV_CAPITAL")/100</f>
        <v/>
      </c>
      <c r="AJ62" s="93">
        <f>BDP("=A62&amp;" US Equity"","BEST_EPS","BEST_FPERIOD_OVERRIDE","24Y")</f>
        <v/>
      </c>
      <c r="AK62" s="93">
        <f>BDP("=A62&amp;" US Equity"","BEST_EPS","BEST_FPERIOD_OVERRIDE","25Y")</f>
        <v/>
      </c>
      <c r="AL62" s="93">
        <f>BDP("=A62&amp;" US Equity"","BEST_EPS","BEST_FPERIOD_OVERRIDE","26Y")</f>
        <v/>
      </c>
      <c r="AM62" s="93">
        <f>BDP("=A62&amp;" US Equity"","BEST_EPS","BEST_FPERIOD_OVERRIDE","27Y")</f>
        <v/>
      </c>
      <c r="AN62" s="93">
        <f>BDP("=A62&amp;" US Equity"","BEST_EPS","BEST_FPERIOD_OVERRIDE","28Y")</f>
        <v/>
      </c>
      <c r="AP62" s="93">
        <f>BDP("=A62&amp;" US Equity"","BEST_SALES","BEST_FPERIOD_OVERRIDE","24Y")</f>
        <v/>
      </c>
      <c r="AQ62" s="93">
        <f>BDP("=A62&amp;" US Equity"","BEST_SALES","BEST_FPERIOD_OVERRIDE","25Y")</f>
        <v/>
      </c>
      <c r="AR62" s="93">
        <f>BDP("=A62&amp;" US Equity"","BEST_SALES","BEST_FPERIOD_OVERRIDE","26Y")</f>
        <v/>
      </c>
      <c r="AS62" s="93">
        <f>BDP("=A62&amp;" US Equity"","BEST_SALES","BEST_FPERIOD_OVERRIDE","27Y")</f>
        <v/>
      </c>
      <c r="AT62" s="93">
        <f>BDP("=A62&amp;" US Equity"","BEST_SALES","BEST_FPERIOD_OVERRIDE","28Y")</f>
        <v/>
      </c>
      <c r="AV62" s="93">
        <f>BDP("=A62&amp;" US Equity"","BEST_EBIT","BEST_FPERIOD_OVERRIDE","24Y")</f>
        <v/>
      </c>
      <c r="AW62" s="93">
        <f>BDP("=A62&amp;" US Equity"","BEST_EBIT","BEST_FPERIOD_OVERRIDE","25Y")</f>
        <v/>
      </c>
      <c r="AX62" s="93">
        <f>BDP("=A62&amp;" US Equity"","BEST_EBIT","BEST_FPERIOD_OVERRIDE","26Y")</f>
        <v/>
      </c>
      <c r="AY62" s="93">
        <f>BDP("=A62&amp;" US Equity"","BEST_EBIT","BEST_FPERIOD_OVERRIDE","27Y")</f>
        <v/>
      </c>
      <c r="AZ62" s="93">
        <f>BDP("=A62&amp;" US Equity"","BEST_EBIT","BEST_FPERIOD_OVERRIDE","28Y")</f>
        <v/>
      </c>
      <c r="BB62" s="68">
        <f>D62+BC62</f>
        <v/>
      </c>
      <c r="BC62" s="68">
        <f>AC62-AE62</f>
        <v/>
      </c>
      <c r="BD62" s="15">
        <f>D62</f>
        <v/>
      </c>
      <c r="BE62" s="99">
        <f>BDP("=A62&amp;" US Equity"","TRAIL_12M_EBITDA")</f>
        <v/>
      </c>
    </row>
    <row r="63">
      <c r="C63" s="15" t="n"/>
      <c r="D63" s="15" t="n"/>
      <c r="E63" s="69" t="n"/>
      <c r="F63" s="70" t="n"/>
      <c r="G63" s="70" t="n"/>
      <c r="H63" s="70" t="n"/>
      <c r="I63" s="15" t="n"/>
      <c r="J63" s="15" t="n"/>
      <c r="K63" s="72" t="n"/>
      <c r="L63" s="15" t="n"/>
      <c r="M63" s="72" t="n"/>
      <c r="N63" s="72" t="n"/>
      <c r="O63" s="72" t="n"/>
      <c r="T63" s="68" t="n"/>
      <c r="AB63" s="15" t="n"/>
      <c r="AC63" s="15" t="n"/>
      <c r="AD63" s="15" t="n"/>
      <c r="AE63" s="15" t="n"/>
      <c r="AF63" s="16" t="n"/>
      <c r="AG63" s="15" t="n"/>
      <c r="AH63" s="67" t="n"/>
      <c r="AJ63" s="15" t="n"/>
      <c r="AK63" s="15" t="n"/>
      <c r="AL63" s="15" t="n"/>
      <c r="AM63" s="15" t="n"/>
      <c r="AN63" s="15" t="n"/>
      <c r="AP63" s="15" t="n"/>
      <c r="AQ63" s="15" t="n"/>
      <c r="AR63" s="15" t="n"/>
      <c r="AS63" s="15" t="n"/>
      <c r="AT63" s="15" t="n"/>
      <c r="AV63" s="15" t="n"/>
      <c r="AW63" s="15" t="n"/>
      <c r="AX63" s="15" t="n"/>
      <c r="AY63" s="15" t="n"/>
      <c r="AZ63" s="15" t="n"/>
      <c r="BB63" s="68" t="n"/>
      <c r="BC63" s="68" t="n"/>
      <c r="BD63" s="15" t="n"/>
      <c r="BE63" s="16" t="n"/>
    </row>
    <row r="64">
      <c r="A64" s="36" t="inlineStr">
        <is>
          <t>Retail and consumer</t>
        </is>
      </c>
      <c r="C64" s="15" t="n"/>
      <c r="D64" s="15" t="n"/>
      <c r="E64" s="69" t="n"/>
      <c r="F64" s="70" t="n"/>
      <c r="G64" s="70" t="n"/>
      <c r="H64" s="70" t="n"/>
      <c r="I64" s="15" t="n"/>
      <c r="J64" s="15" t="n"/>
      <c r="K64" s="72" t="n"/>
      <c r="L64" s="15" t="n"/>
      <c r="M64" s="72" t="n"/>
      <c r="N64" s="72" t="n"/>
      <c r="O64" s="72" t="n"/>
      <c r="T64" s="68" t="n"/>
      <c r="AB64" s="15" t="n"/>
      <c r="AC64" s="15" t="n"/>
      <c r="AD64" s="15" t="n"/>
      <c r="AE64" s="15" t="n"/>
      <c r="AF64" s="16" t="n"/>
      <c r="AG64" s="15" t="n"/>
      <c r="AH64" s="67" t="n"/>
      <c r="AJ64" s="15" t="n"/>
      <c r="AK64" s="15" t="n"/>
      <c r="AL64" s="15" t="n"/>
      <c r="AM64" s="15" t="n"/>
      <c r="AN64" s="15" t="n"/>
      <c r="AP64" s="15" t="n"/>
      <c r="AQ64" s="15" t="n"/>
      <c r="AR64" s="15" t="n"/>
      <c r="AS64" s="15" t="n"/>
      <c r="AT64" s="15" t="n"/>
      <c r="AV64" s="15" t="n"/>
      <c r="AW64" s="15" t="n"/>
      <c r="AX64" s="15" t="n"/>
      <c r="AY64" s="15" t="n"/>
      <c r="AZ64" s="15" t="n"/>
      <c r="BB64" s="68" t="n"/>
      <c r="BC64" s="68" t="n"/>
      <c r="BD64" s="15" t="n"/>
      <c r="BE64" s="16" t="n"/>
    </row>
    <row r="65">
      <c r="A65" t="inlineStr">
        <is>
          <t>COST</t>
        </is>
      </c>
      <c r="B65">
        <f>A65&amp;" US Equity"</f>
        <v/>
      </c>
      <c r="C65" s="15" t="inlineStr">
        <is>
          <t>Dec</t>
        </is>
      </c>
      <c r="D65" s="93">
        <f>BDP("=A65&amp;" US Equity"","CUR_MKT_CAP")/1000000000</f>
        <v/>
      </c>
      <c r="E65" s="94">
        <f>BDP("=A65&amp;" US Equity"","PX_LAST")</f>
        <v/>
      </c>
      <c r="F65" s="95">
        <f>IF(BDP("=A65&amp;" US Equity"","BEST_EPS","BEST_FPERIOD_OVERRIDE","26Y")&lt;&gt;0,$E$65/BDP("=A65&amp;" US Equity"","BEST_EPS","BEST_FPERIOD_OVERRIDE","26Y"),"")</f>
        <v/>
      </c>
      <c r="G65" s="95">
        <f>IF(BDP("=A65&amp;" US Equity"","BEST_EPS","BEST_FPERIOD_OVERRIDE","27Y")&lt;&gt;0,$E$65/BDP("=A65&amp;" US Equity"","BEST_EPS","BEST_FPERIOD_OVERRIDE","27Y"),"")</f>
        <v/>
      </c>
      <c r="H65" s="95">
        <f>IF(BDP("=A65&amp;" US Equity"","BEST_EPS","BEST_FPERIOD_OVERRIDE","28Y")&lt;&gt;0,$E$65/BDP("=A65&amp;" US Equity"","BEST_EPS","BEST_FPERIOD_OVERRIDE","28Y"),"")</f>
        <v/>
      </c>
      <c r="I65" s="96">
        <f>BDP("=A65&amp;" US Equity"","NET_DEBT_TO_EBITDA")</f>
        <v/>
      </c>
      <c r="J65" s="93">
        <f>BDP("=A65&amp;" US Equity"","BEST_SALES","BEST_FPERIOD_OVERRIDE","26Y")/1000</f>
        <v/>
      </c>
      <c r="K65" s="97">
        <f>IF(BDP("=A65&amp;" US Equity"","BEST_SALES","BEST_FPERIOD_OVERRIDE","26Y")&lt;&gt;0,BDP("=A65&amp;" US Equity"","BEST_EBIT","BEST_FPERIOD_OVERRIDE","26Y")/BDP("=A65&amp;" US Equity"","BEST_SALES","BEST_FPERIOD_OVERRIDE","26Y"),"")</f>
        <v/>
      </c>
      <c r="L65" s="97">
        <f>BDP("=A65&amp;" US Equity"","RETURN_ON_INV_CAPITAL")/100</f>
        <v/>
      </c>
      <c r="M65" s="97">
        <f>IF(AND(BDP("=A65&amp;" US Equity"","BEST_SALES","BEST_FPERIOD_OVERRIDE","25Y")&gt;0,BDP("=A65&amp;" US Equity"","BEST_SALES","BEST_FPERIOD_OVERRIDE","28Y")&gt;0),(BDP("=A65&amp;" US Equity"","BEST_SALES","BEST_FPERIOD_OVERRIDE","28Y")/BDP("=A65&amp;" US Equity"","BEST_SALES","BEST_FPERIOD_OVERRIDE","25Y"))^(1/3)-1,"")</f>
        <v/>
      </c>
      <c r="N65" s="97">
        <f>IF(AND(BDP("=A65&amp;" US Equity"","BEST_EBIT","BEST_FPERIOD_OVERRIDE","25Y")&gt;0,BDP("=A65&amp;" US Equity"","BEST_EBIT","BEST_FPERIOD_OVERRIDE","28Y")&gt;0),(BDP("=A65&amp;" US Equity"","BEST_EBIT","BEST_FPERIOD_OVERRIDE","28Y")/BDP("=A65&amp;" US Equity"","BEST_EBIT","BEST_FPERIOD_OVERRIDE","25Y"))^(1/3)-1,"")</f>
        <v/>
      </c>
      <c r="O65" s="97">
        <f>IF(AND(BDP("=A65&amp;" US Equity"","BEST_EPS","BEST_FPERIOD_OVERRIDE","25Y")&gt;0,BDP("=A65&amp;" US Equity"","BEST_EPS","BEST_FPERIOD_OVERRIDE","28Y")&gt;0),(BDP("=A65&amp;" US Equity"","BEST_EPS","BEST_FPERIOD_OVERRIDE","28Y")/BDP("=A65&amp;" US Equity"","BEST_EPS","BEST_FPERIOD_OVERRIDE","25Y"))^(1/3)-1,"")</f>
        <v/>
      </c>
      <c r="Q65" s="97">
        <f>BDP("=A65&amp;" US Equity"","CHG_PCT_YTD")/100</f>
        <v/>
      </c>
      <c r="T65" s="68">
        <f>IF(AND(F65&lt;&gt;"",O65&lt;&gt;"",O65&lt;&gt;0),F65/(O65*100),"")</f>
        <v/>
      </c>
      <c r="AB65" s="93">
        <f>BDP("=A65&amp;" US Equity"","TRAIL_12M_OPER_INC")</f>
        <v/>
      </c>
      <c r="AC65" s="93">
        <f>BDP("=A65&amp;" US Equity"","SHORT_AND_LONG_TERM_DEBT")</f>
        <v/>
      </c>
      <c r="AD65" s="93">
        <f>BDP("=A65&amp;" US Equity"","TOTAL_EQUITY")</f>
        <v/>
      </c>
      <c r="AE65" s="93">
        <f>BDP("=A65&amp;" US Equity"","BS_CASH_NEAR_CASH_ITEM")</f>
        <v/>
      </c>
      <c r="AF65" s="99">
        <f>BDP("=A65&amp;" US Equity"","BS_LT_INVEST")</f>
        <v/>
      </c>
      <c r="AG65" s="15">
        <f>AC65+AD65</f>
        <v/>
      </c>
      <c r="AH65" s="100">
        <f>BDP("=A65&amp;" US Equity"","RETURN_ON_INV_CAPITAL")/100</f>
        <v/>
      </c>
      <c r="AJ65" s="93">
        <f>BDP("=A65&amp;" US Equity"","BEST_EPS","BEST_FPERIOD_OVERRIDE","24Y")</f>
        <v/>
      </c>
      <c r="AK65" s="93">
        <f>BDP("=A65&amp;" US Equity"","BEST_EPS","BEST_FPERIOD_OVERRIDE","25Y")</f>
        <v/>
      </c>
      <c r="AL65" s="93">
        <f>BDP("=A65&amp;" US Equity"","BEST_EPS","BEST_FPERIOD_OVERRIDE","26Y")</f>
        <v/>
      </c>
      <c r="AM65" s="93">
        <f>BDP("=A65&amp;" US Equity"","BEST_EPS","BEST_FPERIOD_OVERRIDE","27Y")</f>
        <v/>
      </c>
      <c r="AN65" s="93">
        <f>BDP("=A65&amp;" US Equity"","BEST_EPS","BEST_FPERIOD_OVERRIDE","28Y")</f>
        <v/>
      </c>
      <c r="AP65" s="93">
        <f>BDP("=A65&amp;" US Equity"","BEST_SALES","BEST_FPERIOD_OVERRIDE","24Y")</f>
        <v/>
      </c>
      <c r="AQ65" s="93">
        <f>BDP("=A65&amp;" US Equity"","BEST_SALES","BEST_FPERIOD_OVERRIDE","25Y")</f>
        <v/>
      </c>
      <c r="AR65" s="93">
        <f>BDP("=A65&amp;" US Equity"","BEST_SALES","BEST_FPERIOD_OVERRIDE","26Y")</f>
        <v/>
      </c>
      <c r="AS65" s="93">
        <f>BDP("=A65&amp;" US Equity"","BEST_SALES","BEST_FPERIOD_OVERRIDE","27Y")</f>
        <v/>
      </c>
      <c r="AT65" s="93">
        <f>BDP("=A65&amp;" US Equity"","BEST_SALES","BEST_FPERIOD_OVERRIDE","28Y")</f>
        <v/>
      </c>
      <c r="AV65" s="93">
        <f>BDP("=A65&amp;" US Equity"","BEST_EBIT","BEST_FPERIOD_OVERRIDE","24Y")</f>
        <v/>
      </c>
      <c r="AW65" s="93">
        <f>BDP("=A65&amp;" US Equity"","BEST_EBIT","BEST_FPERIOD_OVERRIDE","25Y")</f>
        <v/>
      </c>
      <c r="AX65" s="93">
        <f>BDP("=A65&amp;" US Equity"","BEST_EBIT","BEST_FPERIOD_OVERRIDE","26Y")</f>
        <v/>
      </c>
      <c r="AY65" s="93">
        <f>BDP("=A65&amp;" US Equity"","BEST_EBIT","BEST_FPERIOD_OVERRIDE","27Y")</f>
        <v/>
      </c>
      <c r="AZ65" s="93">
        <f>BDP("=A65&amp;" US Equity"","BEST_EBIT","BEST_FPERIOD_OVERRIDE","28Y")</f>
        <v/>
      </c>
      <c r="BB65" s="68">
        <f>D65+BC65</f>
        <v/>
      </c>
      <c r="BC65" s="68">
        <f>AC65-AE65</f>
        <v/>
      </c>
      <c r="BD65" s="15">
        <f>D65</f>
        <v/>
      </c>
      <c r="BE65" s="99">
        <f>BDP("=A65&amp;" US Equity"","TRAIL_12M_EBITDA")</f>
        <v/>
      </c>
    </row>
    <row r="66">
      <c r="A66" t="inlineStr">
        <is>
          <t>ORLY</t>
        </is>
      </c>
      <c r="B66">
        <f>A66&amp;" US Equity"</f>
        <v/>
      </c>
      <c r="C66" s="15" t="inlineStr">
        <is>
          <t>Dec</t>
        </is>
      </c>
      <c r="D66" s="93">
        <f>BDP("=A66&amp;" US Equity"","CUR_MKT_CAP")/1000000000</f>
        <v/>
      </c>
      <c r="E66" s="94">
        <f>BDP("=A66&amp;" US Equity"","PX_LAST")</f>
        <v/>
      </c>
      <c r="F66" s="95">
        <f>IF(BDP("=A66&amp;" US Equity"","BEST_EPS","BEST_FPERIOD_OVERRIDE","26Y")&lt;&gt;0,$E$66/BDP("=A66&amp;" US Equity"","BEST_EPS","BEST_FPERIOD_OVERRIDE","26Y"),"")</f>
        <v/>
      </c>
      <c r="G66" s="95">
        <f>IF(BDP("=A66&amp;" US Equity"","BEST_EPS","BEST_FPERIOD_OVERRIDE","27Y")&lt;&gt;0,$E$66/BDP("=A66&amp;" US Equity"","BEST_EPS","BEST_FPERIOD_OVERRIDE","27Y"),"")</f>
        <v/>
      </c>
      <c r="H66" s="95">
        <f>IF(BDP("=A66&amp;" US Equity"","BEST_EPS","BEST_FPERIOD_OVERRIDE","28Y")&lt;&gt;0,$E$66/BDP("=A66&amp;" US Equity"","BEST_EPS","BEST_FPERIOD_OVERRIDE","28Y"),"")</f>
        <v/>
      </c>
      <c r="I66" s="96">
        <f>BDP("=A66&amp;" US Equity"","NET_DEBT_TO_EBITDA")</f>
        <v/>
      </c>
      <c r="J66" s="93">
        <f>BDP("=A66&amp;" US Equity"","BEST_SALES","BEST_FPERIOD_OVERRIDE","26Y")/1000</f>
        <v/>
      </c>
      <c r="K66" s="97">
        <f>IF(BDP("=A66&amp;" US Equity"","BEST_SALES","BEST_FPERIOD_OVERRIDE","26Y")&lt;&gt;0,BDP("=A66&amp;" US Equity"","BEST_EBIT","BEST_FPERIOD_OVERRIDE","26Y")/BDP("=A66&amp;" US Equity"","BEST_SALES","BEST_FPERIOD_OVERRIDE","26Y"),"")</f>
        <v/>
      </c>
      <c r="L66" s="97">
        <f>BDP("=A66&amp;" US Equity"","RETURN_ON_INV_CAPITAL")/100</f>
        <v/>
      </c>
      <c r="M66" s="97">
        <f>IF(AND(BDP("=A66&amp;" US Equity"","BEST_SALES","BEST_FPERIOD_OVERRIDE","25Y")&gt;0,BDP("=A66&amp;" US Equity"","BEST_SALES","BEST_FPERIOD_OVERRIDE","28Y")&gt;0),(BDP("=A66&amp;" US Equity"","BEST_SALES","BEST_FPERIOD_OVERRIDE","28Y")/BDP("=A66&amp;" US Equity"","BEST_SALES","BEST_FPERIOD_OVERRIDE","25Y"))^(1/3)-1,"")</f>
        <v/>
      </c>
      <c r="N66" s="97">
        <f>IF(AND(BDP("=A66&amp;" US Equity"","BEST_EBIT","BEST_FPERIOD_OVERRIDE","25Y")&gt;0,BDP("=A66&amp;" US Equity"","BEST_EBIT","BEST_FPERIOD_OVERRIDE","28Y")&gt;0),(BDP("=A66&amp;" US Equity"","BEST_EBIT","BEST_FPERIOD_OVERRIDE","28Y")/BDP("=A66&amp;" US Equity"","BEST_EBIT","BEST_FPERIOD_OVERRIDE","25Y"))^(1/3)-1,"")</f>
        <v/>
      </c>
      <c r="O66" s="97">
        <f>IF(AND(BDP("=A66&amp;" US Equity"","BEST_EPS","BEST_FPERIOD_OVERRIDE","25Y")&gt;0,BDP("=A66&amp;" US Equity"","BEST_EPS","BEST_FPERIOD_OVERRIDE","28Y")&gt;0),(BDP("=A66&amp;" US Equity"","BEST_EPS","BEST_FPERIOD_OVERRIDE","28Y")/BDP("=A66&amp;" US Equity"","BEST_EPS","BEST_FPERIOD_OVERRIDE","25Y"))^(1/3)-1,"")</f>
        <v/>
      </c>
      <c r="Q66" s="97">
        <f>BDP("=A66&amp;" US Equity"","CHG_PCT_YTD")/100</f>
        <v/>
      </c>
      <c r="T66" s="68">
        <f>IF(AND(F66&lt;&gt;"",O66&lt;&gt;"",O66&lt;&gt;0),F66/(O66*100),"")</f>
        <v/>
      </c>
      <c r="AB66" s="93">
        <f>BDP("=A66&amp;" US Equity"","TRAIL_12M_OPER_INC")</f>
        <v/>
      </c>
      <c r="AC66" s="93">
        <f>BDP("=A66&amp;" US Equity"","SHORT_AND_LONG_TERM_DEBT")</f>
        <v/>
      </c>
      <c r="AD66" s="93">
        <f>BDP("=A66&amp;" US Equity"","TOTAL_EQUITY")</f>
        <v/>
      </c>
      <c r="AE66" s="93">
        <f>BDP("=A66&amp;" US Equity"","BS_CASH_NEAR_CASH_ITEM")</f>
        <v/>
      </c>
      <c r="AF66" s="99">
        <f>BDP("=A66&amp;" US Equity"","BS_LT_INVEST")</f>
        <v/>
      </c>
      <c r="AG66" s="15">
        <f>AC66+AD66</f>
        <v/>
      </c>
      <c r="AH66" s="100">
        <f>BDP("=A66&amp;" US Equity"","RETURN_ON_INV_CAPITAL")/100</f>
        <v/>
      </c>
      <c r="AJ66" s="93">
        <f>BDP("=A66&amp;" US Equity"","BEST_EPS","BEST_FPERIOD_OVERRIDE","24Y")</f>
        <v/>
      </c>
      <c r="AK66" s="93">
        <f>BDP("=A66&amp;" US Equity"","BEST_EPS","BEST_FPERIOD_OVERRIDE","25Y")</f>
        <v/>
      </c>
      <c r="AL66" s="93">
        <f>BDP("=A66&amp;" US Equity"","BEST_EPS","BEST_FPERIOD_OVERRIDE","26Y")</f>
        <v/>
      </c>
      <c r="AM66" s="93">
        <f>BDP("=A66&amp;" US Equity"","BEST_EPS","BEST_FPERIOD_OVERRIDE","27Y")</f>
        <v/>
      </c>
      <c r="AN66" s="93">
        <f>BDP("=A66&amp;" US Equity"","BEST_EPS","BEST_FPERIOD_OVERRIDE","28Y")</f>
        <v/>
      </c>
      <c r="AP66" s="93">
        <f>BDP("=A66&amp;" US Equity"","BEST_SALES","BEST_FPERIOD_OVERRIDE","24Y")</f>
        <v/>
      </c>
      <c r="AQ66" s="93">
        <f>BDP("=A66&amp;" US Equity"","BEST_SALES","BEST_FPERIOD_OVERRIDE","25Y")</f>
        <v/>
      </c>
      <c r="AR66" s="93">
        <f>BDP("=A66&amp;" US Equity"","BEST_SALES","BEST_FPERIOD_OVERRIDE","26Y")</f>
        <v/>
      </c>
      <c r="AS66" s="93">
        <f>BDP("=A66&amp;" US Equity"","BEST_SALES","BEST_FPERIOD_OVERRIDE","27Y")</f>
        <v/>
      </c>
      <c r="AT66" s="93">
        <f>BDP("=A66&amp;" US Equity"","BEST_SALES","BEST_FPERIOD_OVERRIDE","28Y")</f>
        <v/>
      </c>
      <c r="AV66" s="93">
        <f>BDP("=A66&amp;" US Equity"","BEST_EBIT","BEST_FPERIOD_OVERRIDE","24Y")</f>
        <v/>
      </c>
      <c r="AW66" s="93">
        <f>BDP("=A66&amp;" US Equity"","BEST_EBIT","BEST_FPERIOD_OVERRIDE","25Y")</f>
        <v/>
      </c>
      <c r="AX66" s="93">
        <f>BDP("=A66&amp;" US Equity"","BEST_EBIT","BEST_FPERIOD_OVERRIDE","26Y")</f>
        <v/>
      </c>
      <c r="AY66" s="93">
        <f>BDP("=A66&amp;" US Equity"","BEST_EBIT","BEST_FPERIOD_OVERRIDE","27Y")</f>
        <v/>
      </c>
      <c r="AZ66" s="93">
        <f>BDP("=A66&amp;" US Equity"","BEST_EBIT","BEST_FPERIOD_OVERRIDE","28Y")</f>
        <v/>
      </c>
      <c r="BB66" s="68">
        <f>D66+BC66</f>
        <v/>
      </c>
      <c r="BC66" s="68">
        <f>AC66-AE66</f>
        <v/>
      </c>
      <c r="BD66" s="15">
        <f>D66</f>
        <v/>
      </c>
      <c r="BE66" s="99">
        <f>BDP("=A66&amp;" US Equity"","TRAIL_12M_EBITDA")</f>
        <v/>
      </c>
    </row>
    <row r="67">
      <c r="A67" t="inlineStr">
        <is>
          <t>TJX</t>
        </is>
      </c>
      <c r="B67">
        <f>A67&amp;" US Equity"</f>
        <v/>
      </c>
      <c r="C67" s="15" t="inlineStr">
        <is>
          <t>Dec</t>
        </is>
      </c>
      <c r="D67" s="93">
        <f>BDP("=A67&amp;" US Equity"","CUR_MKT_CAP")/1000000000</f>
        <v/>
      </c>
      <c r="E67" s="94">
        <f>BDP("=A67&amp;" US Equity"","PX_LAST")</f>
        <v/>
      </c>
      <c r="F67" s="95">
        <f>IF(BDP("=A67&amp;" US Equity"","BEST_EPS","BEST_FPERIOD_OVERRIDE","26Y")&lt;&gt;0,$E$67/BDP("=A67&amp;" US Equity"","BEST_EPS","BEST_FPERIOD_OVERRIDE","26Y"),"")</f>
        <v/>
      </c>
      <c r="G67" s="95">
        <f>IF(BDP("=A67&amp;" US Equity"","BEST_EPS","BEST_FPERIOD_OVERRIDE","27Y")&lt;&gt;0,$E$67/BDP("=A67&amp;" US Equity"","BEST_EPS","BEST_FPERIOD_OVERRIDE","27Y"),"")</f>
        <v/>
      </c>
      <c r="H67" s="95">
        <f>IF(BDP("=A67&amp;" US Equity"","BEST_EPS","BEST_FPERIOD_OVERRIDE","28Y")&lt;&gt;0,$E$67/BDP("=A67&amp;" US Equity"","BEST_EPS","BEST_FPERIOD_OVERRIDE","28Y"),"")</f>
        <v/>
      </c>
      <c r="I67" s="96">
        <f>BDP("=A67&amp;" US Equity"","NET_DEBT_TO_EBITDA")</f>
        <v/>
      </c>
      <c r="J67" s="93">
        <f>BDP("=A67&amp;" US Equity"","BEST_SALES","BEST_FPERIOD_OVERRIDE","26Y")/1000</f>
        <v/>
      </c>
      <c r="K67" s="97">
        <f>IF(BDP("=A67&amp;" US Equity"","BEST_SALES","BEST_FPERIOD_OVERRIDE","26Y")&lt;&gt;0,BDP("=A67&amp;" US Equity"","BEST_EBIT","BEST_FPERIOD_OVERRIDE","26Y")/BDP("=A67&amp;" US Equity"","BEST_SALES","BEST_FPERIOD_OVERRIDE","26Y"),"")</f>
        <v/>
      </c>
      <c r="L67" s="97">
        <f>BDP("=A67&amp;" US Equity"","RETURN_ON_INV_CAPITAL")/100</f>
        <v/>
      </c>
      <c r="M67" s="97">
        <f>IF(AND(BDP("=A67&amp;" US Equity"","BEST_SALES","BEST_FPERIOD_OVERRIDE","25Y")&gt;0,BDP("=A67&amp;" US Equity"","BEST_SALES","BEST_FPERIOD_OVERRIDE","28Y")&gt;0),(BDP("=A67&amp;" US Equity"","BEST_SALES","BEST_FPERIOD_OVERRIDE","28Y")/BDP("=A67&amp;" US Equity"","BEST_SALES","BEST_FPERIOD_OVERRIDE","25Y"))^(1/3)-1,"")</f>
        <v/>
      </c>
      <c r="N67" s="97">
        <f>IF(AND(BDP("=A67&amp;" US Equity"","BEST_EBIT","BEST_FPERIOD_OVERRIDE","25Y")&gt;0,BDP("=A67&amp;" US Equity"","BEST_EBIT","BEST_FPERIOD_OVERRIDE","28Y")&gt;0),(BDP("=A67&amp;" US Equity"","BEST_EBIT","BEST_FPERIOD_OVERRIDE","28Y")/BDP("=A67&amp;" US Equity"","BEST_EBIT","BEST_FPERIOD_OVERRIDE","25Y"))^(1/3)-1,"")</f>
        <v/>
      </c>
      <c r="O67" s="97">
        <f>IF(AND(BDP("=A67&amp;" US Equity"","BEST_EPS","BEST_FPERIOD_OVERRIDE","25Y")&gt;0,BDP("=A67&amp;" US Equity"","BEST_EPS","BEST_FPERIOD_OVERRIDE","28Y")&gt;0),(BDP("=A67&amp;" US Equity"","BEST_EPS","BEST_FPERIOD_OVERRIDE","28Y")/BDP("=A67&amp;" US Equity"","BEST_EPS","BEST_FPERIOD_OVERRIDE","25Y"))^(1/3)-1,"")</f>
        <v/>
      </c>
      <c r="Q67" s="97">
        <f>BDP("=A67&amp;" US Equity"","CHG_PCT_YTD")/100</f>
        <v/>
      </c>
      <c r="T67" s="68">
        <f>IF(AND(F67&lt;&gt;"",O67&lt;&gt;"",O67&lt;&gt;0),F67/(O67*100),"")</f>
        <v/>
      </c>
      <c r="AB67" s="93">
        <f>BDP("=A67&amp;" US Equity"","TRAIL_12M_OPER_INC")</f>
        <v/>
      </c>
      <c r="AC67" s="93">
        <f>BDP("=A67&amp;" US Equity"","SHORT_AND_LONG_TERM_DEBT")</f>
        <v/>
      </c>
      <c r="AD67" s="93">
        <f>BDP("=A67&amp;" US Equity"","TOTAL_EQUITY")</f>
        <v/>
      </c>
      <c r="AE67" s="93">
        <f>BDP("=A67&amp;" US Equity"","BS_CASH_NEAR_CASH_ITEM")</f>
        <v/>
      </c>
      <c r="AF67" s="99">
        <f>BDP("=A67&amp;" US Equity"","BS_LT_INVEST")</f>
        <v/>
      </c>
      <c r="AG67" s="15">
        <f>AC67+AD67</f>
        <v/>
      </c>
      <c r="AH67" s="100">
        <f>BDP("=A67&amp;" US Equity"","RETURN_ON_INV_CAPITAL")/100</f>
        <v/>
      </c>
      <c r="AJ67" s="93">
        <f>BDP("=A67&amp;" US Equity"","BEST_EPS","BEST_FPERIOD_OVERRIDE","24Y")</f>
        <v/>
      </c>
      <c r="AK67" s="93">
        <f>BDP("=A67&amp;" US Equity"","BEST_EPS","BEST_FPERIOD_OVERRIDE","25Y")</f>
        <v/>
      </c>
      <c r="AL67" s="93">
        <f>BDP("=A67&amp;" US Equity"","BEST_EPS","BEST_FPERIOD_OVERRIDE","26Y")</f>
        <v/>
      </c>
      <c r="AM67" s="93">
        <f>BDP("=A67&amp;" US Equity"","BEST_EPS","BEST_FPERIOD_OVERRIDE","27Y")</f>
        <v/>
      </c>
      <c r="AN67" s="93">
        <f>BDP("=A67&amp;" US Equity"","BEST_EPS","BEST_FPERIOD_OVERRIDE","28Y")</f>
        <v/>
      </c>
      <c r="AP67" s="93">
        <f>BDP("=A67&amp;" US Equity"","BEST_SALES","BEST_FPERIOD_OVERRIDE","24Y")</f>
        <v/>
      </c>
      <c r="AQ67" s="93">
        <f>BDP("=A67&amp;" US Equity"","BEST_SALES","BEST_FPERIOD_OVERRIDE","25Y")</f>
        <v/>
      </c>
      <c r="AR67" s="93">
        <f>BDP("=A67&amp;" US Equity"","BEST_SALES","BEST_FPERIOD_OVERRIDE","26Y")</f>
        <v/>
      </c>
      <c r="AS67" s="93">
        <f>BDP("=A67&amp;" US Equity"","BEST_SALES","BEST_FPERIOD_OVERRIDE","27Y")</f>
        <v/>
      </c>
      <c r="AT67" s="93">
        <f>BDP("=A67&amp;" US Equity"","BEST_SALES","BEST_FPERIOD_OVERRIDE","28Y")</f>
        <v/>
      </c>
      <c r="AV67" s="93">
        <f>BDP("=A67&amp;" US Equity"","BEST_EBIT","BEST_FPERIOD_OVERRIDE","24Y")</f>
        <v/>
      </c>
      <c r="AW67" s="93">
        <f>BDP("=A67&amp;" US Equity"","BEST_EBIT","BEST_FPERIOD_OVERRIDE","25Y")</f>
        <v/>
      </c>
      <c r="AX67" s="93">
        <f>BDP("=A67&amp;" US Equity"","BEST_EBIT","BEST_FPERIOD_OVERRIDE","26Y")</f>
        <v/>
      </c>
      <c r="AY67" s="93">
        <f>BDP("=A67&amp;" US Equity"","BEST_EBIT","BEST_FPERIOD_OVERRIDE","27Y")</f>
        <v/>
      </c>
      <c r="AZ67" s="93">
        <f>BDP("=A67&amp;" US Equity"","BEST_EBIT","BEST_FPERIOD_OVERRIDE","28Y")</f>
        <v/>
      </c>
      <c r="BB67" s="68">
        <f>D67+BC67</f>
        <v/>
      </c>
      <c r="BC67" s="68">
        <f>AC67-AE67</f>
        <v/>
      </c>
      <c r="BD67" s="15">
        <f>D67</f>
        <v/>
      </c>
      <c r="BE67" s="99">
        <f>BDP("=A67&amp;" US Equity"","TRAIL_12M_EBITDA")</f>
        <v/>
      </c>
    </row>
    <row r="68">
      <c r="A68" t="inlineStr">
        <is>
          <t>HLT</t>
        </is>
      </c>
      <c r="B68">
        <f>A68&amp;" US Equity"</f>
        <v/>
      </c>
      <c r="C68" s="15" t="inlineStr">
        <is>
          <t>Dec</t>
        </is>
      </c>
      <c r="D68" s="93">
        <f>BDP("=A68&amp;" US Equity"","CUR_MKT_CAP")/1000000000</f>
        <v/>
      </c>
      <c r="E68" s="94">
        <f>BDP("=A68&amp;" US Equity"","PX_LAST")</f>
        <v/>
      </c>
      <c r="F68" s="95">
        <f>IF(BDP("=A68&amp;" US Equity"","BEST_EPS","BEST_FPERIOD_OVERRIDE","26Y")&lt;&gt;0,$E$68/BDP("=A68&amp;" US Equity"","BEST_EPS","BEST_FPERIOD_OVERRIDE","26Y"),"")</f>
        <v/>
      </c>
      <c r="G68" s="95">
        <f>IF(BDP("=A68&amp;" US Equity"","BEST_EPS","BEST_FPERIOD_OVERRIDE","27Y")&lt;&gt;0,$E$68/BDP("=A68&amp;" US Equity"","BEST_EPS","BEST_FPERIOD_OVERRIDE","27Y"),"")</f>
        <v/>
      </c>
      <c r="H68" s="95">
        <f>IF(BDP("=A68&amp;" US Equity"","BEST_EPS","BEST_FPERIOD_OVERRIDE","28Y")&lt;&gt;0,$E$68/BDP("=A68&amp;" US Equity"","BEST_EPS","BEST_FPERIOD_OVERRIDE","28Y"),"")</f>
        <v/>
      </c>
      <c r="I68" s="96">
        <f>BDP("=A68&amp;" US Equity"","NET_DEBT_TO_EBITDA")</f>
        <v/>
      </c>
      <c r="J68" s="93">
        <f>BDP("=A68&amp;" US Equity"","BEST_SALES","BEST_FPERIOD_OVERRIDE","26Y")/1000</f>
        <v/>
      </c>
      <c r="K68" s="97">
        <f>IF(BDP("=A68&amp;" US Equity"","BEST_SALES","BEST_FPERIOD_OVERRIDE","26Y")&lt;&gt;0,BDP("=A68&amp;" US Equity"","BEST_EBIT","BEST_FPERIOD_OVERRIDE","26Y")/BDP("=A68&amp;" US Equity"","BEST_SALES","BEST_FPERIOD_OVERRIDE","26Y"),"")</f>
        <v/>
      </c>
      <c r="L68" s="97">
        <f>BDP("=A68&amp;" US Equity"","RETURN_ON_INV_CAPITAL")/100</f>
        <v/>
      </c>
      <c r="M68" s="97">
        <f>IF(AND(BDP("=A68&amp;" US Equity"","BEST_SALES","BEST_FPERIOD_OVERRIDE","25Y")&gt;0,BDP("=A68&amp;" US Equity"","BEST_SALES","BEST_FPERIOD_OVERRIDE","28Y")&gt;0),(BDP("=A68&amp;" US Equity"","BEST_SALES","BEST_FPERIOD_OVERRIDE","28Y")/BDP("=A68&amp;" US Equity"","BEST_SALES","BEST_FPERIOD_OVERRIDE","25Y"))^(1/3)-1,"")</f>
        <v/>
      </c>
      <c r="N68" s="97">
        <f>IF(AND(BDP("=A68&amp;" US Equity"","BEST_EBIT","BEST_FPERIOD_OVERRIDE","25Y")&gt;0,BDP("=A68&amp;" US Equity"","BEST_EBIT","BEST_FPERIOD_OVERRIDE","28Y")&gt;0),(BDP("=A68&amp;" US Equity"","BEST_EBIT","BEST_FPERIOD_OVERRIDE","28Y")/BDP("=A68&amp;" US Equity"","BEST_EBIT","BEST_FPERIOD_OVERRIDE","25Y"))^(1/3)-1,"")</f>
        <v/>
      </c>
      <c r="O68" s="97">
        <f>IF(AND(BDP("=A68&amp;" US Equity"","BEST_EPS","BEST_FPERIOD_OVERRIDE","25Y")&gt;0,BDP("=A68&amp;" US Equity"","BEST_EPS","BEST_FPERIOD_OVERRIDE","28Y")&gt;0),(BDP("=A68&amp;" US Equity"","BEST_EPS","BEST_FPERIOD_OVERRIDE","28Y")/BDP("=A68&amp;" US Equity"","BEST_EPS","BEST_FPERIOD_OVERRIDE","25Y"))^(1/3)-1,"")</f>
        <v/>
      </c>
      <c r="Q68" s="97">
        <f>BDP("=A68&amp;" US Equity"","CHG_PCT_YTD")/100</f>
        <v/>
      </c>
      <c r="T68" s="68">
        <f>IF(AND(F68&lt;&gt;"",O68&lt;&gt;"",O68&lt;&gt;0),F68/(O68*100),"")</f>
        <v/>
      </c>
      <c r="AB68" s="93">
        <f>BDP("=A68&amp;" US Equity"","TRAIL_12M_OPER_INC")</f>
        <v/>
      </c>
      <c r="AC68" s="93">
        <f>BDP("=A68&amp;" US Equity"","SHORT_AND_LONG_TERM_DEBT")</f>
        <v/>
      </c>
      <c r="AD68" s="93">
        <f>BDP("=A68&amp;" US Equity"","TOTAL_EQUITY")</f>
        <v/>
      </c>
      <c r="AE68" s="93">
        <f>BDP("=A68&amp;" US Equity"","BS_CASH_NEAR_CASH_ITEM")</f>
        <v/>
      </c>
      <c r="AF68" s="99">
        <f>BDP("=A68&amp;" US Equity"","BS_LT_INVEST")</f>
        <v/>
      </c>
      <c r="AG68" s="15">
        <f>AC68+AD68</f>
        <v/>
      </c>
      <c r="AH68" s="100">
        <f>BDP("=A68&amp;" US Equity"","RETURN_ON_INV_CAPITAL")/100</f>
        <v/>
      </c>
      <c r="AJ68" s="93">
        <f>BDP("=A68&amp;" US Equity"","BEST_EPS","BEST_FPERIOD_OVERRIDE","24Y")</f>
        <v/>
      </c>
      <c r="AK68" s="93">
        <f>BDP("=A68&amp;" US Equity"","BEST_EPS","BEST_FPERIOD_OVERRIDE","25Y")</f>
        <v/>
      </c>
      <c r="AL68" s="93">
        <f>BDP("=A68&amp;" US Equity"","BEST_EPS","BEST_FPERIOD_OVERRIDE","26Y")</f>
        <v/>
      </c>
      <c r="AM68" s="93">
        <f>BDP("=A68&amp;" US Equity"","BEST_EPS","BEST_FPERIOD_OVERRIDE","27Y")</f>
        <v/>
      </c>
      <c r="AN68" s="93">
        <f>BDP("=A68&amp;" US Equity"","BEST_EPS","BEST_FPERIOD_OVERRIDE","28Y")</f>
        <v/>
      </c>
      <c r="AP68" s="93">
        <f>BDP("=A68&amp;" US Equity"","BEST_SALES","BEST_FPERIOD_OVERRIDE","24Y")</f>
        <v/>
      </c>
      <c r="AQ68" s="93">
        <f>BDP("=A68&amp;" US Equity"","BEST_SALES","BEST_FPERIOD_OVERRIDE","25Y")</f>
        <v/>
      </c>
      <c r="AR68" s="93">
        <f>BDP("=A68&amp;" US Equity"","BEST_SALES","BEST_FPERIOD_OVERRIDE","26Y")</f>
        <v/>
      </c>
      <c r="AS68" s="93">
        <f>BDP("=A68&amp;" US Equity"","BEST_SALES","BEST_FPERIOD_OVERRIDE","27Y")</f>
        <v/>
      </c>
      <c r="AT68" s="93">
        <f>BDP("=A68&amp;" US Equity"","BEST_SALES","BEST_FPERIOD_OVERRIDE","28Y")</f>
        <v/>
      </c>
      <c r="AV68" s="93">
        <f>BDP("=A68&amp;" US Equity"","BEST_EBIT","BEST_FPERIOD_OVERRIDE","24Y")</f>
        <v/>
      </c>
      <c r="AW68" s="93">
        <f>BDP("=A68&amp;" US Equity"","BEST_EBIT","BEST_FPERIOD_OVERRIDE","25Y")</f>
        <v/>
      </c>
      <c r="AX68" s="93">
        <f>BDP("=A68&amp;" US Equity"","BEST_EBIT","BEST_FPERIOD_OVERRIDE","26Y")</f>
        <v/>
      </c>
      <c r="AY68" s="93">
        <f>BDP("=A68&amp;" US Equity"","BEST_EBIT","BEST_FPERIOD_OVERRIDE","27Y")</f>
        <v/>
      </c>
      <c r="AZ68" s="93">
        <f>BDP("=A68&amp;" US Equity"","BEST_EBIT","BEST_FPERIOD_OVERRIDE","28Y")</f>
        <v/>
      </c>
      <c r="BB68" s="68">
        <f>D68+BC68</f>
        <v/>
      </c>
      <c r="BC68" s="68">
        <f>AC68-AE68</f>
        <v/>
      </c>
      <c r="BD68" s="15">
        <f>D68</f>
        <v/>
      </c>
      <c r="BE68" s="99">
        <f>BDP("=A68&amp;" US Equity"","TRAIL_12M_EBITDA")</f>
        <v/>
      </c>
    </row>
    <row r="69">
      <c r="A69" t="inlineStr">
        <is>
          <t>BKNG</t>
        </is>
      </c>
      <c r="B69">
        <f>A69&amp;" US Equity"</f>
        <v/>
      </c>
      <c r="C69" s="15" t="inlineStr">
        <is>
          <t>Dec</t>
        </is>
      </c>
      <c r="D69" s="93">
        <f>BDP("=A69&amp;" US Equity"","CUR_MKT_CAP")/1000000000</f>
        <v/>
      </c>
      <c r="E69" s="94">
        <f>BDP("=A69&amp;" US Equity"","PX_LAST")</f>
        <v/>
      </c>
      <c r="F69" s="95">
        <f>IF(BDP("=A69&amp;" US Equity"","BEST_EPS","BEST_FPERIOD_OVERRIDE","26Y")&lt;&gt;0,$E$69/BDP("=A69&amp;" US Equity"","BEST_EPS","BEST_FPERIOD_OVERRIDE","26Y"),"")</f>
        <v/>
      </c>
      <c r="G69" s="95">
        <f>IF(BDP("=A69&amp;" US Equity"","BEST_EPS","BEST_FPERIOD_OVERRIDE","27Y")&lt;&gt;0,$E$69/BDP("=A69&amp;" US Equity"","BEST_EPS","BEST_FPERIOD_OVERRIDE","27Y"),"")</f>
        <v/>
      </c>
      <c r="H69" s="95">
        <f>IF(BDP("=A69&amp;" US Equity"","BEST_EPS","BEST_FPERIOD_OVERRIDE","28Y")&lt;&gt;0,$E$69/BDP("=A69&amp;" US Equity"","BEST_EPS","BEST_FPERIOD_OVERRIDE","28Y"),"")</f>
        <v/>
      </c>
      <c r="I69" s="96">
        <f>BDP("=A69&amp;" US Equity"","NET_DEBT_TO_EBITDA")</f>
        <v/>
      </c>
      <c r="J69" s="93">
        <f>BDP("=A69&amp;" US Equity"","BEST_SALES","BEST_FPERIOD_OVERRIDE","26Y")/1000</f>
        <v/>
      </c>
      <c r="K69" s="97">
        <f>IF(BDP("=A69&amp;" US Equity"","BEST_SALES","BEST_FPERIOD_OVERRIDE","26Y")&lt;&gt;0,BDP("=A69&amp;" US Equity"","BEST_EBIT","BEST_FPERIOD_OVERRIDE","26Y")/BDP("=A69&amp;" US Equity"","BEST_SALES","BEST_FPERIOD_OVERRIDE","26Y"),"")</f>
        <v/>
      </c>
      <c r="L69" s="97">
        <f>BDP("=A69&amp;" US Equity"","RETURN_ON_INV_CAPITAL")/100</f>
        <v/>
      </c>
      <c r="M69" s="97">
        <f>IF(AND(BDP("=A69&amp;" US Equity"","BEST_SALES","BEST_FPERIOD_OVERRIDE","25Y")&gt;0,BDP("=A69&amp;" US Equity"","BEST_SALES","BEST_FPERIOD_OVERRIDE","28Y")&gt;0),(BDP("=A69&amp;" US Equity"","BEST_SALES","BEST_FPERIOD_OVERRIDE","28Y")/BDP("=A69&amp;" US Equity"","BEST_SALES","BEST_FPERIOD_OVERRIDE","25Y"))^(1/3)-1,"")</f>
        <v/>
      </c>
      <c r="N69" s="97">
        <f>IF(AND(BDP("=A69&amp;" US Equity"","BEST_EBIT","BEST_FPERIOD_OVERRIDE","25Y")&gt;0,BDP("=A69&amp;" US Equity"","BEST_EBIT","BEST_FPERIOD_OVERRIDE","28Y")&gt;0),(BDP("=A69&amp;" US Equity"","BEST_EBIT","BEST_FPERIOD_OVERRIDE","28Y")/BDP("=A69&amp;" US Equity"","BEST_EBIT","BEST_FPERIOD_OVERRIDE","25Y"))^(1/3)-1,"")</f>
        <v/>
      </c>
      <c r="O69" s="97">
        <f>IF(AND(BDP("=A69&amp;" US Equity"","BEST_EPS","BEST_FPERIOD_OVERRIDE","25Y")&gt;0,BDP("=A69&amp;" US Equity"","BEST_EPS","BEST_FPERIOD_OVERRIDE","28Y")&gt;0),(BDP("=A69&amp;" US Equity"","BEST_EPS","BEST_FPERIOD_OVERRIDE","28Y")/BDP("=A69&amp;" US Equity"","BEST_EPS","BEST_FPERIOD_OVERRIDE","25Y"))^(1/3)-1,"")</f>
        <v/>
      </c>
      <c r="Q69" s="97">
        <f>BDP("=A69&amp;" US Equity"","CHG_PCT_YTD")/100</f>
        <v/>
      </c>
      <c r="T69" s="68">
        <f>IF(AND(F69&lt;&gt;"",O69&lt;&gt;"",O69&lt;&gt;0),F69/(O69*100),"")</f>
        <v/>
      </c>
      <c r="AB69" s="93">
        <f>BDP("=A69&amp;" US Equity"","TRAIL_12M_OPER_INC")</f>
        <v/>
      </c>
      <c r="AC69" s="93">
        <f>BDP("=A69&amp;" US Equity"","SHORT_AND_LONG_TERM_DEBT")</f>
        <v/>
      </c>
      <c r="AD69" s="93">
        <f>BDP("=A69&amp;" US Equity"","TOTAL_EQUITY")</f>
        <v/>
      </c>
      <c r="AE69" s="93">
        <f>BDP("=A69&amp;" US Equity"","BS_CASH_NEAR_CASH_ITEM")</f>
        <v/>
      </c>
      <c r="AF69" s="99">
        <f>BDP("=A69&amp;" US Equity"","BS_LT_INVEST")</f>
        <v/>
      </c>
      <c r="AG69" s="15">
        <f>AC69+AD69</f>
        <v/>
      </c>
      <c r="AH69" s="100">
        <f>BDP("=A69&amp;" US Equity"","RETURN_ON_INV_CAPITAL")/100</f>
        <v/>
      </c>
      <c r="AJ69" s="93">
        <f>BDP("=A69&amp;" US Equity"","BEST_EPS","BEST_FPERIOD_OVERRIDE","24Y")</f>
        <v/>
      </c>
      <c r="AK69" s="93">
        <f>BDP("=A69&amp;" US Equity"","BEST_EPS","BEST_FPERIOD_OVERRIDE","25Y")</f>
        <v/>
      </c>
      <c r="AL69" s="93">
        <f>BDP("=A69&amp;" US Equity"","BEST_EPS","BEST_FPERIOD_OVERRIDE","26Y")</f>
        <v/>
      </c>
      <c r="AM69" s="93">
        <f>BDP("=A69&amp;" US Equity"","BEST_EPS","BEST_FPERIOD_OVERRIDE","27Y")</f>
        <v/>
      </c>
      <c r="AN69" s="93">
        <f>BDP("=A69&amp;" US Equity"","BEST_EPS","BEST_FPERIOD_OVERRIDE","28Y")</f>
        <v/>
      </c>
      <c r="AP69" s="93">
        <f>BDP("=A69&amp;" US Equity"","BEST_SALES","BEST_FPERIOD_OVERRIDE","24Y")</f>
        <v/>
      </c>
      <c r="AQ69" s="93">
        <f>BDP("=A69&amp;" US Equity"","BEST_SALES","BEST_FPERIOD_OVERRIDE","25Y")</f>
        <v/>
      </c>
      <c r="AR69" s="93">
        <f>BDP("=A69&amp;" US Equity"","BEST_SALES","BEST_FPERIOD_OVERRIDE","26Y")</f>
        <v/>
      </c>
      <c r="AS69" s="93">
        <f>BDP("=A69&amp;" US Equity"","BEST_SALES","BEST_FPERIOD_OVERRIDE","27Y")</f>
        <v/>
      </c>
      <c r="AT69" s="93">
        <f>BDP("=A69&amp;" US Equity"","BEST_SALES","BEST_FPERIOD_OVERRIDE","28Y")</f>
        <v/>
      </c>
      <c r="AV69" s="93">
        <f>BDP("=A69&amp;" US Equity"","BEST_EBIT","BEST_FPERIOD_OVERRIDE","24Y")</f>
        <v/>
      </c>
      <c r="AW69" s="93">
        <f>BDP("=A69&amp;" US Equity"","BEST_EBIT","BEST_FPERIOD_OVERRIDE","25Y")</f>
        <v/>
      </c>
      <c r="AX69" s="93">
        <f>BDP("=A69&amp;" US Equity"","BEST_EBIT","BEST_FPERIOD_OVERRIDE","26Y")</f>
        <v/>
      </c>
      <c r="AY69" s="93">
        <f>BDP("=A69&amp;" US Equity"","BEST_EBIT","BEST_FPERIOD_OVERRIDE","27Y")</f>
        <v/>
      </c>
      <c r="AZ69" s="93">
        <f>BDP("=A69&amp;" US Equity"","BEST_EBIT","BEST_FPERIOD_OVERRIDE","28Y")</f>
        <v/>
      </c>
      <c r="BB69" s="68">
        <f>D69+BC69</f>
        <v/>
      </c>
      <c r="BC69" s="68">
        <f>AC69-AE69</f>
        <v/>
      </c>
      <c r="BD69" s="15">
        <f>D69</f>
        <v/>
      </c>
      <c r="BE69" s="99">
        <f>BDP("=A69&amp;" US Equity"","TRAIL_12M_EBITDA")</f>
        <v/>
      </c>
    </row>
    <row r="70">
      <c r="A70" t="inlineStr">
        <is>
          <t>UBER</t>
        </is>
      </c>
      <c r="B70">
        <f>A70&amp;" US Equity"</f>
        <v/>
      </c>
      <c r="C70" s="15" t="inlineStr">
        <is>
          <t>Dec</t>
        </is>
      </c>
      <c r="D70" s="93">
        <f>BDP("=A70&amp;" US Equity"","CUR_MKT_CAP")/1000000000</f>
        <v/>
      </c>
      <c r="E70" s="94">
        <f>BDP("=A70&amp;" US Equity"","PX_LAST")</f>
        <v/>
      </c>
      <c r="F70" s="95">
        <f>IF(BDP("=A70&amp;" US Equity"","BEST_EPS","BEST_FPERIOD_OVERRIDE","26Y")&lt;&gt;0,$E$70/BDP("=A70&amp;" US Equity"","BEST_EPS","BEST_FPERIOD_OVERRIDE","26Y"),"")</f>
        <v/>
      </c>
      <c r="G70" s="95">
        <f>IF(BDP("=A70&amp;" US Equity"","BEST_EPS","BEST_FPERIOD_OVERRIDE","27Y")&lt;&gt;0,$E$70/BDP("=A70&amp;" US Equity"","BEST_EPS","BEST_FPERIOD_OVERRIDE","27Y"),"")</f>
        <v/>
      </c>
      <c r="H70" s="95">
        <f>IF(BDP("=A70&amp;" US Equity"","BEST_EPS","BEST_FPERIOD_OVERRIDE","28Y")&lt;&gt;0,$E$70/BDP("=A70&amp;" US Equity"","BEST_EPS","BEST_FPERIOD_OVERRIDE","28Y"),"")</f>
        <v/>
      </c>
      <c r="I70" s="96">
        <f>BDP("=A70&amp;" US Equity"","NET_DEBT_TO_EBITDA")</f>
        <v/>
      </c>
      <c r="J70" s="93">
        <f>BDP("=A70&amp;" US Equity"","BEST_SALES","BEST_FPERIOD_OVERRIDE","26Y")/1000</f>
        <v/>
      </c>
      <c r="K70" s="97">
        <f>IF(BDP("=A70&amp;" US Equity"","BEST_SALES","BEST_FPERIOD_OVERRIDE","26Y")&lt;&gt;0,BDP("=A70&amp;" US Equity"","BEST_EBIT","BEST_FPERIOD_OVERRIDE","26Y")/BDP("=A70&amp;" US Equity"","BEST_SALES","BEST_FPERIOD_OVERRIDE","26Y"),"")</f>
        <v/>
      </c>
      <c r="L70" s="97">
        <f>BDP("=A70&amp;" US Equity"","RETURN_ON_INV_CAPITAL")/100</f>
        <v/>
      </c>
      <c r="M70" s="97">
        <f>IF(AND(BDP("=A70&amp;" US Equity"","BEST_SALES","BEST_FPERIOD_OVERRIDE","25Y")&gt;0,BDP("=A70&amp;" US Equity"","BEST_SALES","BEST_FPERIOD_OVERRIDE","28Y")&gt;0),(BDP("=A70&amp;" US Equity"","BEST_SALES","BEST_FPERIOD_OVERRIDE","28Y")/BDP("=A70&amp;" US Equity"","BEST_SALES","BEST_FPERIOD_OVERRIDE","25Y"))^(1/3)-1,"")</f>
        <v/>
      </c>
      <c r="N70" s="97">
        <f>IF(AND(BDP("=A70&amp;" US Equity"","BEST_EBIT","BEST_FPERIOD_OVERRIDE","25Y")&gt;0,BDP("=A70&amp;" US Equity"","BEST_EBIT","BEST_FPERIOD_OVERRIDE","28Y")&gt;0),(BDP("=A70&amp;" US Equity"","BEST_EBIT","BEST_FPERIOD_OVERRIDE","28Y")/BDP("=A70&amp;" US Equity"","BEST_EBIT","BEST_FPERIOD_OVERRIDE","25Y"))^(1/3)-1,"")</f>
        <v/>
      </c>
      <c r="O70" s="97">
        <f>IF(AND(BDP("=A70&amp;" US Equity"","BEST_EPS","BEST_FPERIOD_OVERRIDE","25Y")&gt;0,BDP("=A70&amp;" US Equity"","BEST_EPS","BEST_FPERIOD_OVERRIDE","28Y")&gt;0),(BDP("=A70&amp;" US Equity"","BEST_EPS","BEST_FPERIOD_OVERRIDE","28Y")/BDP("=A70&amp;" US Equity"","BEST_EPS","BEST_FPERIOD_OVERRIDE","25Y"))^(1/3)-1,"")</f>
        <v/>
      </c>
      <c r="Q70" s="97">
        <f>BDP("=A70&amp;" US Equity"","CHG_PCT_YTD")/100</f>
        <v/>
      </c>
      <c r="T70" s="68">
        <f>IF(AND(F70&lt;&gt;"",O70&lt;&gt;"",O70&lt;&gt;0),F70/(O70*100),"")</f>
        <v/>
      </c>
      <c r="AB70" s="93">
        <f>BDP("=A70&amp;" US Equity"","TRAIL_12M_OPER_INC")</f>
        <v/>
      </c>
      <c r="AC70" s="93">
        <f>BDP("=A70&amp;" US Equity"","SHORT_AND_LONG_TERM_DEBT")</f>
        <v/>
      </c>
      <c r="AD70" s="93">
        <f>BDP("=A70&amp;" US Equity"","TOTAL_EQUITY")</f>
        <v/>
      </c>
      <c r="AE70" s="93">
        <f>BDP("=A70&amp;" US Equity"","BS_CASH_NEAR_CASH_ITEM")</f>
        <v/>
      </c>
      <c r="AF70" s="99">
        <f>BDP("=A70&amp;" US Equity"","BS_LT_INVEST")</f>
        <v/>
      </c>
      <c r="AG70" s="15">
        <f>AC70+AD70</f>
        <v/>
      </c>
      <c r="AH70" s="100">
        <f>BDP("=A70&amp;" US Equity"","RETURN_ON_INV_CAPITAL")/100</f>
        <v/>
      </c>
      <c r="AJ70" s="93">
        <f>BDP("=A70&amp;" US Equity"","BEST_EPS","BEST_FPERIOD_OVERRIDE","24Y")</f>
        <v/>
      </c>
      <c r="AK70" s="93">
        <f>BDP("=A70&amp;" US Equity"","BEST_EPS","BEST_FPERIOD_OVERRIDE","25Y")</f>
        <v/>
      </c>
      <c r="AL70" s="93">
        <f>BDP("=A70&amp;" US Equity"","BEST_EPS","BEST_FPERIOD_OVERRIDE","26Y")</f>
        <v/>
      </c>
      <c r="AM70" s="93">
        <f>BDP("=A70&amp;" US Equity"","BEST_EPS","BEST_FPERIOD_OVERRIDE","27Y")</f>
        <v/>
      </c>
      <c r="AN70" s="93">
        <f>BDP("=A70&amp;" US Equity"","BEST_EPS","BEST_FPERIOD_OVERRIDE","28Y")</f>
        <v/>
      </c>
      <c r="AP70" s="93">
        <f>BDP("=A70&amp;" US Equity"","BEST_SALES","BEST_FPERIOD_OVERRIDE","24Y")</f>
        <v/>
      </c>
      <c r="AQ70" s="93">
        <f>BDP("=A70&amp;" US Equity"","BEST_SALES","BEST_FPERIOD_OVERRIDE","25Y")</f>
        <v/>
      </c>
      <c r="AR70" s="93">
        <f>BDP("=A70&amp;" US Equity"","BEST_SALES","BEST_FPERIOD_OVERRIDE","26Y")</f>
        <v/>
      </c>
      <c r="AS70" s="93">
        <f>BDP("=A70&amp;" US Equity"","BEST_SALES","BEST_FPERIOD_OVERRIDE","27Y")</f>
        <v/>
      </c>
      <c r="AT70" s="93">
        <f>BDP("=A70&amp;" US Equity"","BEST_SALES","BEST_FPERIOD_OVERRIDE","28Y")</f>
        <v/>
      </c>
      <c r="AV70" s="93">
        <f>BDP("=A70&amp;" US Equity"","BEST_EBIT","BEST_FPERIOD_OVERRIDE","24Y")</f>
        <v/>
      </c>
      <c r="AW70" s="93">
        <f>BDP("=A70&amp;" US Equity"","BEST_EBIT","BEST_FPERIOD_OVERRIDE","25Y")</f>
        <v/>
      </c>
      <c r="AX70" s="93">
        <f>BDP("=A70&amp;" US Equity"","BEST_EBIT","BEST_FPERIOD_OVERRIDE","26Y")</f>
        <v/>
      </c>
      <c r="AY70" s="93">
        <f>BDP("=A70&amp;" US Equity"","BEST_EBIT","BEST_FPERIOD_OVERRIDE","27Y")</f>
        <v/>
      </c>
      <c r="AZ70" s="93">
        <f>BDP("=A70&amp;" US Equity"","BEST_EBIT","BEST_FPERIOD_OVERRIDE","28Y")</f>
        <v/>
      </c>
      <c r="BB70" s="68">
        <f>D70+BC70</f>
        <v/>
      </c>
      <c r="BC70" s="68">
        <f>AC70-AE70</f>
        <v/>
      </c>
      <c r="BD70" s="15">
        <f>D70</f>
        <v/>
      </c>
      <c r="BE70" s="99">
        <f>BDP("=A70&amp;" US Equity"","TRAIL_12M_EBITDA")</f>
        <v/>
      </c>
    </row>
    <row r="71" ht="13.9" customHeight="1">
      <c r="A71" t="inlineStr">
        <is>
          <t>SGI</t>
        </is>
      </c>
      <c r="B71">
        <f>A71&amp;" US Equity"</f>
        <v/>
      </c>
      <c r="C71" s="15" t="inlineStr">
        <is>
          <t>Dec</t>
        </is>
      </c>
      <c r="D71" s="93">
        <f>BDP("=A71&amp;" US Equity"","CUR_MKT_CAP")/1000000000</f>
        <v/>
      </c>
      <c r="E71" s="94">
        <f>BDP("=A71&amp;" US Equity"","PX_LAST")</f>
        <v/>
      </c>
      <c r="F71" s="95">
        <f>IF(BDP("=A71&amp;" US Equity"","BEST_EPS","BEST_FPERIOD_OVERRIDE","26Y")&lt;&gt;0,$E$71/BDP("=A71&amp;" US Equity"","BEST_EPS","BEST_FPERIOD_OVERRIDE","26Y"),"")</f>
        <v/>
      </c>
      <c r="G71" s="95">
        <f>IF(BDP("=A71&amp;" US Equity"","BEST_EPS","BEST_FPERIOD_OVERRIDE","27Y")&lt;&gt;0,$E$71/BDP("=A71&amp;" US Equity"","BEST_EPS","BEST_FPERIOD_OVERRIDE","27Y"),"")</f>
        <v/>
      </c>
      <c r="H71" s="95">
        <f>IF(BDP("=A71&amp;" US Equity"","BEST_EPS","BEST_FPERIOD_OVERRIDE","28Y")&lt;&gt;0,$E$71/BDP("=A71&amp;" US Equity"","BEST_EPS","BEST_FPERIOD_OVERRIDE","28Y"),"")</f>
        <v/>
      </c>
      <c r="I71" s="96">
        <f>BDP("=A71&amp;" US Equity"","NET_DEBT_TO_EBITDA")</f>
        <v/>
      </c>
      <c r="J71" s="93">
        <f>BDP("=A71&amp;" US Equity"","BEST_SALES","BEST_FPERIOD_OVERRIDE","26Y")/1000</f>
        <v/>
      </c>
      <c r="K71" s="97">
        <f>IF(BDP("=A71&amp;" US Equity"","BEST_SALES","BEST_FPERIOD_OVERRIDE","26Y")&lt;&gt;0,BDP("=A71&amp;" US Equity"","BEST_EBIT","BEST_FPERIOD_OVERRIDE","26Y")/BDP("=A71&amp;" US Equity"","BEST_SALES","BEST_FPERIOD_OVERRIDE","26Y"),"")</f>
        <v/>
      </c>
      <c r="L71" s="97">
        <f>BDP("=A71&amp;" US Equity"","RETURN_ON_INV_CAPITAL")/100</f>
        <v/>
      </c>
      <c r="M71" s="97">
        <f>IF(AND(BDP("=A71&amp;" US Equity"","BEST_SALES","BEST_FPERIOD_OVERRIDE","25Y")&gt;0,BDP("=A71&amp;" US Equity"","BEST_SALES","BEST_FPERIOD_OVERRIDE","28Y")&gt;0),(BDP("=A71&amp;" US Equity"","BEST_SALES","BEST_FPERIOD_OVERRIDE","28Y")/BDP("=A71&amp;" US Equity"","BEST_SALES","BEST_FPERIOD_OVERRIDE","25Y"))^(1/3)-1,"")</f>
        <v/>
      </c>
      <c r="N71" s="97">
        <f>IF(AND(BDP("=A71&amp;" US Equity"","BEST_EBIT","BEST_FPERIOD_OVERRIDE","25Y")&gt;0,BDP("=A71&amp;" US Equity"","BEST_EBIT","BEST_FPERIOD_OVERRIDE","28Y")&gt;0),(BDP("=A71&amp;" US Equity"","BEST_EBIT","BEST_FPERIOD_OVERRIDE","28Y")/BDP("=A71&amp;" US Equity"","BEST_EBIT","BEST_FPERIOD_OVERRIDE","25Y"))^(1/3)-1,"")</f>
        <v/>
      </c>
      <c r="O71" s="97">
        <f>IF(AND(BDP("=A71&amp;" US Equity"","BEST_EPS","BEST_FPERIOD_OVERRIDE","25Y")&gt;0,BDP("=A71&amp;" US Equity"","BEST_EPS","BEST_FPERIOD_OVERRIDE","28Y")&gt;0),(BDP("=A71&amp;" US Equity"","BEST_EPS","BEST_FPERIOD_OVERRIDE","28Y")/BDP("=A71&amp;" US Equity"","BEST_EPS","BEST_FPERIOD_OVERRIDE","25Y"))^(1/3)-1,"")</f>
        <v/>
      </c>
      <c r="Q71" s="97">
        <f>BDP("=A71&amp;" US Equity"","CHG_PCT_YTD")/100</f>
        <v/>
      </c>
      <c r="T71" s="68">
        <f>IF(AND(F71&lt;&gt;"",O71&lt;&gt;"",O71&lt;&gt;0),F71/(O71*100),"")</f>
        <v/>
      </c>
      <c r="AB71" s="93">
        <f>BDP("=A71&amp;" US Equity"","TRAIL_12M_OPER_INC")</f>
        <v/>
      </c>
      <c r="AC71" s="93">
        <f>BDP("=A71&amp;" US Equity"","SHORT_AND_LONG_TERM_DEBT")</f>
        <v/>
      </c>
      <c r="AD71" s="93">
        <f>BDP("=A71&amp;" US Equity"","TOTAL_EQUITY")</f>
        <v/>
      </c>
      <c r="AE71" s="93">
        <f>BDP("=A71&amp;" US Equity"","BS_CASH_NEAR_CASH_ITEM")</f>
        <v/>
      </c>
      <c r="AF71" s="99">
        <f>BDP("=A71&amp;" US Equity"","BS_LT_INVEST")</f>
        <v/>
      </c>
      <c r="AG71" s="15">
        <f>AC71+AD71</f>
        <v/>
      </c>
      <c r="AH71" s="100">
        <f>BDP("=A71&amp;" US Equity"","RETURN_ON_INV_CAPITAL")/100</f>
        <v/>
      </c>
      <c r="AJ71" s="93">
        <f>BDP("=A71&amp;" US Equity"","BEST_EPS","BEST_FPERIOD_OVERRIDE","24Y")</f>
        <v/>
      </c>
      <c r="AK71" s="93">
        <f>BDP("=A71&amp;" US Equity"","BEST_EPS","BEST_FPERIOD_OVERRIDE","25Y")</f>
        <v/>
      </c>
      <c r="AL71" s="93">
        <f>BDP("=A71&amp;" US Equity"","BEST_EPS","BEST_FPERIOD_OVERRIDE","26Y")</f>
        <v/>
      </c>
      <c r="AM71" s="93">
        <f>BDP("=A71&amp;" US Equity"","BEST_EPS","BEST_FPERIOD_OVERRIDE","27Y")</f>
        <v/>
      </c>
      <c r="AN71" s="93">
        <f>BDP("=A71&amp;" US Equity"","BEST_EPS","BEST_FPERIOD_OVERRIDE","28Y")</f>
        <v/>
      </c>
      <c r="AP71" s="93">
        <f>BDP("=A71&amp;" US Equity"","BEST_SALES","BEST_FPERIOD_OVERRIDE","24Y")</f>
        <v/>
      </c>
      <c r="AQ71" s="93">
        <f>BDP("=A71&amp;" US Equity"","BEST_SALES","BEST_FPERIOD_OVERRIDE","25Y")</f>
        <v/>
      </c>
      <c r="AR71" s="93">
        <f>BDP("=A71&amp;" US Equity"","BEST_SALES","BEST_FPERIOD_OVERRIDE","26Y")</f>
        <v/>
      </c>
      <c r="AS71" s="93">
        <f>BDP("=A71&amp;" US Equity"","BEST_SALES","BEST_FPERIOD_OVERRIDE","27Y")</f>
        <v/>
      </c>
      <c r="AT71" s="93">
        <f>BDP("=A71&amp;" US Equity"","BEST_SALES","BEST_FPERIOD_OVERRIDE","28Y")</f>
        <v/>
      </c>
      <c r="AV71" s="93">
        <f>BDP("=A71&amp;" US Equity"","BEST_EBIT","BEST_FPERIOD_OVERRIDE","24Y")</f>
        <v/>
      </c>
      <c r="AW71" s="93">
        <f>BDP("=A71&amp;" US Equity"","BEST_EBIT","BEST_FPERIOD_OVERRIDE","25Y")</f>
        <v/>
      </c>
      <c r="AX71" s="93">
        <f>BDP("=A71&amp;" US Equity"","BEST_EBIT","BEST_FPERIOD_OVERRIDE","26Y")</f>
        <v/>
      </c>
      <c r="AY71" s="93">
        <f>BDP("=A71&amp;" US Equity"","BEST_EBIT","BEST_FPERIOD_OVERRIDE","27Y")</f>
        <v/>
      </c>
      <c r="AZ71" s="93">
        <f>BDP("=A71&amp;" US Equity"","BEST_EBIT","BEST_FPERIOD_OVERRIDE","28Y")</f>
        <v/>
      </c>
      <c r="BB71" s="68">
        <f>D71+BC71</f>
        <v/>
      </c>
      <c r="BC71" s="68">
        <f>AC71-AE71</f>
        <v/>
      </c>
      <c r="BD71" s="15">
        <f>D71</f>
        <v/>
      </c>
      <c r="BE71" s="99">
        <f>BDP("=A71&amp;" US Equity"","TRAIL_12M_EBITDA")</f>
        <v/>
      </c>
    </row>
    <row r="72">
      <c r="A72" t="inlineStr">
        <is>
          <t>FWONK</t>
        </is>
      </c>
      <c r="B72">
        <f>A72&amp;" US Equity"</f>
        <v/>
      </c>
      <c r="C72" s="15" t="inlineStr">
        <is>
          <t>Dec</t>
        </is>
      </c>
      <c r="D72" s="93">
        <f>BDP("=A72&amp;" US Equity"","CUR_MKT_CAP")/1000000000</f>
        <v/>
      </c>
      <c r="E72" s="94">
        <f>BDP("=A72&amp;" US Equity"","PX_LAST")</f>
        <v/>
      </c>
      <c r="F72" s="95">
        <f>IF(BDP("=A72&amp;" US Equity"","BEST_EPS","BEST_FPERIOD_OVERRIDE","26Y")&lt;&gt;0,$E$72/BDP("=A72&amp;" US Equity"","BEST_EPS","BEST_FPERIOD_OVERRIDE","26Y"),"")</f>
        <v/>
      </c>
      <c r="G72" s="95">
        <f>IF(BDP("=A72&amp;" US Equity"","BEST_EPS","BEST_FPERIOD_OVERRIDE","27Y")&lt;&gt;0,$E$72/BDP("=A72&amp;" US Equity"","BEST_EPS","BEST_FPERIOD_OVERRIDE","27Y"),"")</f>
        <v/>
      </c>
      <c r="H72" s="95">
        <f>IF(BDP("=A72&amp;" US Equity"","BEST_EPS","BEST_FPERIOD_OVERRIDE","28Y")&lt;&gt;0,$E$72/BDP("=A72&amp;" US Equity"","BEST_EPS","BEST_FPERIOD_OVERRIDE","28Y"),"")</f>
        <v/>
      </c>
      <c r="I72" s="96">
        <f>BDP("=A72&amp;" US Equity"","NET_DEBT_TO_EBITDA")</f>
        <v/>
      </c>
      <c r="J72" s="93">
        <f>BDP("=A72&amp;" US Equity"","BEST_SALES","BEST_FPERIOD_OVERRIDE","26Y")/1000</f>
        <v/>
      </c>
      <c r="K72" s="97">
        <f>IF(BDP("=A72&amp;" US Equity"","BEST_SALES","BEST_FPERIOD_OVERRIDE","26Y")&lt;&gt;0,BDP("=A72&amp;" US Equity"","BEST_EBIT","BEST_FPERIOD_OVERRIDE","26Y")/BDP("=A72&amp;" US Equity"","BEST_SALES","BEST_FPERIOD_OVERRIDE","26Y"),"")</f>
        <v/>
      </c>
      <c r="L72" s="97">
        <f>BDP("=A72&amp;" US Equity"","RETURN_ON_INV_CAPITAL")/100</f>
        <v/>
      </c>
      <c r="M72" s="97">
        <f>IF(AND(BDP("=A72&amp;" US Equity"","BEST_SALES","BEST_FPERIOD_OVERRIDE","25Y")&gt;0,BDP("=A72&amp;" US Equity"","BEST_SALES","BEST_FPERIOD_OVERRIDE","28Y")&gt;0),(BDP("=A72&amp;" US Equity"","BEST_SALES","BEST_FPERIOD_OVERRIDE","28Y")/BDP("=A72&amp;" US Equity"","BEST_SALES","BEST_FPERIOD_OVERRIDE","25Y"))^(1/3)-1,"")</f>
        <v/>
      </c>
      <c r="N72" s="97">
        <f>IF(AND(BDP("=A72&amp;" US Equity"","BEST_EBIT","BEST_FPERIOD_OVERRIDE","25Y")&gt;0,BDP("=A72&amp;" US Equity"","BEST_EBIT","BEST_FPERIOD_OVERRIDE","28Y")&gt;0),(BDP("=A72&amp;" US Equity"","BEST_EBIT","BEST_FPERIOD_OVERRIDE","28Y")/BDP("=A72&amp;" US Equity"","BEST_EBIT","BEST_FPERIOD_OVERRIDE","25Y"))^(1/3)-1,"")</f>
        <v/>
      </c>
      <c r="O72" s="97">
        <f>IF(AND(BDP("=A72&amp;" US Equity"","BEST_EPS","BEST_FPERIOD_OVERRIDE","25Y")&gt;0,BDP("=A72&amp;" US Equity"","BEST_EPS","BEST_FPERIOD_OVERRIDE","28Y")&gt;0),(BDP("=A72&amp;" US Equity"","BEST_EPS","BEST_FPERIOD_OVERRIDE","28Y")/BDP("=A72&amp;" US Equity"","BEST_EPS","BEST_FPERIOD_OVERRIDE","25Y"))^(1/3)-1,"")</f>
        <v/>
      </c>
      <c r="Q72" s="97">
        <f>BDP("=A72&amp;" US Equity"","CHG_PCT_YTD")/100</f>
        <v/>
      </c>
      <c r="T72" s="68">
        <f>IF(AND(F72&lt;&gt;"",O72&lt;&gt;"",O72&lt;&gt;0),F72/(O72*100),"")</f>
        <v/>
      </c>
      <c r="AB72" s="93">
        <f>BDP("=A72&amp;" US Equity"","TRAIL_12M_OPER_INC")</f>
        <v/>
      </c>
      <c r="AC72" s="93">
        <f>BDP("=A72&amp;" US Equity"","SHORT_AND_LONG_TERM_DEBT")</f>
        <v/>
      </c>
      <c r="AD72" s="93">
        <f>BDP("=A72&amp;" US Equity"","TOTAL_EQUITY")</f>
        <v/>
      </c>
      <c r="AE72" s="93">
        <f>BDP("=A72&amp;" US Equity"","BS_CASH_NEAR_CASH_ITEM")</f>
        <v/>
      </c>
      <c r="AF72" s="99">
        <f>BDP("=A72&amp;" US Equity"","BS_LT_INVEST")</f>
        <v/>
      </c>
      <c r="AG72" s="15">
        <f>AC72+AD72</f>
        <v/>
      </c>
      <c r="AH72" s="100">
        <f>BDP("=A72&amp;" US Equity"","RETURN_ON_INV_CAPITAL")/100</f>
        <v/>
      </c>
      <c r="AJ72" s="93">
        <f>BDP("=A72&amp;" US Equity"","BEST_EPS","BEST_FPERIOD_OVERRIDE","24Y")</f>
        <v/>
      </c>
      <c r="AK72" s="93">
        <f>BDP("=A72&amp;" US Equity"","BEST_EPS","BEST_FPERIOD_OVERRIDE","25Y")</f>
        <v/>
      </c>
      <c r="AL72" s="93">
        <f>BDP("=A72&amp;" US Equity"","BEST_EPS","BEST_FPERIOD_OVERRIDE","26Y")</f>
        <v/>
      </c>
      <c r="AM72" s="93">
        <f>BDP("=A72&amp;" US Equity"","BEST_EPS","BEST_FPERIOD_OVERRIDE","27Y")</f>
        <v/>
      </c>
      <c r="AN72" s="93">
        <f>BDP("=A72&amp;" US Equity"","BEST_EPS","BEST_FPERIOD_OVERRIDE","28Y")</f>
        <v/>
      </c>
      <c r="AP72" s="93">
        <f>BDP("=A72&amp;" US Equity"","BEST_SALES","BEST_FPERIOD_OVERRIDE","24Y")</f>
        <v/>
      </c>
      <c r="AQ72" s="93">
        <f>BDP("=A72&amp;" US Equity"","BEST_SALES","BEST_FPERIOD_OVERRIDE","25Y")</f>
        <v/>
      </c>
      <c r="AR72" s="93">
        <f>BDP("=A72&amp;" US Equity"","BEST_SALES","BEST_FPERIOD_OVERRIDE","26Y")</f>
        <v/>
      </c>
      <c r="AS72" s="93">
        <f>BDP("=A72&amp;" US Equity"","BEST_SALES","BEST_FPERIOD_OVERRIDE","27Y")</f>
        <v/>
      </c>
      <c r="AT72" s="93">
        <f>BDP("=A72&amp;" US Equity"","BEST_SALES","BEST_FPERIOD_OVERRIDE","28Y")</f>
        <v/>
      </c>
      <c r="AV72" s="93">
        <f>BDP("=A72&amp;" US Equity"","BEST_EBIT","BEST_FPERIOD_OVERRIDE","24Y")</f>
        <v/>
      </c>
      <c r="AW72" s="93">
        <f>BDP("=A72&amp;" US Equity"","BEST_EBIT","BEST_FPERIOD_OVERRIDE","25Y")</f>
        <v/>
      </c>
      <c r="AX72" s="93">
        <f>BDP("=A72&amp;" US Equity"","BEST_EBIT","BEST_FPERIOD_OVERRIDE","26Y")</f>
        <v/>
      </c>
      <c r="AY72" s="93">
        <f>BDP("=A72&amp;" US Equity"","BEST_EBIT","BEST_FPERIOD_OVERRIDE","27Y")</f>
        <v/>
      </c>
      <c r="AZ72" s="93">
        <f>BDP("=A72&amp;" US Equity"","BEST_EBIT","BEST_FPERIOD_OVERRIDE","28Y")</f>
        <v/>
      </c>
      <c r="BB72" s="68">
        <f>D72+BC72</f>
        <v/>
      </c>
      <c r="BC72" s="68">
        <f>AC72-AE72</f>
        <v/>
      </c>
      <c r="BD72" s="15">
        <f>D72</f>
        <v/>
      </c>
      <c r="BE72" s="99">
        <f>BDP("=A72&amp;" US Equity"","TRAIL_12M_EBITDA")</f>
        <v/>
      </c>
    </row>
    <row r="73" ht="13.9" customHeight="1">
      <c r="A73" t="inlineStr">
        <is>
          <t>MC</t>
        </is>
      </c>
      <c r="B73">
        <f>A73&amp;" FP Equity"</f>
        <v/>
      </c>
      <c r="C73" s="15" t="inlineStr">
        <is>
          <t>Dec</t>
        </is>
      </c>
      <c r="D73" s="93">
        <f>BDP("=A73&amp;" FP Equity"","CUR_MKT_CAP")/1000000000</f>
        <v/>
      </c>
      <c r="E73" s="94">
        <f>BDP("=A73&amp;" FP Equity"","PX_LAST")</f>
        <v/>
      </c>
      <c r="F73" s="95">
        <f>IF(BDP("=A73&amp;" FP Equity"","BEST_EPS","BEST_FPERIOD_OVERRIDE","26Y")&lt;&gt;0,$E$73/BDP("=A73&amp;" FP Equity"","BEST_EPS","BEST_FPERIOD_OVERRIDE","26Y"),"")</f>
        <v/>
      </c>
      <c r="G73" s="95">
        <f>IF(BDP("=A73&amp;" FP Equity"","BEST_EPS","BEST_FPERIOD_OVERRIDE","27Y")&lt;&gt;0,$E$73/BDP("=A73&amp;" FP Equity"","BEST_EPS","BEST_FPERIOD_OVERRIDE","27Y"),"")</f>
        <v/>
      </c>
      <c r="H73" s="95">
        <f>IF(BDP("=A73&amp;" FP Equity"","BEST_EPS","BEST_FPERIOD_OVERRIDE","28Y")&lt;&gt;0,$E$73/BDP("=A73&amp;" FP Equity"","BEST_EPS","BEST_FPERIOD_OVERRIDE","28Y"),"")</f>
        <v/>
      </c>
      <c r="I73" s="96">
        <f>BDP("=A73&amp;" FP Equity"","NET_DEBT_TO_EBITDA")</f>
        <v/>
      </c>
      <c r="J73" s="93">
        <f>BDP("=A73&amp;" FP Equity"","BEST_SALES","BEST_FPERIOD_OVERRIDE","26Y")/1000</f>
        <v/>
      </c>
      <c r="K73" s="97">
        <f>IF(BDP("=A73&amp;" FP Equity"","BEST_SALES","BEST_FPERIOD_OVERRIDE","26Y")&lt;&gt;0,BDP("=A73&amp;" FP Equity"","BEST_EBIT","BEST_FPERIOD_OVERRIDE","26Y")/BDP("=A73&amp;" FP Equity"","BEST_SALES","BEST_FPERIOD_OVERRIDE","26Y"),"")</f>
        <v/>
      </c>
      <c r="L73" s="97">
        <f>BDP("=A73&amp;" FP Equity"","RETURN_ON_INV_CAPITAL")/100</f>
        <v/>
      </c>
      <c r="M73" s="97">
        <f>IF(AND(BDP("=A73&amp;" FP Equity"","BEST_SALES","BEST_FPERIOD_OVERRIDE","25Y")&gt;0,BDP("=A73&amp;" FP Equity"","BEST_SALES","BEST_FPERIOD_OVERRIDE","28Y")&gt;0),(BDP("=A73&amp;" FP Equity"","BEST_SALES","BEST_FPERIOD_OVERRIDE","28Y")/BDP("=A73&amp;" FP Equity"","BEST_SALES","BEST_FPERIOD_OVERRIDE","25Y"))^(1/3)-1,"")</f>
        <v/>
      </c>
      <c r="N73" s="97">
        <f>IF(AND(BDP("=A73&amp;" FP Equity"","BEST_EBIT","BEST_FPERIOD_OVERRIDE","25Y")&gt;0,BDP("=A73&amp;" FP Equity"","BEST_EBIT","BEST_FPERIOD_OVERRIDE","28Y")&gt;0),(BDP("=A73&amp;" FP Equity"","BEST_EBIT","BEST_FPERIOD_OVERRIDE","28Y")/BDP("=A73&amp;" FP Equity"","BEST_EBIT","BEST_FPERIOD_OVERRIDE","25Y"))^(1/3)-1,"")</f>
        <v/>
      </c>
      <c r="O73" s="97">
        <f>IF(AND(BDP("=A73&amp;" FP Equity"","BEST_EPS","BEST_FPERIOD_OVERRIDE","25Y")&gt;0,BDP("=A73&amp;" FP Equity"","BEST_EPS","BEST_FPERIOD_OVERRIDE","28Y")&gt;0),(BDP("=A73&amp;" FP Equity"","BEST_EPS","BEST_FPERIOD_OVERRIDE","28Y")/BDP("=A73&amp;" FP Equity"","BEST_EPS","BEST_FPERIOD_OVERRIDE","25Y"))^(1/3)-1,"")</f>
        <v/>
      </c>
      <c r="Q73" s="97">
        <f>BDP("=A73&amp;" FP Equity"","CHG_PCT_YTD")/100</f>
        <v/>
      </c>
      <c r="T73" s="68">
        <f>IF(AND(F73&lt;&gt;"",O73&lt;&gt;"",O73&lt;&gt;0),F73/(O73*100),"")</f>
        <v/>
      </c>
      <c r="AB73" s="93">
        <f>BDP("=A73&amp;" FP Equity"","TRAIL_12M_OPER_INC")</f>
        <v/>
      </c>
      <c r="AC73" s="93">
        <f>BDP("=A73&amp;" FP Equity"","SHORT_AND_LONG_TERM_DEBT")</f>
        <v/>
      </c>
      <c r="AD73" s="93">
        <f>BDP("=A73&amp;" FP Equity"","TOTAL_EQUITY")</f>
        <v/>
      </c>
      <c r="AE73" s="93">
        <f>BDP("=A73&amp;" FP Equity"","BS_CASH_NEAR_CASH_ITEM")</f>
        <v/>
      </c>
      <c r="AF73" s="99">
        <f>BDP("=A73&amp;" FP Equity"","BS_LT_INVEST")</f>
        <v/>
      </c>
      <c r="AG73" s="15">
        <f>AC73+AD73</f>
        <v/>
      </c>
      <c r="AH73" s="100">
        <f>BDP("=A73&amp;" FP Equity"","RETURN_ON_INV_CAPITAL")/100</f>
        <v/>
      </c>
      <c r="AJ73" s="93">
        <f>BDP("=A73&amp;" FP Equity"","BEST_EPS","BEST_FPERIOD_OVERRIDE","24Y")</f>
        <v/>
      </c>
      <c r="AK73" s="93">
        <f>BDP("=A73&amp;" FP Equity"","BEST_EPS","BEST_FPERIOD_OVERRIDE","25Y")</f>
        <v/>
      </c>
      <c r="AL73" s="93">
        <f>BDP("=A73&amp;" FP Equity"","BEST_EPS","BEST_FPERIOD_OVERRIDE","26Y")</f>
        <v/>
      </c>
      <c r="AM73" s="93">
        <f>BDP("=A73&amp;" FP Equity"","BEST_EPS","BEST_FPERIOD_OVERRIDE","27Y")</f>
        <v/>
      </c>
      <c r="AN73" s="93">
        <f>BDP("=A73&amp;" FP Equity"","BEST_EPS","BEST_FPERIOD_OVERRIDE","28Y")</f>
        <v/>
      </c>
      <c r="AP73" s="93">
        <f>BDP("=A73&amp;" FP Equity"","BEST_SALES","BEST_FPERIOD_OVERRIDE","24Y")</f>
        <v/>
      </c>
      <c r="AQ73" s="93">
        <f>BDP("=A73&amp;" FP Equity"","BEST_SALES","BEST_FPERIOD_OVERRIDE","25Y")</f>
        <v/>
      </c>
      <c r="AR73" s="93">
        <f>BDP("=A73&amp;" FP Equity"","BEST_SALES","BEST_FPERIOD_OVERRIDE","26Y")</f>
        <v/>
      </c>
      <c r="AS73" s="93">
        <f>BDP("=A73&amp;" FP Equity"","BEST_SALES","BEST_FPERIOD_OVERRIDE","27Y")</f>
        <v/>
      </c>
      <c r="AT73" s="93">
        <f>BDP("=A73&amp;" FP Equity"","BEST_SALES","BEST_FPERIOD_OVERRIDE","28Y")</f>
        <v/>
      </c>
      <c r="AV73" s="93">
        <f>BDP("=A73&amp;" FP Equity"","BEST_EBIT","BEST_FPERIOD_OVERRIDE","24Y")</f>
        <v/>
      </c>
      <c r="AW73" s="93">
        <f>BDP("=A73&amp;" FP Equity"","BEST_EBIT","BEST_FPERIOD_OVERRIDE","25Y")</f>
        <v/>
      </c>
      <c r="AX73" s="93">
        <f>BDP("=A73&amp;" FP Equity"","BEST_EBIT","BEST_FPERIOD_OVERRIDE","26Y")</f>
        <v/>
      </c>
      <c r="AY73" s="93">
        <f>BDP("=A73&amp;" FP Equity"","BEST_EBIT","BEST_FPERIOD_OVERRIDE","27Y")</f>
        <v/>
      </c>
      <c r="AZ73" s="93">
        <f>BDP("=A73&amp;" FP Equity"","BEST_EBIT","BEST_FPERIOD_OVERRIDE","28Y")</f>
        <v/>
      </c>
      <c r="BB73" s="68">
        <f>D73+BC73</f>
        <v/>
      </c>
      <c r="BC73" s="68">
        <f>AC73-AE73</f>
        <v/>
      </c>
      <c r="BD73" s="15">
        <f>D73</f>
        <v/>
      </c>
      <c r="BE73" s="99">
        <f>BDP("=A73&amp;" FP Equity"","TRAIL_12M_EBITDA")</f>
        <v/>
      </c>
    </row>
    <row r="74" ht="13.9" customHeight="1">
      <c r="A74" t="inlineStr">
        <is>
          <t>RMS</t>
        </is>
      </c>
      <c r="B74">
        <f>A74&amp;" FP Equity"</f>
        <v/>
      </c>
      <c r="C74" s="15" t="inlineStr">
        <is>
          <t>Dec</t>
        </is>
      </c>
      <c r="D74" s="93">
        <f>BDP("=A74&amp;" FP Equity"","CUR_MKT_CAP")/1000000000</f>
        <v/>
      </c>
      <c r="E74" s="94">
        <f>BDP("=A74&amp;" FP Equity"","PX_LAST")</f>
        <v/>
      </c>
      <c r="F74" s="95">
        <f>IF(BDP("=A74&amp;" FP Equity"","BEST_EPS","BEST_FPERIOD_OVERRIDE","26Y")&lt;&gt;0,$E$74/BDP("=A74&amp;" FP Equity"","BEST_EPS","BEST_FPERIOD_OVERRIDE","26Y"),"")</f>
        <v/>
      </c>
      <c r="G74" s="95">
        <f>IF(BDP("=A74&amp;" FP Equity"","BEST_EPS","BEST_FPERIOD_OVERRIDE","27Y")&lt;&gt;0,$E$74/BDP("=A74&amp;" FP Equity"","BEST_EPS","BEST_FPERIOD_OVERRIDE","27Y"),"")</f>
        <v/>
      </c>
      <c r="H74" s="95">
        <f>IF(BDP("=A74&amp;" FP Equity"","BEST_EPS","BEST_FPERIOD_OVERRIDE","28Y")&lt;&gt;0,$E$74/BDP("=A74&amp;" FP Equity"","BEST_EPS","BEST_FPERIOD_OVERRIDE","28Y"),"")</f>
        <v/>
      </c>
      <c r="I74" s="96">
        <f>BDP("=A74&amp;" FP Equity"","NET_DEBT_TO_EBITDA")</f>
        <v/>
      </c>
      <c r="J74" s="93">
        <f>BDP("=A74&amp;" FP Equity"","BEST_SALES","BEST_FPERIOD_OVERRIDE","26Y")/1000</f>
        <v/>
      </c>
      <c r="K74" s="97">
        <f>IF(BDP("=A74&amp;" FP Equity"","BEST_SALES","BEST_FPERIOD_OVERRIDE","26Y")&lt;&gt;0,BDP("=A74&amp;" FP Equity"","BEST_EBIT","BEST_FPERIOD_OVERRIDE","26Y")/BDP("=A74&amp;" FP Equity"","BEST_SALES","BEST_FPERIOD_OVERRIDE","26Y"),"")</f>
        <v/>
      </c>
      <c r="L74" s="97">
        <f>BDP("=A74&amp;" FP Equity"","RETURN_ON_INV_CAPITAL")/100</f>
        <v/>
      </c>
      <c r="M74" s="97">
        <f>IF(AND(BDP("=A74&amp;" FP Equity"","BEST_SALES","BEST_FPERIOD_OVERRIDE","25Y")&gt;0,BDP("=A74&amp;" FP Equity"","BEST_SALES","BEST_FPERIOD_OVERRIDE","28Y")&gt;0),(BDP("=A74&amp;" FP Equity"","BEST_SALES","BEST_FPERIOD_OVERRIDE","28Y")/BDP("=A74&amp;" FP Equity"","BEST_SALES","BEST_FPERIOD_OVERRIDE","25Y"))^(1/3)-1,"")</f>
        <v/>
      </c>
      <c r="N74" s="97">
        <f>IF(AND(BDP("=A74&amp;" FP Equity"","BEST_EBIT","BEST_FPERIOD_OVERRIDE","25Y")&gt;0,BDP("=A74&amp;" FP Equity"","BEST_EBIT","BEST_FPERIOD_OVERRIDE","28Y")&gt;0),(BDP("=A74&amp;" FP Equity"","BEST_EBIT","BEST_FPERIOD_OVERRIDE","28Y")/BDP("=A74&amp;" FP Equity"","BEST_EBIT","BEST_FPERIOD_OVERRIDE","25Y"))^(1/3)-1,"")</f>
        <v/>
      </c>
      <c r="O74" s="97">
        <f>IF(AND(BDP("=A74&amp;" FP Equity"","BEST_EPS","BEST_FPERIOD_OVERRIDE","25Y")&gt;0,BDP("=A74&amp;" FP Equity"","BEST_EPS","BEST_FPERIOD_OVERRIDE","28Y")&gt;0),(BDP("=A74&amp;" FP Equity"","BEST_EPS","BEST_FPERIOD_OVERRIDE","28Y")/BDP("=A74&amp;" FP Equity"","BEST_EPS","BEST_FPERIOD_OVERRIDE","25Y"))^(1/3)-1,"")</f>
        <v/>
      </c>
      <c r="Q74" s="97">
        <f>BDP("=A74&amp;" FP Equity"","CHG_PCT_YTD")/100</f>
        <v/>
      </c>
      <c r="T74" s="68">
        <f>IF(AND(F74&lt;&gt;"",O74&lt;&gt;"",O74&lt;&gt;0),F74/(O74*100),"")</f>
        <v/>
      </c>
      <c r="AB74" s="93">
        <f>BDP("=A74&amp;" FP Equity"","TRAIL_12M_OPER_INC")</f>
        <v/>
      </c>
      <c r="AC74" s="93">
        <f>BDP("=A74&amp;" FP Equity"","SHORT_AND_LONG_TERM_DEBT")</f>
        <v/>
      </c>
      <c r="AD74" s="93">
        <f>BDP("=A74&amp;" FP Equity"","TOTAL_EQUITY")</f>
        <v/>
      </c>
      <c r="AE74" s="93">
        <f>BDP("=A74&amp;" FP Equity"","BS_CASH_NEAR_CASH_ITEM")</f>
        <v/>
      </c>
      <c r="AF74" s="99">
        <f>BDP("=A74&amp;" FP Equity"","BS_LT_INVEST")</f>
        <v/>
      </c>
      <c r="AG74" s="15">
        <f>AC74+AD74</f>
        <v/>
      </c>
      <c r="AH74" s="100">
        <f>BDP("=A74&amp;" FP Equity"","RETURN_ON_INV_CAPITAL")/100</f>
        <v/>
      </c>
      <c r="AJ74" s="93">
        <f>BDP("=A74&amp;" FP Equity"","BEST_EPS","BEST_FPERIOD_OVERRIDE","24Y")</f>
        <v/>
      </c>
      <c r="AK74" s="93">
        <f>BDP("=A74&amp;" FP Equity"","BEST_EPS","BEST_FPERIOD_OVERRIDE","25Y")</f>
        <v/>
      </c>
      <c r="AL74" s="93">
        <f>BDP("=A74&amp;" FP Equity"","BEST_EPS","BEST_FPERIOD_OVERRIDE","26Y")</f>
        <v/>
      </c>
      <c r="AM74" s="93">
        <f>BDP("=A74&amp;" FP Equity"","BEST_EPS","BEST_FPERIOD_OVERRIDE","27Y")</f>
        <v/>
      </c>
      <c r="AN74" s="93">
        <f>BDP("=A74&amp;" FP Equity"","BEST_EPS","BEST_FPERIOD_OVERRIDE","28Y")</f>
        <v/>
      </c>
      <c r="AP74" s="93">
        <f>BDP("=A74&amp;" FP Equity"","BEST_SALES","BEST_FPERIOD_OVERRIDE","24Y")</f>
        <v/>
      </c>
      <c r="AQ74" s="93">
        <f>BDP("=A74&amp;" FP Equity"","BEST_SALES","BEST_FPERIOD_OVERRIDE","25Y")</f>
        <v/>
      </c>
      <c r="AR74" s="93">
        <f>BDP("=A74&amp;" FP Equity"","BEST_SALES","BEST_FPERIOD_OVERRIDE","26Y")</f>
        <v/>
      </c>
      <c r="AS74" s="93">
        <f>BDP("=A74&amp;" FP Equity"","BEST_SALES","BEST_FPERIOD_OVERRIDE","27Y")</f>
        <v/>
      </c>
      <c r="AT74" s="93">
        <f>BDP("=A74&amp;" FP Equity"","BEST_SALES","BEST_FPERIOD_OVERRIDE","28Y")</f>
        <v/>
      </c>
      <c r="AV74" s="93">
        <f>BDP("=A74&amp;" FP Equity"","BEST_EBIT","BEST_FPERIOD_OVERRIDE","24Y")</f>
        <v/>
      </c>
      <c r="AW74" s="93">
        <f>BDP("=A74&amp;" FP Equity"","BEST_EBIT","BEST_FPERIOD_OVERRIDE","25Y")</f>
        <v/>
      </c>
      <c r="AX74" s="93">
        <f>BDP("=A74&amp;" FP Equity"","BEST_EBIT","BEST_FPERIOD_OVERRIDE","26Y")</f>
        <v/>
      </c>
      <c r="AY74" s="93">
        <f>BDP("=A74&amp;" FP Equity"","BEST_EBIT","BEST_FPERIOD_OVERRIDE","27Y")</f>
        <v/>
      </c>
      <c r="AZ74" s="93">
        <f>BDP("=A74&amp;" FP Equity"","BEST_EBIT","BEST_FPERIOD_OVERRIDE","28Y")</f>
        <v/>
      </c>
      <c r="BB74" s="68">
        <f>D74+BC74</f>
        <v/>
      </c>
      <c r="BC74" s="68">
        <f>AC74-AE74</f>
        <v/>
      </c>
      <c r="BD74" s="15">
        <f>D74</f>
        <v/>
      </c>
      <c r="BE74" s="99">
        <f>BDP("=A74&amp;" FP Equity"","TRAIL_12M_EBITDA")</f>
        <v/>
      </c>
    </row>
    <row r="75">
      <c r="A75" t="inlineStr">
        <is>
          <t>PM</t>
        </is>
      </c>
      <c r="B75">
        <f>A75&amp;" US Equity"</f>
        <v/>
      </c>
      <c r="C75" s="15" t="inlineStr">
        <is>
          <t>Dec</t>
        </is>
      </c>
      <c r="D75" s="93">
        <f>BDP("=A75&amp;" US Equity"","CUR_MKT_CAP")/1000000000</f>
        <v/>
      </c>
      <c r="E75" s="94">
        <f>BDP("=A75&amp;" US Equity"","PX_LAST")</f>
        <v/>
      </c>
      <c r="F75" s="95">
        <f>IF(BDP("=A75&amp;" US Equity"","BEST_EPS","BEST_FPERIOD_OVERRIDE","26Y")&lt;&gt;0,$E$75/BDP("=A75&amp;" US Equity"","BEST_EPS","BEST_FPERIOD_OVERRIDE","26Y"),"")</f>
        <v/>
      </c>
      <c r="G75" s="95">
        <f>IF(BDP("=A75&amp;" US Equity"","BEST_EPS","BEST_FPERIOD_OVERRIDE","27Y")&lt;&gt;0,$E$75/BDP("=A75&amp;" US Equity"","BEST_EPS","BEST_FPERIOD_OVERRIDE","27Y"),"")</f>
        <v/>
      </c>
      <c r="H75" s="95">
        <f>IF(BDP("=A75&amp;" US Equity"","BEST_EPS","BEST_FPERIOD_OVERRIDE","28Y")&lt;&gt;0,$E$75/BDP("=A75&amp;" US Equity"","BEST_EPS","BEST_FPERIOD_OVERRIDE","28Y"),"")</f>
        <v/>
      </c>
      <c r="I75" s="96">
        <f>BDP("=A75&amp;" US Equity"","NET_DEBT_TO_EBITDA")</f>
        <v/>
      </c>
      <c r="J75" s="93">
        <f>BDP("=A75&amp;" US Equity"","BEST_SALES","BEST_FPERIOD_OVERRIDE","26Y")/1000</f>
        <v/>
      </c>
      <c r="K75" s="97">
        <f>IF(BDP("=A75&amp;" US Equity"","BEST_SALES","BEST_FPERIOD_OVERRIDE","26Y")&lt;&gt;0,BDP("=A75&amp;" US Equity"","BEST_EBIT","BEST_FPERIOD_OVERRIDE","26Y")/BDP("=A75&amp;" US Equity"","BEST_SALES","BEST_FPERIOD_OVERRIDE","26Y"),"")</f>
        <v/>
      </c>
      <c r="L75" s="97">
        <f>BDP("=A75&amp;" US Equity"","RETURN_ON_INV_CAPITAL")/100</f>
        <v/>
      </c>
      <c r="M75" s="97">
        <f>IF(AND(BDP("=A75&amp;" US Equity"","BEST_SALES","BEST_FPERIOD_OVERRIDE","25Y")&gt;0,BDP("=A75&amp;" US Equity"","BEST_SALES","BEST_FPERIOD_OVERRIDE","28Y")&gt;0),(BDP("=A75&amp;" US Equity"","BEST_SALES","BEST_FPERIOD_OVERRIDE","28Y")/BDP("=A75&amp;" US Equity"","BEST_SALES","BEST_FPERIOD_OVERRIDE","25Y"))^(1/3)-1,"")</f>
        <v/>
      </c>
      <c r="N75" s="97">
        <f>IF(AND(BDP("=A75&amp;" US Equity"","BEST_EBIT","BEST_FPERIOD_OVERRIDE","25Y")&gt;0,BDP("=A75&amp;" US Equity"","BEST_EBIT","BEST_FPERIOD_OVERRIDE","28Y")&gt;0),(BDP("=A75&amp;" US Equity"","BEST_EBIT","BEST_FPERIOD_OVERRIDE","28Y")/BDP("=A75&amp;" US Equity"","BEST_EBIT","BEST_FPERIOD_OVERRIDE","25Y"))^(1/3)-1,"")</f>
        <v/>
      </c>
      <c r="O75" s="97">
        <f>IF(AND(BDP("=A75&amp;" US Equity"","BEST_EPS","BEST_FPERIOD_OVERRIDE","25Y")&gt;0,BDP("=A75&amp;" US Equity"","BEST_EPS","BEST_FPERIOD_OVERRIDE","28Y")&gt;0),(BDP("=A75&amp;" US Equity"","BEST_EPS","BEST_FPERIOD_OVERRIDE","28Y")/BDP("=A75&amp;" US Equity"","BEST_EPS","BEST_FPERIOD_OVERRIDE","25Y"))^(1/3)-1,"")</f>
        <v/>
      </c>
      <c r="Q75" s="97">
        <f>BDP("=A75&amp;" US Equity"","CHG_PCT_YTD")/100</f>
        <v/>
      </c>
      <c r="T75" s="68">
        <f>IF(AND(F75&lt;&gt;"",O75&lt;&gt;"",O75&lt;&gt;0),F75/(O75*100),"")</f>
        <v/>
      </c>
      <c r="AB75" s="93">
        <f>BDP("=A75&amp;" US Equity"","TRAIL_12M_OPER_INC")</f>
        <v/>
      </c>
      <c r="AC75" s="93">
        <f>BDP("=A75&amp;" US Equity"","SHORT_AND_LONG_TERM_DEBT")</f>
        <v/>
      </c>
      <c r="AD75" s="93">
        <f>BDP("=A75&amp;" US Equity"","TOTAL_EQUITY")</f>
        <v/>
      </c>
      <c r="AE75" s="93">
        <f>BDP("=A75&amp;" US Equity"","BS_CASH_NEAR_CASH_ITEM")</f>
        <v/>
      </c>
      <c r="AF75" s="99">
        <f>BDP("=A75&amp;" US Equity"","BS_LT_INVEST")</f>
        <v/>
      </c>
      <c r="AG75" s="15">
        <f>AC75+AD75</f>
        <v/>
      </c>
      <c r="AH75" s="100">
        <f>BDP("=A75&amp;" US Equity"","RETURN_ON_INV_CAPITAL")/100</f>
        <v/>
      </c>
      <c r="AJ75" s="93">
        <f>BDP("=A75&amp;" US Equity"","BEST_EPS","BEST_FPERIOD_OVERRIDE","24Y")</f>
        <v/>
      </c>
      <c r="AK75" s="93">
        <f>BDP("=A75&amp;" US Equity"","BEST_EPS","BEST_FPERIOD_OVERRIDE","25Y")</f>
        <v/>
      </c>
      <c r="AL75" s="93">
        <f>BDP("=A75&amp;" US Equity"","BEST_EPS","BEST_FPERIOD_OVERRIDE","26Y")</f>
        <v/>
      </c>
      <c r="AM75" s="93">
        <f>BDP("=A75&amp;" US Equity"","BEST_EPS","BEST_FPERIOD_OVERRIDE","27Y")</f>
        <v/>
      </c>
      <c r="AN75" s="93">
        <f>BDP("=A75&amp;" US Equity"","BEST_EPS","BEST_FPERIOD_OVERRIDE","28Y")</f>
        <v/>
      </c>
      <c r="AP75" s="93">
        <f>BDP("=A75&amp;" US Equity"","BEST_SALES","BEST_FPERIOD_OVERRIDE","24Y")</f>
        <v/>
      </c>
      <c r="AQ75" s="93">
        <f>BDP("=A75&amp;" US Equity"","BEST_SALES","BEST_FPERIOD_OVERRIDE","25Y")</f>
        <v/>
      </c>
      <c r="AR75" s="93">
        <f>BDP("=A75&amp;" US Equity"","BEST_SALES","BEST_FPERIOD_OVERRIDE","26Y")</f>
        <v/>
      </c>
      <c r="AS75" s="93">
        <f>BDP("=A75&amp;" US Equity"","BEST_SALES","BEST_FPERIOD_OVERRIDE","27Y")</f>
        <v/>
      </c>
      <c r="AT75" s="93">
        <f>BDP("=A75&amp;" US Equity"","BEST_SALES","BEST_FPERIOD_OVERRIDE","28Y")</f>
        <v/>
      </c>
      <c r="AV75" s="93">
        <f>BDP("=A75&amp;" US Equity"","BEST_EBIT","BEST_FPERIOD_OVERRIDE","24Y")</f>
        <v/>
      </c>
      <c r="AW75" s="93">
        <f>BDP("=A75&amp;" US Equity"","BEST_EBIT","BEST_FPERIOD_OVERRIDE","25Y")</f>
        <v/>
      </c>
      <c r="AX75" s="93">
        <f>BDP("=A75&amp;" US Equity"","BEST_EBIT","BEST_FPERIOD_OVERRIDE","26Y")</f>
        <v/>
      </c>
      <c r="AY75" s="93">
        <f>BDP("=A75&amp;" US Equity"","BEST_EBIT","BEST_FPERIOD_OVERRIDE","27Y")</f>
        <v/>
      </c>
      <c r="AZ75" s="93">
        <f>BDP("=A75&amp;" US Equity"","BEST_EBIT","BEST_FPERIOD_OVERRIDE","28Y")</f>
        <v/>
      </c>
      <c r="BB75" s="68">
        <f>D75+BC75</f>
        <v/>
      </c>
      <c r="BC75" s="68">
        <f>AC75-AE75</f>
        <v/>
      </c>
      <c r="BD75" s="15">
        <f>D75</f>
        <v/>
      </c>
      <c r="BE75" s="99">
        <f>BDP("=A75&amp;" US Equity"","TRAIL_12M_EBITDA")</f>
        <v/>
      </c>
    </row>
    <row r="76">
      <c r="C76" s="15" t="n"/>
      <c r="D76" s="15" t="n"/>
      <c r="E76" s="69" t="n"/>
      <c r="F76" s="70" t="n"/>
      <c r="G76" s="70" t="n"/>
      <c r="H76" s="70" t="n"/>
      <c r="I76" s="15" t="n"/>
      <c r="J76" s="15" t="n"/>
      <c r="K76" s="72" t="n"/>
      <c r="L76" s="15" t="n"/>
      <c r="M76" s="72" t="n"/>
      <c r="N76" s="72" t="n"/>
      <c r="O76" s="72" t="n"/>
      <c r="T76" s="68" t="n"/>
      <c r="AB76" s="15" t="n"/>
      <c r="AC76" s="15" t="n"/>
      <c r="AD76" s="15" t="n"/>
      <c r="AE76" s="15" t="n"/>
      <c r="AF76" s="16" t="n"/>
      <c r="AG76" s="15" t="n"/>
      <c r="AH76" s="67" t="n"/>
      <c r="AJ76" s="15" t="n"/>
      <c r="AK76" s="15" t="n"/>
      <c r="AL76" s="15" t="n"/>
      <c r="AM76" s="15" t="n"/>
      <c r="AN76" s="15" t="n"/>
      <c r="AP76" s="15" t="n"/>
      <c r="AQ76" s="15" t="n"/>
      <c r="AR76" s="15" t="n"/>
      <c r="AS76" s="15" t="n"/>
      <c r="AT76" s="15" t="n"/>
      <c r="AV76" s="15" t="n"/>
      <c r="AW76" s="15" t="n"/>
      <c r="AX76" s="15" t="n"/>
      <c r="AY76" s="15" t="n"/>
      <c r="AZ76" s="15" t="n"/>
      <c r="BB76" s="68" t="n"/>
      <c r="BC76" s="68" t="n"/>
      <c r="BD76" s="15" t="n"/>
      <c r="BE76" s="16" t="n"/>
    </row>
    <row r="77">
      <c r="A77" s="36" t="inlineStr">
        <is>
          <t>Industrials</t>
        </is>
      </c>
      <c r="C77" s="15" t="n"/>
      <c r="D77" s="15" t="n"/>
      <c r="E77" s="69" t="n"/>
      <c r="F77" s="70" t="n"/>
      <c r="G77" s="70" t="n"/>
      <c r="H77" s="70" t="n"/>
      <c r="I77" s="15" t="n"/>
      <c r="J77" s="15" t="n"/>
      <c r="K77" s="72" t="n"/>
      <c r="L77" s="15" t="n"/>
      <c r="M77" s="72" t="n"/>
      <c r="N77" s="72" t="n"/>
      <c r="O77" s="72" t="n"/>
      <c r="T77" s="68" t="n"/>
      <c r="AB77" s="15" t="n"/>
      <c r="AC77" s="15" t="n"/>
      <c r="AD77" s="15" t="n"/>
      <c r="AE77" s="15" t="n"/>
      <c r="AF77" s="16" t="n"/>
      <c r="AG77" s="15" t="n"/>
      <c r="AH77" s="67" t="n"/>
      <c r="AJ77" s="15" t="n"/>
      <c r="AK77" s="15" t="n"/>
      <c r="AL77" s="15" t="n"/>
      <c r="AM77" s="15" t="n"/>
      <c r="AN77" s="15" t="n"/>
      <c r="AP77" s="15" t="n"/>
      <c r="AQ77" s="15" t="n"/>
      <c r="AR77" s="15" t="n"/>
      <c r="AS77" s="15" t="n"/>
      <c r="AT77" s="15" t="n"/>
      <c r="AV77" s="15" t="n"/>
      <c r="AW77" s="15" t="n"/>
      <c r="AX77" s="15" t="n"/>
      <c r="AY77" s="15" t="n"/>
      <c r="AZ77" s="15" t="n"/>
      <c r="BB77" s="68" t="n"/>
      <c r="BC77" s="68" t="n"/>
      <c r="BD77" s="15" t="n"/>
      <c r="BE77" s="16" t="n"/>
    </row>
    <row r="78">
      <c r="A78" t="inlineStr">
        <is>
          <t>GE</t>
        </is>
      </c>
      <c r="B78">
        <f>A78&amp;" US Equity"</f>
        <v/>
      </c>
      <c r="C78" s="48" t="inlineStr">
        <is>
          <t>Dec</t>
        </is>
      </c>
      <c r="D78" s="93">
        <f>BDP("=A78&amp;" US Equity"","CUR_MKT_CAP")/1000000000</f>
        <v/>
      </c>
      <c r="E78" s="94">
        <f>BDP("=A78&amp;" US Equity"","PX_LAST")</f>
        <v/>
      </c>
      <c r="F78" s="95">
        <f>IF(BDP("=A78&amp;" US Equity"","BEST_EPS","BEST_FPERIOD_OVERRIDE","26Y")&lt;&gt;0,$E$78/BDP("=A78&amp;" US Equity"","BEST_EPS","BEST_FPERIOD_OVERRIDE","26Y"),"")</f>
        <v/>
      </c>
      <c r="G78" s="95">
        <f>IF(BDP("=A78&amp;" US Equity"","BEST_EPS","BEST_FPERIOD_OVERRIDE","27Y")&lt;&gt;0,$E$78/BDP("=A78&amp;" US Equity"","BEST_EPS","BEST_FPERIOD_OVERRIDE","27Y"),"")</f>
        <v/>
      </c>
      <c r="H78" s="95">
        <f>IF(BDP("=A78&amp;" US Equity"","BEST_EPS","BEST_FPERIOD_OVERRIDE","28Y")&lt;&gt;0,$E$78/BDP("=A78&amp;" US Equity"","BEST_EPS","BEST_FPERIOD_OVERRIDE","28Y"),"")</f>
        <v/>
      </c>
      <c r="I78" s="96">
        <f>BDP("=A78&amp;" US Equity"","NET_DEBT_TO_EBITDA")</f>
        <v/>
      </c>
      <c r="J78" s="93">
        <f>BDP("=A78&amp;" US Equity"","BEST_SALES","BEST_FPERIOD_OVERRIDE","26Y")/1000</f>
        <v/>
      </c>
      <c r="K78" s="97">
        <f>IF(BDP("=A78&amp;" US Equity"","BEST_SALES","BEST_FPERIOD_OVERRIDE","26Y")&lt;&gt;0,BDP("=A78&amp;" US Equity"","BEST_EBIT","BEST_FPERIOD_OVERRIDE","26Y")/BDP("=A78&amp;" US Equity"","BEST_SALES","BEST_FPERIOD_OVERRIDE","26Y"),"")</f>
        <v/>
      </c>
      <c r="L78" s="97">
        <f>BDP("=A78&amp;" US Equity"","RETURN_ON_INV_CAPITAL")/100</f>
        <v/>
      </c>
      <c r="M78" s="97">
        <f>IF(AND(BDP("=A78&amp;" US Equity"","BEST_SALES","BEST_FPERIOD_OVERRIDE","25Y")&gt;0,BDP("=A78&amp;" US Equity"","BEST_SALES","BEST_FPERIOD_OVERRIDE","28Y")&gt;0),(BDP("=A78&amp;" US Equity"","BEST_SALES","BEST_FPERIOD_OVERRIDE","28Y")/BDP("=A78&amp;" US Equity"","BEST_SALES","BEST_FPERIOD_OVERRIDE","25Y"))^(1/3)-1,"")</f>
        <v/>
      </c>
      <c r="N78" s="97">
        <f>IF(AND(BDP("=A78&amp;" US Equity"","BEST_EBIT","BEST_FPERIOD_OVERRIDE","25Y")&gt;0,BDP("=A78&amp;" US Equity"","BEST_EBIT","BEST_FPERIOD_OVERRIDE","28Y")&gt;0),(BDP("=A78&amp;" US Equity"","BEST_EBIT","BEST_FPERIOD_OVERRIDE","28Y")/BDP("=A78&amp;" US Equity"","BEST_EBIT","BEST_FPERIOD_OVERRIDE","25Y"))^(1/3)-1,"")</f>
        <v/>
      </c>
      <c r="O78" s="97">
        <f>IF(AND(BDP("=A78&amp;" US Equity"","BEST_EPS","BEST_FPERIOD_OVERRIDE","25Y")&gt;0,BDP("=A78&amp;" US Equity"","BEST_EPS","BEST_FPERIOD_OVERRIDE","28Y")&gt;0),(BDP("=A78&amp;" US Equity"","BEST_EPS","BEST_FPERIOD_OVERRIDE","28Y")/BDP("=A78&amp;" US Equity"","BEST_EPS","BEST_FPERIOD_OVERRIDE","25Y"))^(1/3)-1,"")</f>
        <v/>
      </c>
      <c r="Q78" s="97">
        <f>BDP("=A78&amp;" US Equity"","CHG_PCT_YTD")/100</f>
        <v/>
      </c>
      <c r="T78" s="68">
        <f>IF(AND(F78&lt;&gt;"",O78&lt;&gt;"",O78&lt;&gt;0),F78/(O78*100),"")</f>
        <v/>
      </c>
      <c r="AB78" s="93">
        <f>BDP("=A78&amp;" US Equity"","TRAIL_12M_OPER_INC")</f>
        <v/>
      </c>
      <c r="AC78" s="93">
        <f>BDP("=A78&amp;" US Equity"","SHORT_AND_LONG_TERM_DEBT")</f>
        <v/>
      </c>
      <c r="AD78" s="93">
        <f>BDP("=A78&amp;" US Equity"","TOTAL_EQUITY")</f>
        <v/>
      </c>
      <c r="AE78" s="93">
        <f>BDP("=A78&amp;" US Equity"","BS_CASH_NEAR_CASH_ITEM")</f>
        <v/>
      </c>
      <c r="AF78" s="99">
        <f>BDP("=A78&amp;" US Equity"","BS_LT_INVEST")</f>
        <v/>
      </c>
      <c r="AG78" s="15">
        <f>AC78+AD78</f>
        <v/>
      </c>
      <c r="AH78" s="100">
        <f>BDP("=A78&amp;" US Equity"","RETURN_ON_INV_CAPITAL")/100</f>
        <v/>
      </c>
      <c r="AJ78" s="93">
        <f>BDP("=A78&amp;" US Equity"","BEST_EPS","BEST_FPERIOD_OVERRIDE","24Y")</f>
        <v/>
      </c>
      <c r="AK78" s="93">
        <f>BDP("=A78&amp;" US Equity"","BEST_EPS","BEST_FPERIOD_OVERRIDE","25Y")</f>
        <v/>
      </c>
      <c r="AL78" s="93">
        <f>BDP("=A78&amp;" US Equity"","BEST_EPS","BEST_FPERIOD_OVERRIDE","26Y")</f>
        <v/>
      </c>
      <c r="AM78" s="93">
        <f>BDP("=A78&amp;" US Equity"","BEST_EPS","BEST_FPERIOD_OVERRIDE","27Y")</f>
        <v/>
      </c>
      <c r="AN78" s="93">
        <f>BDP("=A78&amp;" US Equity"","BEST_EPS","BEST_FPERIOD_OVERRIDE","28Y")</f>
        <v/>
      </c>
      <c r="AP78" s="93">
        <f>BDP("=A78&amp;" US Equity"","BEST_SALES","BEST_FPERIOD_OVERRIDE","24Y")</f>
        <v/>
      </c>
      <c r="AQ78" s="93">
        <f>BDP("=A78&amp;" US Equity"","BEST_SALES","BEST_FPERIOD_OVERRIDE","25Y")</f>
        <v/>
      </c>
      <c r="AR78" s="93">
        <f>BDP("=A78&amp;" US Equity"","BEST_SALES","BEST_FPERIOD_OVERRIDE","26Y")</f>
        <v/>
      </c>
      <c r="AS78" s="93">
        <f>BDP("=A78&amp;" US Equity"","BEST_SALES","BEST_FPERIOD_OVERRIDE","27Y")</f>
        <v/>
      </c>
      <c r="AT78" s="93">
        <f>BDP("=A78&amp;" US Equity"","BEST_SALES","BEST_FPERIOD_OVERRIDE","28Y")</f>
        <v/>
      </c>
      <c r="AV78" s="93">
        <f>BDP("=A78&amp;" US Equity"","BEST_EBIT","BEST_FPERIOD_OVERRIDE","24Y")</f>
        <v/>
      </c>
      <c r="AW78" s="93">
        <f>BDP("=A78&amp;" US Equity"","BEST_EBIT","BEST_FPERIOD_OVERRIDE","25Y")</f>
        <v/>
      </c>
      <c r="AX78" s="93">
        <f>BDP("=A78&amp;" US Equity"","BEST_EBIT","BEST_FPERIOD_OVERRIDE","26Y")</f>
        <v/>
      </c>
      <c r="AY78" s="93">
        <f>BDP("=A78&amp;" US Equity"","BEST_EBIT","BEST_FPERIOD_OVERRIDE","27Y")</f>
        <v/>
      </c>
      <c r="AZ78" s="93">
        <f>BDP("=A78&amp;" US Equity"","BEST_EBIT","BEST_FPERIOD_OVERRIDE","28Y")</f>
        <v/>
      </c>
      <c r="BB78" s="68">
        <f>D78+BC78</f>
        <v/>
      </c>
      <c r="BC78" s="68">
        <f>AC78-AE78</f>
        <v/>
      </c>
      <c r="BD78" s="15">
        <f>D78</f>
        <v/>
      </c>
      <c r="BE78" s="99">
        <f>BDP("=A78&amp;" US Equity"","TRAIL_12M_EBITDA")</f>
        <v/>
      </c>
    </row>
    <row r="79">
      <c r="A79" t="inlineStr">
        <is>
          <t>TMO</t>
        </is>
      </c>
      <c r="B79">
        <f>A79&amp;" US Equity"</f>
        <v/>
      </c>
      <c r="C79" s="15" t="inlineStr">
        <is>
          <t>Dec</t>
        </is>
      </c>
      <c r="D79" s="93">
        <f>BDP("=A79&amp;" US Equity"","CUR_MKT_CAP")/1000000000</f>
        <v/>
      </c>
      <c r="E79" s="94">
        <f>BDP("=A79&amp;" US Equity"","PX_LAST")</f>
        <v/>
      </c>
      <c r="F79" s="95">
        <f>IF(BDP("=A79&amp;" US Equity"","BEST_EPS","BEST_FPERIOD_OVERRIDE","26Y")&lt;&gt;0,$E$79/BDP("=A79&amp;" US Equity"","BEST_EPS","BEST_FPERIOD_OVERRIDE","26Y"),"")</f>
        <v/>
      </c>
      <c r="G79" s="95">
        <f>IF(BDP("=A79&amp;" US Equity"","BEST_EPS","BEST_FPERIOD_OVERRIDE","27Y")&lt;&gt;0,$E$79/BDP("=A79&amp;" US Equity"","BEST_EPS","BEST_FPERIOD_OVERRIDE","27Y"),"")</f>
        <v/>
      </c>
      <c r="H79" s="95">
        <f>IF(BDP("=A79&amp;" US Equity"","BEST_EPS","BEST_FPERIOD_OVERRIDE","28Y")&lt;&gt;0,$E$79/BDP("=A79&amp;" US Equity"","BEST_EPS","BEST_FPERIOD_OVERRIDE","28Y"),"")</f>
        <v/>
      </c>
      <c r="I79" s="96">
        <f>BDP("=A79&amp;" US Equity"","NET_DEBT_TO_EBITDA")</f>
        <v/>
      </c>
      <c r="J79" s="93">
        <f>BDP("=A79&amp;" US Equity"","BEST_SALES","BEST_FPERIOD_OVERRIDE","26Y")/1000</f>
        <v/>
      </c>
      <c r="K79" s="97">
        <f>IF(BDP("=A79&amp;" US Equity"","BEST_SALES","BEST_FPERIOD_OVERRIDE","26Y")&lt;&gt;0,BDP("=A79&amp;" US Equity"","BEST_EBIT","BEST_FPERIOD_OVERRIDE","26Y")/BDP("=A79&amp;" US Equity"","BEST_SALES","BEST_FPERIOD_OVERRIDE","26Y"),"")</f>
        <v/>
      </c>
      <c r="L79" s="97">
        <f>BDP("=A79&amp;" US Equity"","RETURN_ON_INV_CAPITAL")/100</f>
        <v/>
      </c>
      <c r="M79" s="97">
        <f>IF(AND(BDP("=A79&amp;" US Equity"","BEST_SALES","BEST_FPERIOD_OVERRIDE","25Y")&gt;0,BDP("=A79&amp;" US Equity"","BEST_SALES","BEST_FPERIOD_OVERRIDE","28Y")&gt;0),(BDP("=A79&amp;" US Equity"","BEST_SALES","BEST_FPERIOD_OVERRIDE","28Y")/BDP("=A79&amp;" US Equity"","BEST_SALES","BEST_FPERIOD_OVERRIDE","25Y"))^(1/3)-1,"")</f>
        <v/>
      </c>
      <c r="N79" s="97">
        <f>IF(AND(BDP("=A79&amp;" US Equity"","BEST_EBIT","BEST_FPERIOD_OVERRIDE","25Y")&gt;0,BDP("=A79&amp;" US Equity"","BEST_EBIT","BEST_FPERIOD_OVERRIDE","28Y")&gt;0),(BDP("=A79&amp;" US Equity"","BEST_EBIT","BEST_FPERIOD_OVERRIDE","28Y")/BDP("=A79&amp;" US Equity"","BEST_EBIT","BEST_FPERIOD_OVERRIDE","25Y"))^(1/3)-1,"")</f>
        <v/>
      </c>
      <c r="O79" s="97">
        <f>IF(AND(BDP("=A79&amp;" US Equity"","BEST_EPS","BEST_FPERIOD_OVERRIDE","25Y")&gt;0,BDP("=A79&amp;" US Equity"","BEST_EPS","BEST_FPERIOD_OVERRIDE","28Y")&gt;0),(BDP("=A79&amp;" US Equity"","BEST_EPS","BEST_FPERIOD_OVERRIDE","28Y")/BDP("=A79&amp;" US Equity"","BEST_EPS","BEST_FPERIOD_OVERRIDE","25Y"))^(1/3)-1,"")</f>
        <v/>
      </c>
      <c r="Q79" s="97">
        <f>BDP("=A79&amp;" US Equity"","CHG_PCT_YTD")/100</f>
        <v/>
      </c>
      <c r="T79" s="68">
        <f>IF(AND(F79&lt;&gt;"",O79&lt;&gt;"",O79&lt;&gt;0),F79/(O79*100),"")</f>
        <v/>
      </c>
      <c r="AB79" s="93">
        <f>BDP("=A79&amp;" US Equity"","TRAIL_12M_OPER_INC")</f>
        <v/>
      </c>
      <c r="AC79" s="93">
        <f>BDP("=A79&amp;" US Equity"","SHORT_AND_LONG_TERM_DEBT")</f>
        <v/>
      </c>
      <c r="AD79" s="93">
        <f>BDP("=A79&amp;" US Equity"","TOTAL_EQUITY")</f>
        <v/>
      </c>
      <c r="AE79" s="93">
        <f>BDP("=A79&amp;" US Equity"","BS_CASH_NEAR_CASH_ITEM")</f>
        <v/>
      </c>
      <c r="AF79" s="99">
        <f>BDP("=A79&amp;" US Equity"","BS_LT_INVEST")</f>
        <v/>
      </c>
      <c r="AG79" s="15">
        <f>AC79+AD79</f>
        <v/>
      </c>
      <c r="AH79" s="100">
        <f>BDP("=A79&amp;" US Equity"","RETURN_ON_INV_CAPITAL")/100</f>
        <v/>
      </c>
      <c r="AJ79" s="93">
        <f>BDP("=A79&amp;" US Equity"","BEST_EPS","BEST_FPERIOD_OVERRIDE","24Y")</f>
        <v/>
      </c>
      <c r="AK79" s="93">
        <f>BDP("=A79&amp;" US Equity"","BEST_EPS","BEST_FPERIOD_OVERRIDE","25Y")</f>
        <v/>
      </c>
      <c r="AL79" s="93">
        <f>BDP("=A79&amp;" US Equity"","BEST_EPS","BEST_FPERIOD_OVERRIDE","26Y")</f>
        <v/>
      </c>
      <c r="AM79" s="93">
        <f>BDP("=A79&amp;" US Equity"","BEST_EPS","BEST_FPERIOD_OVERRIDE","27Y")</f>
        <v/>
      </c>
      <c r="AN79" s="93">
        <f>BDP("=A79&amp;" US Equity"","BEST_EPS","BEST_FPERIOD_OVERRIDE","28Y")</f>
        <v/>
      </c>
      <c r="AP79" s="93">
        <f>BDP("=A79&amp;" US Equity"","BEST_SALES","BEST_FPERIOD_OVERRIDE","24Y")</f>
        <v/>
      </c>
      <c r="AQ79" s="93">
        <f>BDP("=A79&amp;" US Equity"","BEST_SALES","BEST_FPERIOD_OVERRIDE","25Y")</f>
        <v/>
      </c>
      <c r="AR79" s="93">
        <f>BDP("=A79&amp;" US Equity"","BEST_SALES","BEST_FPERIOD_OVERRIDE","26Y")</f>
        <v/>
      </c>
      <c r="AS79" s="93">
        <f>BDP("=A79&amp;" US Equity"","BEST_SALES","BEST_FPERIOD_OVERRIDE","27Y")</f>
        <v/>
      </c>
      <c r="AT79" s="93">
        <f>BDP("=A79&amp;" US Equity"","BEST_SALES","BEST_FPERIOD_OVERRIDE","28Y")</f>
        <v/>
      </c>
      <c r="AV79" s="93">
        <f>BDP("=A79&amp;" US Equity"","BEST_EBIT","BEST_FPERIOD_OVERRIDE","24Y")</f>
        <v/>
      </c>
      <c r="AW79" s="93">
        <f>BDP("=A79&amp;" US Equity"","BEST_EBIT","BEST_FPERIOD_OVERRIDE","25Y")</f>
        <v/>
      </c>
      <c r="AX79" s="93">
        <f>BDP("=A79&amp;" US Equity"","BEST_EBIT","BEST_FPERIOD_OVERRIDE","26Y")</f>
        <v/>
      </c>
      <c r="AY79" s="93">
        <f>BDP("=A79&amp;" US Equity"","BEST_EBIT","BEST_FPERIOD_OVERRIDE","27Y")</f>
        <v/>
      </c>
      <c r="AZ79" s="93">
        <f>BDP("=A79&amp;" US Equity"","BEST_EBIT","BEST_FPERIOD_OVERRIDE","28Y")</f>
        <v/>
      </c>
      <c r="BB79" s="68">
        <f>D79+BC79</f>
        <v/>
      </c>
      <c r="BC79" s="68">
        <f>AC79-AE79</f>
        <v/>
      </c>
      <c r="BD79" s="15">
        <f>D79</f>
        <v/>
      </c>
      <c r="BE79" s="99">
        <f>BDP("=A79&amp;" US Equity"","TRAIL_12M_EBITDA")</f>
        <v/>
      </c>
    </row>
    <row r="80">
      <c r="A80" t="inlineStr">
        <is>
          <t>DHR</t>
        </is>
      </c>
      <c r="B80">
        <f>A80&amp;" US Equity"</f>
        <v/>
      </c>
      <c r="C80" s="15" t="inlineStr">
        <is>
          <t>Dec</t>
        </is>
      </c>
      <c r="D80" s="93">
        <f>BDP("=A80&amp;" US Equity"","CUR_MKT_CAP")/1000000000</f>
        <v/>
      </c>
      <c r="E80" s="94">
        <f>BDP("=A80&amp;" US Equity"","PX_LAST")</f>
        <v/>
      </c>
      <c r="F80" s="95">
        <f>IF(BDP("=A80&amp;" US Equity"","BEST_EPS","BEST_FPERIOD_OVERRIDE","26Y")&lt;&gt;0,$E$80/BDP("=A80&amp;" US Equity"","BEST_EPS","BEST_FPERIOD_OVERRIDE","26Y"),"")</f>
        <v/>
      </c>
      <c r="G80" s="95">
        <f>IF(BDP("=A80&amp;" US Equity"","BEST_EPS","BEST_FPERIOD_OVERRIDE","27Y")&lt;&gt;0,$E$80/BDP("=A80&amp;" US Equity"","BEST_EPS","BEST_FPERIOD_OVERRIDE","27Y"),"")</f>
        <v/>
      </c>
      <c r="H80" s="95">
        <f>IF(BDP("=A80&amp;" US Equity"","BEST_EPS","BEST_FPERIOD_OVERRIDE","28Y")&lt;&gt;0,$E$80/BDP("=A80&amp;" US Equity"","BEST_EPS","BEST_FPERIOD_OVERRIDE","28Y"),"")</f>
        <v/>
      </c>
      <c r="I80" s="96">
        <f>BDP("=A80&amp;" US Equity"","NET_DEBT_TO_EBITDA")</f>
        <v/>
      </c>
      <c r="J80" s="93">
        <f>BDP("=A80&amp;" US Equity"","BEST_SALES","BEST_FPERIOD_OVERRIDE","26Y")/1000</f>
        <v/>
      </c>
      <c r="K80" s="97">
        <f>IF(BDP("=A80&amp;" US Equity"","BEST_SALES","BEST_FPERIOD_OVERRIDE","26Y")&lt;&gt;0,BDP("=A80&amp;" US Equity"","BEST_EBIT","BEST_FPERIOD_OVERRIDE","26Y")/BDP("=A80&amp;" US Equity"","BEST_SALES","BEST_FPERIOD_OVERRIDE","26Y"),"")</f>
        <v/>
      </c>
      <c r="L80" s="97">
        <f>BDP("=A80&amp;" US Equity"","RETURN_ON_INV_CAPITAL")/100</f>
        <v/>
      </c>
      <c r="M80" s="97">
        <f>IF(AND(BDP("=A80&amp;" US Equity"","BEST_SALES","BEST_FPERIOD_OVERRIDE","25Y")&gt;0,BDP("=A80&amp;" US Equity"","BEST_SALES","BEST_FPERIOD_OVERRIDE","28Y")&gt;0),(BDP("=A80&amp;" US Equity"","BEST_SALES","BEST_FPERIOD_OVERRIDE","28Y")/BDP("=A80&amp;" US Equity"","BEST_SALES","BEST_FPERIOD_OVERRIDE","25Y"))^(1/3)-1,"")</f>
        <v/>
      </c>
      <c r="N80" s="97">
        <f>IF(AND(BDP("=A80&amp;" US Equity"","BEST_EBIT","BEST_FPERIOD_OVERRIDE","25Y")&gt;0,BDP("=A80&amp;" US Equity"","BEST_EBIT","BEST_FPERIOD_OVERRIDE","28Y")&gt;0),(BDP("=A80&amp;" US Equity"","BEST_EBIT","BEST_FPERIOD_OVERRIDE","28Y")/BDP("=A80&amp;" US Equity"","BEST_EBIT","BEST_FPERIOD_OVERRIDE","25Y"))^(1/3)-1,"")</f>
        <v/>
      </c>
      <c r="O80" s="97">
        <f>IF(AND(BDP("=A80&amp;" US Equity"","BEST_EPS","BEST_FPERIOD_OVERRIDE","25Y")&gt;0,BDP("=A80&amp;" US Equity"","BEST_EPS","BEST_FPERIOD_OVERRIDE","28Y")&gt;0),(BDP("=A80&amp;" US Equity"","BEST_EPS","BEST_FPERIOD_OVERRIDE","28Y")/BDP("=A80&amp;" US Equity"","BEST_EPS","BEST_FPERIOD_OVERRIDE","25Y"))^(1/3)-1,"")</f>
        <v/>
      </c>
      <c r="Q80" s="97">
        <f>BDP("=A80&amp;" US Equity"","CHG_PCT_YTD")/100</f>
        <v/>
      </c>
      <c r="T80" s="68">
        <f>IF(AND(F80&lt;&gt;"",O80&lt;&gt;"",O80&lt;&gt;0),F80/(O80*100),"")</f>
        <v/>
      </c>
      <c r="AB80" s="93">
        <f>BDP("=A80&amp;" US Equity"","TRAIL_12M_OPER_INC")</f>
        <v/>
      </c>
      <c r="AC80" s="93">
        <f>BDP("=A80&amp;" US Equity"","SHORT_AND_LONG_TERM_DEBT")</f>
        <v/>
      </c>
      <c r="AD80" s="93">
        <f>BDP("=A80&amp;" US Equity"","TOTAL_EQUITY")</f>
        <v/>
      </c>
      <c r="AE80" s="93">
        <f>BDP("=A80&amp;" US Equity"","BS_CASH_NEAR_CASH_ITEM")</f>
        <v/>
      </c>
      <c r="AF80" s="99">
        <f>BDP("=A80&amp;" US Equity"","BS_LT_INVEST")</f>
        <v/>
      </c>
      <c r="AG80" s="15">
        <f>AC80+AD80</f>
        <v/>
      </c>
      <c r="AH80" s="100">
        <f>BDP("=A80&amp;" US Equity"","RETURN_ON_INV_CAPITAL")/100</f>
        <v/>
      </c>
      <c r="AJ80" s="93">
        <f>BDP("=A80&amp;" US Equity"","BEST_EPS","BEST_FPERIOD_OVERRIDE","24Y")</f>
        <v/>
      </c>
      <c r="AK80" s="93">
        <f>BDP("=A80&amp;" US Equity"","BEST_EPS","BEST_FPERIOD_OVERRIDE","25Y")</f>
        <v/>
      </c>
      <c r="AL80" s="93">
        <f>BDP("=A80&amp;" US Equity"","BEST_EPS","BEST_FPERIOD_OVERRIDE","26Y")</f>
        <v/>
      </c>
      <c r="AM80" s="93">
        <f>BDP("=A80&amp;" US Equity"","BEST_EPS","BEST_FPERIOD_OVERRIDE","27Y")</f>
        <v/>
      </c>
      <c r="AN80" s="93">
        <f>BDP("=A80&amp;" US Equity"","BEST_EPS","BEST_FPERIOD_OVERRIDE","28Y")</f>
        <v/>
      </c>
      <c r="AP80" s="93">
        <f>BDP("=A80&amp;" US Equity"","BEST_SALES","BEST_FPERIOD_OVERRIDE","24Y")</f>
        <v/>
      </c>
      <c r="AQ80" s="93">
        <f>BDP("=A80&amp;" US Equity"","BEST_SALES","BEST_FPERIOD_OVERRIDE","25Y")</f>
        <v/>
      </c>
      <c r="AR80" s="93">
        <f>BDP("=A80&amp;" US Equity"","BEST_SALES","BEST_FPERIOD_OVERRIDE","26Y")</f>
        <v/>
      </c>
      <c r="AS80" s="93">
        <f>BDP("=A80&amp;" US Equity"","BEST_SALES","BEST_FPERIOD_OVERRIDE","27Y")</f>
        <v/>
      </c>
      <c r="AT80" s="93">
        <f>BDP("=A80&amp;" US Equity"","BEST_SALES","BEST_FPERIOD_OVERRIDE","28Y")</f>
        <v/>
      </c>
      <c r="AV80" s="93">
        <f>BDP("=A80&amp;" US Equity"","BEST_EBIT","BEST_FPERIOD_OVERRIDE","24Y")</f>
        <v/>
      </c>
      <c r="AW80" s="93">
        <f>BDP("=A80&amp;" US Equity"","BEST_EBIT","BEST_FPERIOD_OVERRIDE","25Y")</f>
        <v/>
      </c>
      <c r="AX80" s="93">
        <f>BDP("=A80&amp;" US Equity"","BEST_EBIT","BEST_FPERIOD_OVERRIDE","26Y")</f>
        <v/>
      </c>
      <c r="AY80" s="93">
        <f>BDP("=A80&amp;" US Equity"","BEST_EBIT","BEST_FPERIOD_OVERRIDE","27Y")</f>
        <v/>
      </c>
      <c r="AZ80" s="93">
        <f>BDP("=A80&amp;" US Equity"","BEST_EBIT","BEST_FPERIOD_OVERRIDE","28Y")</f>
        <v/>
      </c>
      <c r="BB80" s="68">
        <f>D80+BC80</f>
        <v/>
      </c>
      <c r="BC80" s="68">
        <f>AC80-AE80</f>
        <v/>
      </c>
      <c r="BD80" s="15">
        <f>D80</f>
        <v/>
      </c>
      <c r="BE80" s="99">
        <f>BDP("=A80&amp;" US Equity"","TRAIL_12M_EBITDA")</f>
        <v/>
      </c>
    </row>
    <row r="81">
      <c r="A81" t="inlineStr">
        <is>
          <t>APH</t>
        </is>
      </c>
      <c r="B81">
        <f>A81&amp;" US Equity"</f>
        <v/>
      </c>
      <c r="C81" s="15" t="inlineStr">
        <is>
          <t>Dec</t>
        </is>
      </c>
      <c r="D81" s="93">
        <f>BDP("=A81&amp;" US Equity"","CUR_MKT_CAP")/1000000000</f>
        <v/>
      </c>
      <c r="E81" s="94">
        <f>BDP("=A81&amp;" US Equity"","PX_LAST")</f>
        <v/>
      </c>
      <c r="F81" s="95">
        <f>IF(BDP("=A81&amp;" US Equity"","BEST_EPS","BEST_FPERIOD_OVERRIDE","26Y")&lt;&gt;0,$E$81/BDP("=A81&amp;" US Equity"","BEST_EPS","BEST_FPERIOD_OVERRIDE","26Y"),"")</f>
        <v/>
      </c>
      <c r="G81" s="95">
        <f>IF(BDP("=A81&amp;" US Equity"","BEST_EPS","BEST_FPERIOD_OVERRIDE","27Y")&lt;&gt;0,$E$81/BDP("=A81&amp;" US Equity"","BEST_EPS","BEST_FPERIOD_OVERRIDE","27Y"),"")</f>
        <v/>
      </c>
      <c r="H81" s="95">
        <f>IF(BDP("=A81&amp;" US Equity"","BEST_EPS","BEST_FPERIOD_OVERRIDE","28Y")&lt;&gt;0,$E$81/BDP("=A81&amp;" US Equity"","BEST_EPS","BEST_FPERIOD_OVERRIDE","28Y"),"")</f>
        <v/>
      </c>
      <c r="I81" s="96">
        <f>BDP("=A81&amp;" US Equity"","NET_DEBT_TO_EBITDA")</f>
        <v/>
      </c>
      <c r="J81" s="93">
        <f>BDP("=A81&amp;" US Equity"","BEST_SALES","BEST_FPERIOD_OVERRIDE","26Y")/1000</f>
        <v/>
      </c>
      <c r="K81" s="97">
        <f>IF(BDP("=A81&amp;" US Equity"","BEST_SALES","BEST_FPERIOD_OVERRIDE","26Y")&lt;&gt;0,BDP("=A81&amp;" US Equity"","BEST_EBIT","BEST_FPERIOD_OVERRIDE","26Y")/BDP("=A81&amp;" US Equity"","BEST_SALES","BEST_FPERIOD_OVERRIDE","26Y"),"")</f>
        <v/>
      </c>
      <c r="L81" s="97">
        <f>BDP("=A81&amp;" US Equity"","RETURN_ON_INV_CAPITAL")/100</f>
        <v/>
      </c>
      <c r="M81" s="97">
        <f>IF(AND(BDP("=A81&amp;" US Equity"","BEST_SALES","BEST_FPERIOD_OVERRIDE","25Y")&gt;0,BDP("=A81&amp;" US Equity"","BEST_SALES","BEST_FPERIOD_OVERRIDE","28Y")&gt;0),(BDP("=A81&amp;" US Equity"","BEST_SALES","BEST_FPERIOD_OVERRIDE","28Y")/BDP("=A81&amp;" US Equity"","BEST_SALES","BEST_FPERIOD_OVERRIDE","25Y"))^(1/3)-1,"")</f>
        <v/>
      </c>
      <c r="N81" s="97">
        <f>IF(AND(BDP("=A81&amp;" US Equity"","BEST_EBIT","BEST_FPERIOD_OVERRIDE","25Y")&gt;0,BDP("=A81&amp;" US Equity"","BEST_EBIT","BEST_FPERIOD_OVERRIDE","28Y")&gt;0),(BDP("=A81&amp;" US Equity"","BEST_EBIT","BEST_FPERIOD_OVERRIDE","28Y")/BDP("=A81&amp;" US Equity"","BEST_EBIT","BEST_FPERIOD_OVERRIDE","25Y"))^(1/3)-1,"")</f>
        <v/>
      </c>
      <c r="O81" s="97">
        <f>IF(AND(BDP("=A81&amp;" US Equity"","BEST_EPS","BEST_FPERIOD_OVERRIDE","25Y")&gt;0,BDP("=A81&amp;" US Equity"","BEST_EPS","BEST_FPERIOD_OVERRIDE","28Y")&gt;0),(BDP("=A81&amp;" US Equity"","BEST_EPS","BEST_FPERIOD_OVERRIDE","28Y")/BDP("=A81&amp;" US Equity"","BEST_EPS","BEST_FPERIOD_OVERRIDE","25Y"))^(1/3)-1,"")</f>
        <v/>
      </c>
      <c r="Q81" s="97">
        <f>BDP("=A81&amp;" US Equity"","CHG_PCT_YTD")/100</f>
        <v/>
      </c>
      <c r="T81" s="68">
        <f>IF(AND(F81&lt;&gt;"",O81&lt;&gt;"",O81&lt;&gt;0),F81/(O81*100),"")</f>
        <v/>
      </c>
      <c r="AB81" s="93">
        <f>BDP("=A81&amp;" US Equity"","TRAIL_12M_OPER_INC")</f>
        <v/>
      </c>
      <c r="AC81" s="93">
        <f>BDP("=A81&amp;" US Equity"","SHORT_AND_LONG_TERM_DEBT")</f>
        <v/>
      </c>
      <c r="AD81" s="93">
        <f>BDP("=A81&amp;" US Equity"","TOTAL_EQUITY")</f>
        <v/>
      </c>
      <c r="AE81" s="93">
        <f>BDP("=A81&amp;" US Equity"","BS_CASH_NEAR_CASH_ITEM")</f>
        <v/>
      </c>
      <c r="AF81" s="99">
        <f>BDP("=A81&amp;" US Equity"","BS_LT_INVEST")</f>
        <v/>
      </c>
      <c r="AG81" s="15">
        <f>AC81+AD81</f>
        <v/>
      </c>
      <c r="AH81" s="100">
        <f>BDP("=A81&amp;" US Equity"","RETURN_ON_INV_CAPITAL")/100</f>
        <v/>
      </c>
      <c r="AJ81" s="93">
        <f>BDP("=A81&amp;" US Equity"","BEST_EPS","BEST_FPERIOD_OVERRIDE","24Y")</f>
        <v/>
      </c>
      <c r="AK81" s="93">
        <f>BDP("=A81&amp;" US Equity"","BEST_EPS","BEST_FPERIOD_OVERRIDE","25Y")</f>
        <v/>
      </c>
      <c r="AL81" s="93">
        <f>BDP("=A81&amp;" US Equity"","BEST_EPS","BEST_FPERIOD_OVERRIDE","26Y")</f>
        <v/>
      </c>
      <c r="AM81" s="93">
        <f>BDP("=A81&amp;" US Equity"","BEST_EPS","BEST_FPERIOD_OVERRIDE","27Y")</f>
        <v/>
      </c>
      <c r="AN81" s="93">
        <f>BDP("=A81&amp;" US Equity"","BEST_EPS","BEST_FPERIOD_OVERRIDE","28Y")</f>
        <v/>
      </c>
      <c r="AP81" s="93">
        <f>BDP("=A81&amp;" US Equity"","BEST_SALES","BEST_FPERIOD_OVERRIDE","24Y")</f>
        <v/>
      </c>
      <c r="AQ81" s="93">
        <f>BDP("=A81&amp;" US Equity"","BEST_SALES","BEST_FPERIOD_OVERRIDE","25Y")</f>
        <v/>
      </c>
      <c r="AR81" s="93">
        <f>BDP("=A81&amp;" US Equity"","BEST_SALES","BEST_FPERIOD_OVERRIDE","26Y")</f>
        <v/>
      </c>
      <c r="AS81" s="93">
        <f>BDP("=A81&amp;" US Equity"","BEST_SALES","BEST_FPERIOD_OVERRIDE","27Y")</f>
        <v/>
      </c>
      <c r="AT81" s="93">
        <f>BDP("=A81&amp;" US Equity"","BEST_SALES","BEST_FPERIOD_OVERRIDE","28Y")</f>
        <v/>
      </c>
      <c r="AV81" s="93">
        <f>BDP("=A81&amp;" US Equity"","BEST_EBIT","BEST_FPERIOD_OVERRIDE","24Y")</f>
        <v/>
      </c>
      <c r="AW81" s="93">
        <f>BDP("=A81&amp;" US Equity"","BEST_EBIT","BEST_FPERIOD_OVERRIDE","25Y")</f>
        <v/>
      </c>
      <c r="AX81" s="93">
        <f>BDP("=A81&amp;" US Equity"","BEST_EBIT","BEST_FPERIOD_OVERRIDE","26Y")</f>
        <v/>
      </c>
      <c r="AY81" s="93">
        <f>BDP("=A81&amp;" US Equity"","BEST_EBIT","BEST_FPERIOD_OVERRIDE","27Y")</f>
        <v/>
      </c>
      <c r="AZ81" s="93">
        <f>BDP("=A81&amp;" US Equity"","BEST_EBIT","BEST_FPERIOD_OVERRIDE","28Y")</f>
        <v/>
      </c>
      <c r="BB81" s="68">
        <f>D81+BC81</f>
        <v/>
      </c>
      <c r="BC81" s="68">
        <f>AC81-AE81</f>
        <v/>
      </c>
      <c r="BD81" s="15">
        <f>D81</f>
        <v/>
      </c>
      <c r="BE81" s="99">
        <f>BDP("=A81&amp;" US Equity"","TRAIL_12M_EBITDA")</f>
        <v/>
      </c>
    </row>
    <row r="82">
      <c r="A82" t="inlineStr">
        <is>
          <t>MSI</t>
        </is>
      </c>
      <c r="B82">
        <f>A82&amp;" US Equity"</f>
        <v/>
      </c>
      <c r="C82" s="15" t="inlineStr">
        <is>
          <t>Dec</t>
        </is>
      </c>
      <c r="D82" s="93">
        <f>BDP("=A82&amp;" US Equity"","CUR_MKT_CAP")/1000000000</f>
        <v/>
      </c>
      <c r="E82" s="94">
        <f>BDP("=A82&amp;" US Equity"","PX_LAST")</f>
        <v/>
      </c>
      <c r="F82" s="95">
        <f>IF(BDP("=A82&amp;" US Equity"","BEST_EPS","BEST_FPERIOD_OVERRIDE","26Y")&lt;&gt;0,$E$82/BDP("=A82&amp;" US Equity"","BEST_EPS","BEST_FPERIOD_OVERRIDE","26Y"),"")</f>
        <v/>
      </c>
      <c r="G82" s="95">
        <f>IF(BDP("=A82&amp;" US Equity"","BEST_EPS","BEST_FPERIOD_OVERRIDE","27Y")&lt;&gt;0,$E$82/BDP("=A82&amp;" US Equity"","BEST_EPS","BEST_FPERIOD_OVERRIDE","27Y"),"")</f>
        <v/>
      </c>
      <c r="H82" s="95">
        <f>IF(BDP("=A82&amp;" US Equity"","BEST_EPS","BEST_FPERIOD_OVERRIDE","28Y")&lt;&gt;0,$E$82/BDP("=A82&amp;" US Equity"","BEST_EPS","BEST_FPERIOD_OVERRIDE","28Y"),"")</f>
        <v/>
      </c>
      <c r="I82" s="96">
        <f>BDP("=A82&amp;" US Equity"","NET_DEBT_TO_EBITDA")</f>
        <v/>
      </c>
      <c r="J82" s="93">
        <f>BDP("=A82&amp;" US Equity"","BEST_SALES","BEST_FPERIOD_OVERRIDE","26Y")/1000</f>
        <v/>
      </c>
      <c r="K82" s="97">
        <f>IF(BDP("=A82&amp;" US Equity"","BEST_SALES","BEST_FPERIOD_OVERRIDE","26Y")&lt;&gt;0,BDP("=A82&amp;" US Equity"","BEST_EBIT","BEST_FPERIOD_OVERRIDE","26Y")/BDP("=A82&amp;" US Equity"","BEST_SALES","BEST_FPERIOD_OVERRIDE","26Y"),"")</f>
        <v/>
      </c>
      <c r="L82" s="97">
        <f>BDP("=A82&amp;" US Equity"","RETURN_ON_INV_CAPITAL")/100</f>
        <v/>
      </c>
      <c r="M82" s="97">
        <f>IF(AND(BDP("=A82&amp;" US Equity"","BEST_SALES","BEST_FPERIOD_OVERRIDE","25Y")&gt;0,BDP("=A82&amp;" US Equity"","BEST_SALES","BEST_FPERIOD_OVERRIDE","28Y")&gt;0),(BDP("=A82&amp;" US Equity"","BEST_SALES","BEST_FPERIOD_OVERRIDE","28Y")/BDP("=A82&amp;" US Equity"","BEST_SALES","BEST_FPERIOD_OVERRIDE","25Y"))^(1/3)-1,"")</f>
        <v/>
      </c>
      <c r="N82" s="97">
        <f>IF(AND(BDP("=A82&amp;" US Equity"","BEST_EBIT","BEST_FPERIOD_OVERRIDE","25Y")&gt;0,BDP("=A82&amp;" US Equity"","BEST_EBIT","BEST_FPERIOD_OVERRIDE","28Y")&gt;0),(BDP("=A82&amp;" US Equity"","BEST_EBIT","BEST_FPERIOD_OVERRIDE","28Y")/BDP("=A82&amp;" US Equity"","BEST_EBIT","BEST_FPERIOD_OVERRIDE","25Y"))^(1/3)-1,"")</f>
        <v/>
      </c>
      <c r="O82" s="97">
        <f>IF(AND(BDP("=A82&amp;" US Equity"","BEST_EPS","BEST_FPERIOD_OVERRIDE","25Y")&gt;0,BDP("=A82&amp;" US Equity"","BEST_EPS","BEST_FPERIOD_OVERRIDE","28Y")&gt;0),(BDP("=A82&amp;" US Equity"","BEST_EPS","BEST_FPERIOD_OVERRIDE","28Y")/BDP("=A82&amp;" US Equity"","BEST_EPS","BEST_FPERIOD_OVERRIDE","25Y"))^(1/3)-1,"")</f>
        <v/>
      </c>
      <c r="Q82" s="97">
        <f>BDP("=A82&amp;" US Equity"","CHG_PCT_YTD")/100</f>
        <v/>
      </c>
      <c r="T82" s="68">
        <f>IF(AND(F82&lt;&gt;"",O82&lt;&gt;"",O82&lt;&gt;0),F82/(O82*100),"")</f>
        <v/>
      </c>
      <c r="AB82" s="93">
        <f>BDP("=A82&amp;" US Equity"","TRAIL_12M_OPER_INC")</f>
        <v/>
      </c>
      <c r="AC82" s="93">
        <f>BDP("=A82&amp;" US Equity"","SHORT_AND_LONG_TERM_DEBT")</f>
        <v/>
      </c>
      <c r="AD82" s="93">
        <f>BDP("=A82&amp;" US Equity"","TOTAL_EQUITY")</f>
        <v/>
      </c>
      <c r="AE82" s="93">
        <f>BDP("=A82&amp;" US Equity"","BS_CASH_NEAR_CASH_ITEM")</f>
        <v/>
      </c>
      <c r="AF82" s="99">
        <f>BDP("=A82&amp;" US Equity"","BS_LT_INVEST")</f>
        <v/>
      </c>
      <c r="AG82" s="15">
        <f>AC82+AD82</f>
        <v/>
      </c>
      <c r="AH82" s="100">
        <f>BDP("=A82&amp;" US Equity"","RETURN_ON_INV_CAPITAL")/100</f>
        <v/>
      </c>
      <c r="AJ82" s="93">
        <f>BDP("=A82&amp;" US Equity"","BEST_EPS","BEST_FPERIOD_OVERRIDE","24Y")</f>
        <v/>
      </c>
      <c r="AK82" s="93">
        <f>BDP("=A82&amp;" US Equity"","BEST_EPS","BEST_FPERIOD_OVERRIDE","25Y")</f>
        <v/>
      </c>
      <c r="AL82" s="93">
        <f>BDP("=A82&amp;" US Equity"","BEST_EPS","BEST_FPERIOD_OVERRIDE","26Y")</f>
        <v/>
      </c>
      <c r="AM82" s="93">
        <f>BDP("=A82&amp;" US Equity"","BEST_EPS","BEST_FPERIOD_OVERRIDE","27Y")</f>
        <v/>
      </c>
      <c r="AN82" s="93">
        <f>BDP("=A82&amp;" US Equity"","BEST_EPS","BEST_FPERIOD_OVERRIDE","28Y")</f>
        <v/>
      </c>
      <c r="AP82" s="93">
        <f>BDP("=A82&amp;" US Equity"","BEST_SALES","BEST_FPERIOD_OVERRIDE","24Y")</f>
        <v/>
      </c>
      <c r="AQ82" s="93">
        <f>BDP("=A82&amp;" US Equity"","BEST_SALES","BEST_FPERIOD_OVERRIDE","25Y")</f>
        <v/>
      </c>
      <c r="AR82" s="93">
        <f>BDP("=A82&amp;" US Equity"","BEST_SALES","BEST_FPERIOD_OVERRIDE","26Y")</f>
        <v/>
      </c>
      <c r="AS82" s="93">
        <f>BDP("=A82&amp;" US Equity"","BEST_SALES","BEST_FPERIOD_OVERRIDE","27Y")</f>
        <v/>
      </c>
      <c r="AT82" s="93">
        <f>BDP("=A82&amp;" US Equity"","BEST_SALES","BEST_FPERIOD_OVERRIDE","28Y")</f>
        <v/>
      </c>
      <c r="AV82" s="93">
        <f>BDP("=A82&amp;" US Equity"","BEST_EBIT","BEST_FPERIOD_OVERRIDE","24Y")</f>
        <v/>
      </c>
      <c r="AW82" s="93">
        <f>BDP("=A82&amp;" US Equity"","BEST_EBIT","BEST_FPERIOD_OVERRIDE","25Y")</f>
        <v/>
      </c>
      <c r="AX82" s="93">
        <f>BDP("=A82&amp;" US Equity"","BEST_EBIT","BEST_FPERIOD_OVERRIDE","26Y")</f>
        <v/>
      </c>
      <c r="AY82" s="93">
        <f>BDP("=A82&amp;" US Equity"","BEST_EBIT","BEST_FPERIOD_OVERRIDE","27Y")</f>
        <v/>
      </c>
      <c r="AZ82" s="93">
        <f>BDP("=A82&amp;" US Equity"","BEST_EBIT","BEST_FPERIOD_OVERRIDE","28Y")</f>
        <v/>
      </c>
      <c r="BB82" s="68">
        <f>D82+BC82</f>
        <v/>
      </c>
      <c r="BC82" s="68">
        <f>AC82-AE82</f>
        <v/>
      </c>
      <c r="BD82" s="15">
        <f>D82</f>
        <v/>
      </c>
      <c r="BE82" s="99">
        <f>BDP("=A82&amp;" US Equity"","TRAIL_12M_EBITDA")</f>
        <v/>
      </c>
    </row>
    <row r="83">
      <c r="A83" t="inlineStr">
        <is>
          <t>IR</t>
        </is>
      </c>
      <c r="B83">
        <f>A83&amp;" US Equity"</f>
        <v/>
      </c>
      <c r="C83" s="15" t="inlineStr">
        <is>
          <t>Dec</t>
        </is>
      </c>
      <c r="D83" s="93">
        <f>BDP("=A83&amp;" US Equity"","CUR_MKT_CAP")/1000000000</f>
        <v/>
      </c>
      <c r="E83" s="94">
        <f>BDP("=A83&amp;" US Equity"","PX_LAST")</f>
        <v/>
      </c>
      <c r="F83" s="95">
        <f>IF(BDP("=A83&amp;" US Equity"","BEST_EPS","BEST_FPERIOD_OVERRIDE","26Y")&lt;&gt;0,$E$83/BDP("=A83&amp;" US Equity"","BEST_EPS","BEST_FPERIOD_OVERRIDE","26Y"),"")</f>
        <v/>
      </c>
      <c r="G83" s="95">
        <f>IF(BDP("=A83&amp;" US Equity"","BEST_EPS","BEST_FPERIOD_OVERRIDE","27Y")&lt;&gt;0,$E$83/BDP("=A83&amp;" US Equity"","BEST_EPS","BEST_FPERIOD_OVERRIDE","27Y"),"")</f>
        <v/>
      </c>
      <c r="H83" s="95">
        <f>IF(BDP("=A83&amp;" US Equity"","BEST_EPS","BEST_FPERIOD_OVERRIDE","28Y")&lt;&gt;0,$E$83/BDP("=A83&amp;" US Equity"","BEST_EPS","BEST_FPERIOD_OVERRIDE","28Y"),"")</f>
        <v/>
      </c>
      <c r="I83" s="96">
        <f>BDP("=A83&amp;" US Equity"","NET_DEBT_TO_EBITDA")</f>
        <v/>
      </c>
      <c r="J83" s="93">
        <f>BDP("=A83&amp;" US Equity"","BEST_SALES","BEST_FPERIOD_OVERRIDE","26Y")/1000</f>
        <v/>
      </c>
      <c r="K83" s="97">
        <f>IF(BDP("=A83&amp;" US Equity"","BEST_SALES","BEST_FPERIOD_OVERRIDE","26Y")&lt;&gt;0,BDP("=A83&amp;" US Equity"","BEST_EBIT","BEST_FPERIOD_OVERRIDE","26Y")/BDP("=A83&amp;" US Equity"","BEST_SALES","BEST_FPERIOD_OVERRIDE","26Y"),"")</f>
        <v/>
      </c>
      <c r="L83" s="97">
        <f>BDP("=A83&amp;" US Equity"","RETURN_ON_INV_CAPITAL")/100</f>
        <v/>
      </c>
      <c r="M83" s="97">
        <f>IF(AND(BDP("=A83&amp;" US Equity"","BEST_SALES","BEST_FPERIOD_OVERRIDE","25Y")&gt;0,BDP("=A83&amp;" US Equity"","BEST_SALES","BEST_FPERIOD_OVERRIDE","28Y")&gt;0),(BDP("=A83&amp;" US Equity"","BEST_SALES","BEST_FPERIOD_OVERRIDE","28Y")/BDP("=A83&amp;" US Equity"","BEST_SALES","BEST_FPERIOD_OVERRIDE","25Y"))^(1/3)-1,"")</f>
        <v/>
      </c>
      <c r="N83" s="97">
        <f>IF(AND(BDP("=A83&amp;" US Equity"","BEST_EBIT","BEST_FPERIOD_OVERRIDE","25Y")&gt;0,BDP("=A83&amp;" US Equity"","BEST_EBIT","BEST_FPERIOD_OVERRIDE","28Y")&gt;0),(BDP("=A83&amp;" US Equity"","BEST_EBIT","BEST_FPERIOD_OVERRIDE","28Y")/BDP("=A83&amp;" US Equity"","BEST_EBIT","BEST_FPERIOD_OVERRIDE","25Y"))^(1/3)-1,"")</f>
        <v/>
      </c>
      <c r="O83" s="97">
        <f>IF(AND(BDP("=A83&amp;" US Equity"","BEST_EPS","BEST_FPERIOD_OVERRIDE","25Y")&gt;0,BDP("=A83&amp;" US Equity"","BEST_EPS","BEST_FPERIOD_OVERRIDE","28Y")&gt;0),(BDP("=A83&amp;" US Equity"","BEST_EPS","BEST_FPERIOD_OVERRIDE","28Y")/BDP("=A83&amp;" US Equity"","BEST_EPS","BEST_FPERIOD_OVERRIDE","25Y"))^(1/3)-1,"")</f>
        <v/>
      </c>
      <c r="Q83" s="97">
        <f>BDP("=A83&amp;" US Equity"","CHG_PCT_YTD")/100</f>
        <v/>
      </c>
      <c r="T83" s="68">
        <f>IF(AND(F83&lt;&gt;"",O83&lt;&gt;"",O83&lt;&gt;0),F83/(O83*100),"")</f>
        <v/>
      </c>
      <c r="AB83" s="93">
        <f>BDP("=A83&amp;" US Equity"","TRAIL_12M_OPER_INC")</f>
        <v/>
      </c>
      <c r="AC83" s="93">
        <f>BDP("=A83&amp;" US Equity"","SHORT_AND_LONG_TERM_DEBT")</f>
        <v/>
      </c>
      <c r="AD83" s="93">
        <f>BDP("=A83&amp;" US Equity"","TOTAL_EQUITY")</f>
        <v/>
      </c>
      <c r="AE83" s="93">
        <f>BDP("=A83&amp;" US Equity"","BS_CASH_NEAR_CASH_ITEM")</f>
        <v/>
      </c>
      <c r="AF83" s="99">
        <f>BDP("=A83&amp;" US Equity"","BS_LT_INVEST")</f>
        <v/>
      </c>
      <c r="AG83" s="15">
        <f>AC83+AD83</f>
        <v/>
      </c>
      <c r="AH83" s="100">
        <f>BDP("=A83&amp;" US Equity"","RETURN_ON_INV_CAPITAL")/100</f>
        <v/>
      </c>
      <c r="AJ83" s="93">
        <f>BDP("=A83&amp;" US Equity"","BEST_EPS","BEST_FPERIOD_OVERRIDE","24Y")</f>
        <v/>
      </c>
      <c r="AK83" s="93">
        <f>BDP("=A83&amp;" US Equity"","BEST_EPS","BEST_FPERIOD_OVERRIDE","25Y")</f>
        <v/>
      </c>
      <c r="AL83" s="93">
        <f>BDP("=A83&amp;" US Equity"","BEST_EPS","BEST_FPERIOD_OVERRIDE","26Y")</f>
        <v/>
      </c>
      <c r="AM83" s="93">
        <f>BDP("=A83&amp;" US Equity"","BEST_EPS","BEST_FPERIOD_OVERRIDE","27Y")</f>
        <v/>
      </c>
      <c r="AN83" s="93">
        <f>BDP("=A83&amp;" US Equity"","BEST_EPS","BEST_FPERIOD_OVERRIDE","28Y")</f>
        <v/>
      </c>
      <c r="AP83" s="93">
        <f>BDP("=A83&amp;" US Equity"","BEST_SALES","BEST_FPERIOD_OVERRIDE","24Y")</f>
        <v/>
      </c>
      <c r="AQ83" s="93">
        <f>BDP("=A83&amp;" US Equity"","BEST_SALES","BEST_FPERIOD_OVERRIDE","25Y")</f>
        <v/>
      </c>
      <c r="AR83" s="93">
        <f>BDP("=A83&amp;" US Equity"","BEST_SALES","BEST_FPERIOD_OVERRIDE","26Y")</f>
        <v/>
      </c>
      <c r="AS83" s="93">
        <f>BDP("=A83&amp;" US Equity"","BEST_SALES","BEST_FPERIOD_OVERRIDE","27Y")</f>
        <v/>
      </c>
      <c r="AT83" s="93">
        <f>BDP("=A83&amp;" US Equity"","BEST_SALES","BEST_FPERIOD_OVERRIDE","28Y")</f>
        <v/>
      </c>
      <c r="AV83" s="93">
        <f>BDP("=A83&amp;" US Equity"","BEST_EBIT","BEST_FPERIOD_OVERRIDE","24Y")</f>
        <v/>
      </c>
      <c r="AW83" s="93">
        <f>BDP("=A83&amp;" US Equity"","BEST_EBIT","BEST_FPERIOD_OVERRIDE","25Y")</f>
        <v/>
      </c>
      <c r="AX83" s="93">
        <f>BDP("=A83&amp;" US Equity"","BEST_EBIT","BEST_FPERIOD_OVERRIDE","26Y")</f>
        <v/>
      </c>
      <c r="AY83" s="93">
        <f>BDP("=A83&amp;" US Equity"","BEST_EBIT","BEST_FPERIOD_OVERRIDE","27Y")</f>
        <v/>
      </c>
      <c r="AZ83" s="93">
        <f>BDP("=A83&amp;" US Equity"","BEST_EBIT","BEST_FPERIOD_OVERRIDE","28Y")</f>
        <v/>
      </c>
      <c r="BB83" s="68">
        <f>D83+BC83</f>
        <v/>
      </c>
      <c r="BC83" s="68">
        <f>AC83-AE83</f>
        <v/>
      </c>
      <c r="BD83" s="15">
        <f>D83</f>
        <v/>
      </c>
      <c r="BE83" s="99">
        <f>BDP("=A83&amp;" US Equity"","TRAIL_12M_EBITDA")</f>
        <v/>
      </c>
    </row>
    <row r="84">
      <c r="A84" t="inlineStr">
        <is>
          <t>AXON</t>
        </is>
      </c>
      <c r="B84">
        <f>A84&amp;" US Equity"</f>
        <v/>
      </c>
      <c r="C84" s="15" t="inlineStr">
        <is>
          <t>Dec</t>
        </is>
      </c>
      <c r="D84" s="93">
        <f>BDP("=A84&amp;" US Equity"","CUR_MKT_CAP")/1000000000</f>
        <v/>
      </c>
      <c r="E84" s="94">
        <f>BDP("=A84&amp;" US Equity"","PX_LAST")</f>
        <v/>
      </c>
      <c r="F84" s="95">
        <f>IF(BDP("=A84&amp;" US Equity"","BEST_EPS","BEST_FPERIOD_OVERRIDE","26Y")&lt;&gt;0,$E$84/BDP("=A84&amp;" US Equity"","BEST_EPS","BEST_FPERIOD_OVERRIDE","26Y"),"")</f>
        <v/>
      </c>
      <c r="G84" s="95">
        <f>IF(BDP("=A84&amp;" US Equity"","BEST_EPS","BEST_FPERIOD_OVERRIDE","27Y")&lt;&gt;0,$E$84/BDP("=A84&amp;" US Equity"","BEST_EPS","BEST_FPERIOD_OVERRIDE","27Y"),"")</f>
        <v/>
      </c>
      <c r="H84" s="95">
        <f>IF(BDP("=A84&amp;" US Equity"","BEST_EPS","BEST_FPERIOD_OVERRIDE","28Y")&lt;&gt;0,$E$84/BDP("=A84&amp;" US Equity"","BEST_EPS","BEST_FPERIOD_OVERRIDE","28Y"),"")</f>
        <v/>
      </c>
      <c r="I84" s="96">
        <f>BDP("=A84&amp;" US Equity"","NET_DEBT_TO_EBITDA")</f>
        <v/>
      </c>
      <c r="J84" s="93">
        <f>BDP("=A84&amp;" US Equity"","BEST_SALES","BEST_FPERIOD_OVERRIDE","26Y")/1000</f>
        <v/>
      </c>
      <c r="K84" s="97">
        <f>IF(BDP("=A84&amp;" US Equity"","BEST_SALES","BEST_FPERIOD_OVERRIDE","26Y")&lt;&gt;0,BDP("=A84&amp;" US Equity"","BEST_EBIT","BEST_FPERIOD_OVERRIDE","26Y")/BDP("=A84&amp;" US Equity"","BEST_SALES","BEST_FPERIOD_OVERRIDE","26Y"),"")</f>
        <v/>
      </c>
      <c r="L84" s="97">
        <f>BDP("=A84&amp;" US Equity"","RETURN_ON_INV_CAPITAL")/100</f>
        <v/>
      </c>
      <c r="M84" s="97">
        <f>IF(AND(BDP("=A84&amp;" US Equity"","BEST_SALES","BEST_FPERIOD_OVERRIDE","25Y")&gt;0,BDP("=A84&amp;" US Equity"","BEST_SALES","BEST_FPERIOD_OVERRIDE","28Y")&gt;0),(BDP("=A84&amp;" US Equity"","BEST_SALES","BEST_FPERIOD_OVERRIDE","28Y")/BDP("=A84&amp;" US Equity"","BEST_SALES","BEST_FPERIOD_OVERRIDE","25Y"))^(1/3)-1,"")</f>
        <v/>
      </c>
      <c r="N84" s="93">
        <f>IF(AND(BDP("=A84&amp;" US Equity"","BEST_EBIT","BEST_FPERIOD_OVERRIDE","25Y")&gt;0,BDP("=A84&amp;" US Equity"","BEST_EBIT","BEST_FPERIOD_OVERRIDE","28Y")&gt;0),(BDP("=A84&amp;" US Equity"","BEST_EBIT","BEST_FPERIOD_OVERRIDE","28Y")/BDP("=A84&amp;" US Equity"","BEST_EBIT","BEST_FPERIOD_OVERRIDE","25Y"))^(1/3)-1,"")</f>
        <v/>
      </c>
      <c r="O84" s="97">
        <f>IF(AND(BDP("=A84&amp;" US Equity"","BEST_EPS","BEST_FPERIOD_OVERRIDE","25Y")&gt;0,BDP("=A84&amp;" US Equity"","BEST_EPS","BEST_FPERIOD_OVERRIDE","28Y")&gt;0),(BDP("=A84&amp;" US Equity"","BEST_EPS","BEST_FPERIOD_OVERRIDE","28Y")/BDP("=A84&amp;" US Equity"","BEST_EPS","BEST_FPERIOD_OVERRIDE","25Y"))^(1/3)-1,"")</f>
        <v/>
      </c>
      <c r="Q84" s="97">
        <f>BDP("=A84&amp;" US Equity"","CHG_PCT_YTD")/100</f>
        <v/>
      </c>
      <c r="T84" s="68">
        <f>IF(AND(F84&lt;&gt;"",O84&lt;&gt;"",O84&lt;&gt;0),F84/(O84*100),"")</f>
        <v/>
      </c>
      <c r="AB84" s="93">
        <f>BDP("=A84&amp;" US Equity"","TRAIL_12M_OPER_INC")</f>
        <v/>
      </c>
      <c r="AC84" s="93">
        <f>BDP("=A84&amp;" US Equity"","SHORT_AND_LONG_TERM_DEBT")</f>
        <v/>
      </c>
      <c r="AD84" s="93">
        <f>BDP("=A84&amp;" US Equity"","TOTAL_EQUITY")</f>
        <v/>
      </c>
      <c r="AE84" s="93">
        <f>BDP("=A84&amp;" US Equity"","BS_CASH_NEAR_CASH_ITEM")</f>
        <v/>
      </c>
      <c r="AF84" s="99">
        <f>BDP("=A84&amp;" US Equity"","BS_LT_INVEST")</f>
        <v/>
      </c>
      <c r="AG84" s="15">
        <f>AC84+AD84</f>
        <v/>
      </c>
      <c r="AH84" s="100">
        <f>BDP("=A84&amp;" US Equity"","RETURN_ON_INV_CAPITAL")/100</f>
        <v/>
      </c>
      <c r="AJ84" s="93">
        <f>BDP("=A84&amp;" US Equity"","BEST_EPS","BEST_FPERIOD_OVERRIDE","24Y")</f>
        <v/>
      </c>
      <c r="AK84" s="93">
        <f>BDP("=A84&amp;" US Equity"","BEST_EPS","BEST_FPERIOD_OVERRIDE","25Y")</f>
        <v/>
      </c>
      <c r="AL84" s="93">
        <f>BDP("=A84&amp;" US Equity"","BEST_EPS","BEST_FPERIOD_OVERRIDE","26Y")</f>
        <v/>
      </c>
      <c r="AM84" s="93">
        <f>BDP("=A84&amp;" US Equity"","BEST_EPS","BEST_FPERIOD_OVERRIDE","27Y")</f>
        <v/>
      </c>
      <c r="AN84" s="93">
        <f>BDP("=A84&amp;" US Equity"","BEST_EPS","BEST_FPERIOD_OVERRIDE","28Y")</f>
        <v/>
      </c>
      <c r="AP84" s="93">
        <f>BDP("=A84&amp;" US Equity"","BEST_SALES","BEST_FPERIOD_OVERRIDE","24Y")</f>
        <v/>
      </c>
      <c r="AQ84" s="93">
        <f>BDP("=A84&amp;" US Equity"","BEST_SALES","BEST_FPERIOD_OVERRIDE","25Y")</f>
        <v/>
      </c>
      <c r="AR84" s="93">
        <f>BDP("=A84&amp;" US Equity"","BEST_SALES","BEST_FPERIOD_OVERRIDE","26Y")</f>
        <v/>
      </c>
      <c r="AS84" s="93">
        <f>BDP("=A84&amp;" US Equity"","BEST_SALES","BEST_FPERIOD_OVERRIDE","27Y")</f>
        <v/>
      </c>
      <c r="AT84" s="93">
        <f>BDP("=A84&amp;" US Equity"","BEST_SALES","BEST_FPERIOD_OVERRIDE","28Y")</f>
        <v/>
      </c>
      <c r="AV84" s="93">
        <f>BDP("=A84&amp;" US Equity"","BEST_EBIT","BEST_FPERIOD_OVERRIDE","24Y")</f>
        <v/>
      </c>
      <c r="AW84" s="93">
        <f>BDP("=A84&amp;" US Equity"","BEST_EBIT","BEST_FPERIOD_OVERRIDE","25Y")</f>
        <v/>
      </c>
      <c r="AX84" s="93">
        <f>BDP("=A84&amp;" US Equity"","BEST_EBIT","BEST_FPERIOD_OVERRIDE","26Y")</f>
        <v/>
      </c>
      <c r="AY84" s="93">
        <f>BDP("=A84&amp;" US Equity"","BEST_EBIT","BEST_FPERIOD_OVERRIDE","27Y")</f>
        <v/>
      </c>
      <c r="AZ84" s="93">
        <f>BDP("=A84&amp;" US Equity"","BEST_EBIT","BEST_FPERIOD_OVERRIDE","28Y")</f>
        <v/>
      </c>
      <c r="BB84" s="68">
        <f>D84+BC84</f>
        <v/>
      </c>
      <c r="BC84" s="68">
        <f>AC84-AE84</f>
        <v/>
      </c>
      <c r="BD84" s="15">
        <f>D84</f>
        <v/>
      </c>
      <c r="BE84" s="99">
        <f>BDP("=A84&amp;" US Equity"","TRAIL_12M_EBITDA")</f>
        <v/>
      </c>
    </row>
    <row r="85">
      <c r="A85" t="inlineStr">
        <is>
          <t>VMC</t>
        </is>
      </c>
      <c r="B85">
        <f>A85&amp;" US Equity"</f>
        <v/>
      </c>
      <c r="C85" s="15" t="inlineStr">
        <is>
          <t>Dec</t>
        </is>
      </c>
      <c r="D85" s="93">
        <f>BDP("=A85&amp;" US Equity"","CUR_MKT_CAP")/1000000000</f>
        <v/>
      </c>
      <c r="E85" s="94">
        <f>BDP("=A85&amp;" US Equity"","PX_LAST")</f>
        <v/>
      </c>
      <c r="F85" s="95">
        <f>IF(BDP("=A85&amp;" US Equity"","BEST_EPS","BEST_FPERIOD_OVERRIDE","26Y")&lt;&gt;0,$E$85/BDP("=A85&amp;" US Equity"","BEST_EPS","BEST_FPERIOD_OVERRIDE","26Y"),"")</f>
        <v/>
      </c>
      <c r="G85" s="95">
        <f>IF(BDP("=A85&amp;" US Equity"","BEST_EPS","BEST_FPERIOD_OVERRIDE","27Y")&lt;&gt;0,$E$85/BDP("=A85&amp;" US Equity"","BEST_EPS","BEST_FPERIOD_OVERRIDE","27Y"),"")</f>
        <v/>
      </c>
      <c r="H85" s="95">
        <f>IF(BDP("=A85&amp;" US Equity"","BEST_EPS","BEST_FPERIOD_OVERRIDE","28Y")&lt;&gt;0,$E$85/BDP("=A85&amp;" US Equity"","BEST_EPS","BEST_FPERIOD_OVERRIDE","28Y"),"")</f>
        <v/>
      </c>
      <c r="I85" s="96">
        <f>BDP("=A85&amp;" US Equity"","NET_DEBT_TO_EBITDA")</f>
        <v/>
      </c>
      <c r="J85" s="93">
        <f>BDP("=A85&amp;" US Equity"","BEST_SALES","BEST_FPERIOD_OVERRIDE","26Y")/1000</f>
        <v/>
      </c>
      <c r="K85" s="97">
        <f>IF(BDP("=A85&amp;" US Equity"","BEST_SALES","BEST_FPERIOD_OVERRIDE","26Y")&lt;&gt;0,BDP("=A85&amp;" US Equity"","BEST_EBIT","BEST_FPERIOD_OVERRIDE","26Y")/BDP("=A85&amp;" US Equity"","BEST_SALES","BEST_FPERIOD_OVERRIDE","26Y"),"")</f>
        <v/>
      </c>
      <c r="L85" s="97">
        <f>BDP("=A85&amp;" US Equity"","RETURN_ON_INV_CAPITAL")/100</f>
        <v/>
      </c>
      <c r="M85" s="97">
        <f>IF(AND(BDP("=A85&amp;" US Equity"","BEST_SALES","BEST_FPERIOD_OVERRIDE","25Y")&gt;0,BDP("=A85&amp;" US Equity"","BEST_SALES","BEST_FPERIOD_OVERRIDE","28Y")&gt;0),(BDP("=A85&amp;" US Equity"","BEST_SALES","BEST_FPERIOD_OVERRIDE","28Y")/BDP("=A85&amp;" US Equity"","BEST_SALES","BEST_FPERIOD_OVERRIDE","25Y"))^(1/3)-1,"")</f>
        <v/>
      </c>
      <c r="N85" s="97">
        <f>IF(AND(BDP("=A85&amp;" US Equity"","BEST_EBIT","BEST_FPERIOD_OVERRIDE","25Y")&gt;0,BDP("=A85&amp;" US Equity"","BEST_EBIT","BEST_FPERIOD_OVERRIDE","28Y")&gt;0),(BDP("=A85&amp;" US Equity"","BEST_EBIT","BEST_FPERIOD_OVERRIDE","28Y")/BDP("=A85&amp;" US Equity"","BEST_EBIT","BEST_FPERIOD_OVERRIDE","25Y"))^(1/3)-1,"")</f>
        <v/>
      </c>
      <c r="O85" s="97">
        <f>IF(AND(BDP("=A85&amp;" US Equity"","BEST_EPS","BEST_FPERIOD_OVERRIDE","25Y")&gt;0,BDP("=A85&amp;" US Equity"","BEST_EPS","BEST_FPERIOD_OVERRIDE","28Y")&gt;0),(BDP("=A85&amp;" US Equity"","BEST_EPS","BEST_FPERIOD_OVERRIDE","28Y")/BDP("=A85&amp;" US Equity"","BEST_EPS","BEST_FPERIOD_OVERRIDE","25Y"))^(1/3)-1,"")</f>
        <v/>
      </c>
      <c r="Q85" s="97">
        <f>BDP("=A85&amp;" US Equity"","CHG_PCT_YTD")/100</f>
        <v/>
      </c>
      <c r="T85" s="68">
        <f>IF(AND(F85&lt;&gt;"",O85&lt;&gt;"",O85&lt;&gt;0),F85/(O85*100),"")</f>
        <v/>
      </c>
      <c r="AB85" s="93">
        <f>BDP("=A85&amp;" US Equity"","TRAIL_12M_OPER_INC")</f>
        <v/>
      </c>
      <c r="AC85" s="93">
        <f>BDP("=A85&amp;" US Equity"","SHORT_AND_LONG_TERM_DEBT")</f>
        <v/>
      </c>
      <c r="AD85" s="93">
        <f>BDP("=A85&amp;" US Equity"","TOTAL_EQUITY")</f>
        <v/>
      </c>
      <c r="AE85" s="93">
        <f>BDP("=A85&amp;" US Equity"","BS_CASH_NEAR_CASH_ITEM")</f>
        <v/>
      </c>
      <c r="AF85" s="99">
        <f>BDP("=A85&amp;" US Equity"","BS_LT_INVEST")</f>
        <v/>
      </c>
      <c r="AG85" s="15">
        <f>AC85+AD85</f>
        <v/>
      </c>
      <c r="AH85" s="100">
        <f>BDP("=A85&amp;" US Equity"","RETURN_ON_INV_CAPITAL")/100</f>
        <v/>
      </c>
      <c r="AJ85" s="93">
        <f>BDP("=A85&amp;" US Equity"","BEST_EPS","BEST_FPERIOD_OVERRIDE","24Y")</f>
        <v/>
      </c>
      <c r="AK85" s="93">
        <f>BDP("=A85&amp;" US Equity"","BEST_EPS","BEST_FPERIOD_OVERRIDE","25Y")</f>
        <v/>
      </c>
      <c r="AL85" s="93">
        <f>BDP("=A85&amp;" US Equity"","BEST_EPS","BEST_FPERIOD_OVERRIDE","26Y")</f>
        <v/>
      </c>
      <c r="AM85" s="93">
        <f>BDP("=A85&amp;" US Equity"","BEST_EPS","BEST_FPERIOD_OVERRIDE","27Y")</f>
        <v/>
      </c>
      <c r="AN85" s="93">
        <f>BDP("=A85&amp;" US Equity"","BEST_EPS","BEST_FPERIOD_OVERRIDE","28Y")</f>
        <v/>
      </c>
      <c r="AP85" s="93">
        <f>BDP("=A85&amp;" US Equity"","BEST_SALES","BEST_FPERIOD_OVERRIDE","24Y")</f>
        <v/>
      </c>
      <c r="AQ85" s="93">
        <f>BDP("=A85&amp;" US Equity"","BEST_SALES","BEST_FPERIOD_OVERRIDE","25Y")</f>
        <v/>
      </c>
      <c r="AR85" s="93">
        <f>BDP("=A85&amp;" US Equity"","BEST_SALES","BEST_FPERIOD_OVERRIDE","26Y")</f>
        <v/>
      </c>
      <c r="AS85" s="93">
        <f>BDP("=A85&amp;" US Equity"","BEST_SALES","BEST_FPERIOD_OVERRIDE","27Y")</f>
        <v/>
      </c>
      <c r="AT85" s="93">
        <f>BDP("=A85&amp;" US Equity"","BEST_SALES","BEST_FPERIOD_OVERRIDE","28Y")</f>
        <v/>
      </c>
      <c r="AV85" s="93">
        <f>BDP("=A85&amp;" US Equity"","BEST_EBIT","BEST_FPERIOD_OVERRIDE","24Y")</f>
        <v/>
      </c>
      <c r="AW85" s="93">
        <f>BDP("=A85&amp;" US Equity"","BEST_EBIT","BEST_FPERIOD_OVERRIDE","25Y")</f>
        <v/>
      </c>
      <c r="AX85" s="93">
        <f>BDP("=A85&amp;" US Equity"","BEST_EBIT","BEST_FPERIOD_OVERRIDE","26Y")</f>
        <v/>
      </c>
      <c r="AY85" s="93">
        <f>BDP("=A85&amp;" US Equity"","BEST_EBIT","BEST_FPERIOD_OVERRIDE","27Y")</f>
        <v/>
      </c>
      <c r="AZ85" s="93">
        <f>BDP("=A85&amp;" US Equity"","BEST_EBIT","BEST_FPERIOD_OVERRIDE","28Y")</f>
        <v/>
      </c>
      <c r="BB85" s="68">
        <f>D85+BC85</f>
        <v/>
      </c>
      <c r="BC85" s="68">
        <f>AC85-AE85</f>
        <v/>
      </c>
      <c r="BD85" s="15">
        <f>D85</f>
        <v/>
      </c>
      <c r="BE85" s="99">
        <f>BDP("=A85&amp;" US Equity"","TRAIL_12M_EBITDA")</f>
        <v/>
      </c>
    </row>
    <row r="86">
      <c r="A86" t="inlineStr">
        <is>
          <t>CRH</t>
        </is>
      </c>
      <c r="B86">
        <f>A86&amp;" US Equity"</f>
        <v/>
      </c>
      <c r="C86" s="15" t="inlineStr">
        <is>
          <t>Dec</t>
        </is>
      </c>
      <c r="D86" s="93">
        <f>BDP("=A86&amp;" US Equity"","CUR_MKT_CAP")/1000000000</f>
        <v/>
      </c>
      <c r="E86" s="94">
        <f>BDP("=A86&amp;" US Equity"","PX_LAST")</f>
        <v/>
      </c>
      <c r="F86" s="95">
        <f>IF(BDP("=A86&amp;" US Equity"","BEST_EPS","BEST_FPERIOD_OVERRIDE","26Y")&lt;&gt;0,$E$86/BDP("=A86&amp;" US Equity"","BEST_EPS","BEST_FPERIOD_OVERRIDE","26Y"),"")</f>
        <v/>
      </c>
      <c r="G86" s="95">
        <f>IF(BDP("=A86&amp;" US Equity"","BEST_EPS","BEST_FPERIOD_OVERRIDE","27Y")&lt;&gt;0,$E$86/BDP("=A86&amp;" US Equity"","BEST_EPS","BEST_FPERIOD_OVERRIDE","27Y"),"")</f>
        <v/>
      </c>
      <c r="H86" s="95">
        <f>IF(BDP("=A86&amp;" US Equity"","BEST_EPS","BEST_FPERIOD_OVERRIDE","28Y")&lt;&gt;0,$E$86/BDP("=A86&amp;" US Equity"","BEST_EPS","BEST_FPERIOD_OVERRIDE","28Y"),"")</f>
        <v/>
      </c>
      <c r="I86" s="96">
        <f>BDP("=A86&amp;" US Equity"","NET_DEBT_TO_EBITDA")</f>
        <v/>
      </c>
      <c r="J86" s="93">
        <f>BDP("=A86&amp;" US Equity"","BEST_SALES","BEST_FPERIOD_OVERRIDE","26Y")/1000</f>
        <v/>
      </c>
      <c r="K86" s="97">
        <f>IF(BDP("=A86&amp;" US Equity"","BEST_SALES","BEST_FPERIOD_OVERRIDE","26Y")&lt;&gt;0,BDP("=A86&amp;" US Equity"","BEST_EBIT","BEST_FPERIOD_OVERRIDE","26Y")/BDP("=A86&amp;" US Equity"","BEST_SALES","BEST_FPERIOD_OVERRIDE","26Y"),"")</f>
        <v/>
      </c>
      <c r="L86" s="97">
        <f>BDP("=A86&amp;" US Equity"","RETURN_ON_INV_CAPITAL")/100</f>
        <v/>
      </c>
      <c r="M86" s="97">
        <f>IF(AND(BDP("=A86&amp;" US Equity"","BEST_SALES","BEST_FPERIOD_OVERRIDE","25Y")&gt;0,BDP("=A86&amp;" US Equity"","BEST_SALES","BEST_FPERIOD_OVERRIDE","28Y")&gt;0),(BDP("=A86&amp;" US Equity"","BEST_SALES","BEST_FPERIOD_OVERRIDE","28Y")/BDP("=A86&amp;" US Equity"","BEST_SALES","BEST_FPERIOD_OVERRIDE","25Y"))^(1/3)-1,"")</f>
        <v/>
      </c>
      <c r="N86" s="97">
        <f>IF(AND(BDP("=A86&amp;" US Equity"","BEST_EBIT","BEST_FPERIOD_OVERRIDE","25Y")&gt;0,BDP("=A86&amp;" US Equity"","BEST_EBIT","BEST_FPERIOD_OVERRIDE","28Y")&gt;0),(BDP("=A86&amp;" US Equity"","BEST_EBIT","BEST_FPERIOD_OVERRIDE","28Y")/BDP("=A86&amp;" US Equity"","BEST_EBIT","BEST_FPERIOD_OVERRIDE","25Y"))^(1/3)-1,"")</f>
        <v/>
      </c>
      <c r="O86" s="97">
        <f>IF(AND(BDP("=A86&amp;" US Equity"","BEST_EPS","BEST_FPERIOD_OVERRIDE","25Y")&gt;0,BDP("=A86&amp;" US Equity"","BEST_EPS","BEST_FPERIOD_OVERRIDE","28Y")&gt;0),(BDP("=A86&amp;" US Equity"","BEST_EPS","BEST_FPERIOD_OVERRIDE","28Y")/BDP("=A86&amp;" US Equity"","BEST_EPS","BEST_FPERIOD_OVERRIDE","25Y"))^(1/3)-1,"")</f>
        <v/>
      </c>
      <c r="Q86" s="97">
        <f>BDP("=A86&amp;" US Equity"","CHG_PCT_YTD")/100</f>
        <v/>
      </c>
      <c r="T86" s="68">
        <f>IF(AND(F86&lt;&gt;"",O86&lt;&gt;"",O86&lt;&gt;0),F86/(O86*100),"")</f>
        <v/>
      </c>
      <c r="AB86" s="93">
        <f>BDP("=A86&amp;" US Equity"","TRAIL_12M_OPER_INC")</f>
        <v/>
      </c>
      <c r="AC86" s="93">
        <f>BDP("=A86&amp;" US Equity"","SHORT_AND_LONG_TERM_DEBT")</f>
        <v/>
      </c>
      <c r="AD86" s="93">
        <f>BDP("=A86&amp;" US Equity"","TOTAL_EQUITY")</f>
        <v/>
      </c>
      <c r="AE86" s="93">
        <f>BDP("=A86&amp;" US Equity"","BS_CASH_NEAR_CASH_ITEM")</f>
        <v/>
      </c>
      <c r="AF86" s="99">
        <f>BDP("=A86&amp;" US Equity"","BS_LT_INVEST")</f>
        <v/>
      </c>
      <c r="AG86" s="15">
        <f>AC86+AD86</f>
        <v/>
      </c>
      <c r="AH86" s="100">
        <f>BDP("=A86&amp;" US Equity"","RETURN_ON_INV_CAPITAL")/100</f>
        <v/>
      </c>
      <c r="AJ86" s="93">
        <f>BDP("=A86&amp;" US Equity"","BEST_EPS","BEST_FPERIOD_OVERRIDE","24Y")</f>
        <v/>
      </c>
      <c r="AK86" s="93">
        <f>BDP("=A86&amp;" US Equity"","BEST_EPS","BEST_FPERIOD_OVERRIDE","25Y")</f>
        <v/>
      </c>
      <c r="AL86" s="93">
        <f>BDP("=A86&amp;" US Equity"","BEST_EPS","BEST_FPERIOD_OVERRIDE","26Y")</f>
        <v/>
      </c>
      <c r="AM86" s="93">
        <f>BDP("=A86&amp;" US Equity"","BEST_EPS","BEST_FPERIOD_OVERRIDE","27Y")</f>
        <v/>
      </c>
      <c r="AN86" s="93">
        <f>BDP("=A86&amp;" US Equity"","BEST_EPS","BEST_FPERIOD_OVERRIDE","28Y")</f>
        <v/>
      </c>
      <c r="AP86" s="93">
        <f>BDP("=A86&amp;" US Equity"","BEST_SALES","BEST_FPERIOD_OVERRIDE","24Y")</f>
        <v/>
      </c>
      <c r="AQ86" s="93">
        <f>BDP("=A86&amp;" US Equity"","BEST_SALES","BEST_FPERIOD_OVERRIDE","25Y")</f>
        <v/>
      </c>
      <c r="AR86" s="93">
        <f>BDP("=A86&amp;" US Equity"","BEST_SALES","BEST_FPERIOD_OVERRIDE","26Y")</f>
        <v/>
      </c>
      <c r="AS86" s="93">
        <f>BDP("=A86&amp;" US Equity"","BEST_SALES","BEST_FPERIOD_OVERRIDE","27Y")</f>
        <v/>
      </c>
      <c r="AT86" s="93">
        <f>BDP("=A86&amp;" US Equity"","BEST_SALES","BEST_FPERIOD_OVERRIDE","28Y")</f>
        <v/>
      </c>
      <c r="AV86" s="93">
        <f>BDP("=A86&amp;" US Equity"","BEST_EBIT","BEST_FPERIOD_OVERRIDE","24Y")</f>
        <v/>
      </c>
      <c r="AW86" s="93">
        <f>BDP("=A86&amp;" US Equity"","BEST_EBIT","BEST_FPERIOD_OVERRIDE","25Y")</f>
        <v/>
      </c>
      <c r="AX86" s="93">
        <f>BDP("=A86&amp;" US Equity"","BEST_EBIT","BEST_FPERIOD_OVERRIDE","26Y")</f>
        <v/>
      </c>
      <c r="AY86" s="93">
        <f>BDP("=A86&amp;" US Equity"","BEST_EBIT","BEST_FPERIOD_OVERRIDE","27Y")</f>
        <v/>
      </c>
      <c r="AZ86" s="93">
        <f>BDP("=A86&amp;" US Equity"","BEST_EBIT","BEST_FPERIOD_OVERRIDE","28Y")</f>
        <v/>
      </c>
      <c r="BB86" s="68">
        <f>D86+BC86</f>
        <v/>
      </c>
      <c r="BC86" s="68">
        <f>AC86-AE86</f>
        <v/>
      </c>
      <c r="BD86" s="15">
        <f>D86</f>
        <v/>
      </c>
      <c r="BE86" s="99">
        <f>BDP("=A86&amp;" US Equity"","TRAIL_12M_EBITDA")</f>
        <v/>
      </c>
    </row>
    <row r="87">
      <c r="A87" t="inlineStr">
        <is>
          <t>LIN</t>
        </is>
      </c>
      <c r="B87">
        <f>A87&amp;" US Equity"</f>
        <v/>
      </c>
      <c r="C87" s="15" t="inlineStr">
        <is>
          <t>Dec</t>
        </is>
      </c>
      <c r="D87" s="93">
        <f>BDP("=A87&amp;" US Equity"","CUR_MKT_CAP")/1000000000</f>
        <v/>
      </c>
      <c r="E87" s="94">
        <f>BDP("=A87&amp;" US Equity"","PX_LAST")</f>
        <v/>
      </c>
      <c r="F87" s="95">
        <f>IF(BDP("=A87&amp;" US Equity"","BEST_EPS","BEST_FPERIOD_OVERRIDE","26Y")&lt;&gt;0,$E$87/BDP("=A87&amp;" US Equity"","BEST_EPS","BEST_FPERIOD_OVERRIDE","26Y"),"")</f>
        <v/>
      </c>
      <c r="G87" s="95">
        <f>IF(BDP("=A87&amp;" US Equity"","BEST_EPS","BEST_FPERIOD_OVERRIDE","27Y")&lt;&gt;0,$E$87/BDP("=A87&amp;" US Equity"","BEST_EPS","BEST_FPERIOD_OVERRIDE","27Y"),"")</f>
        <v/>
      </c>
      <c r="H87" s="95">
        <f>IF(BDP("=A87&amp;" US Equity"","BEST_EPS","BEST_FPERIOD_OVERRIDE","28Y")&lt;&gt;0,$E$87/BDP("=A87&amp;" US Equity"","BEST_EPS","BEST_FPERIOD_OVERRIDE","28Y"),"")</f>
        <v/>
      </c>
      <c r="I87" s="96">
        <f>BDP("=A87&amp;" US Equity"","NET_DEBT_TO_EBITDA")</f>
        <v/>
      </c>
      <c r="J87" s="93">
        <f>BDP("=A87&amp;" US Equity"","BEST_SALES","BEST_FPERIOD_OVERRIDE","26Y")/1000</f>
        <v/>
      </c>
      <c r="K87" s="97">
        <f>IF(BDP("=A87&amp;" US Equity"","BEST_SALES","BEST_FPERIOD_OVERRIDE","26Y")&lt;&gt;0,BDP("=A87&amp;" US Equity"","BEST_EBIT","BEST_FPERIOD_OVERRIDE","26Y")/BDP("=A87&amp;" US Equity"","BEST_SALES","BEST_FPERIOD_OVERRIDE","26Y"),"")</f>
        <v/>
      </c>
      <c r="L87" s="97">
        <f>BDP("=A87&amp;" US Equity"","RETURN_ON_INV_CAPITAL")/100</f>
        <v/>
      </c>
      <c r="M87" s="97">
        <f>IF(AND(BDP("=A87&amp;" US Equity"","BEST_SALES","BEST_FPERIOD_OVERRIDE","25Y")&gt;0,BDP("=A87&amp;" US Equity"","BEST_SALES","BEST_FPERIOD_OVERRIDE","28Y")&gt;0),(BDP("=A87&amp;" US Equity"","BEST_SALES","BEST_FPERIOD_OVERRIDE","28Y")/BDP("=A87&amp;" US Equity"","BEST_SALES","BEST_FPERIOD_OVERRIDE","25Y"))^(1/3)-1,"")</f>
        <v/>
      </c>
      <c r="N87" s="97">
        <f>IF(AND(BDP("=A87&amp;" US Equity"","BEST_EBIT","BEST_FPERIOD_OVERRIDE","25Y")&gt;0,BDP("=A87&amp;" US Equity"","BEST_EBIT","BEST_FPERIOD_OVERRIDE","28Y")&gt;0),(BDP("=A87&amp;" US Equity"","BEST_EBIT","BEST_FPERIOD_OVERRIDE","28Y")/BDP("=A87&amp;" US Equity"","BEST_EBIT","BEST_FPERIOD_OVERRIDE","25Y"))^(1/3)-1,"")</f>
        <v/>
      </c>
      <c r="O87" s="97">
        <f>IF(AND(BDP("=A87&amp;" US Equity"","BEST_EPS","BEST_FPERIOD_OVERRIDE","25Y")&gt;0,BDP("=A87&amp;" US Equity"","BEST_EPS","BEST_FPERIOD_OVERRIDE","28Y")&gt;0),(BDP("=A87&amp;" US Equity"","BEST_EPS","BEST_FPERIOD_OVERRIDE","28Y")/BDP("=A87&amp;" US Equity"","BEST_EPS","BEST_FPERIOD_OVERRIDE","25Y"))^(1/3)-1,"")</f>
        <v/>
      </c>
      <c r="Q87" s="97">
        <f>BDP("=A87&amp;" US Equity"","CHG_PCT_YTD")/100</f>
        <v/>
      </c>
      <c r="T87" s="68">
        <f>IF(AND(F87&lt;&gt;"",O87&lt;&gt;"",O87&lt;&gt;0),F87/(O87*100),"")</f>
        <v/>
      </c>
      <c r="AB87" s="93">
        <f>BDP("=A87&amp;" US Equity"","TRAIL_12M_OPER_INC")</f>
        <v/>
      </c>
      <c r="AC87" s="93">
        <f>BDP("=A87&amp;" US Equity"","SHORT_AND_LONG_TERM_DEBT")</f>
        <v/>
      </c>
      <c r="AD87" s="93">
        <f>BDP("=A87&amp;" US Equity"","TOTAL_EQUITY")</f>
        <v/>
      </c>
      <c r="AE87" s="93">
        <f>BDP("=A87&amp;" US Equity"","BS_CASH_NEAR_CASH_ITEM")</f>
        <v/>
      </c>
      <c r="AF87" s="99">
        <f>BDP("=A87&amp;" US Equity"","BS_LT_INVEST")</f>
        <v/>
      </c>
      <c r="AG87" s="15">
        <f>AC87+AD87</f>
        <v/>
      </c>
      <c r="AH87" s="100">
        <f>BDP("=A87&amp;" US Equity"","RETURN_ON_INV_CAPITAL")/100</f>
        <v/>
      </c>
      <c r="AJ87" s="93">
        <f>BDP("=A87&amp;" US Equity"","BEST_EPS","BEST_FPERIOD_OVERRIDE","24Y")</f>
        <v/>
      </c>
      <c r="AK87" s="93">
        <f>BDP("=A87&amp;" US Equity"","BEST_EPS","BEST_FPERIOD_OVERRIDE","25Y")</f>
        <v/>
      </c>
      <c r="AL87" s="93">
        <f>BDP("=A87&amp;" US Equity"","BEST_EPS","BEST_FPERIOD_OVERRIDE","26Y")</f>
        <v/>
      </c>
      <c r="AM87" s="93">
        <f>BDP("=A87&amp;" US Equity"","BEST_EPS","BEST_FPERIOD_OVERRIDE","27Y")</f>
        <v/>
      </c>
      <c r="AN87" s="93">
        <f>BDP("=A87&amp;" US Equity"","BEST_EPS","BEST_FPERIOD_OVERRIDE","28Y")</f>
        <v/>
      </c>
      <c r="AP87" s="93">
        <f>BDP("=A87&amp;" US Equity"","BEST_SALES","BEST_FPERIOD_OVERRIDE","24Y")</f>
        <v/>
      </c>
      <c r="AQ87" s="93">
        <f>BDP("=A87&amp;" US Equity"","BEST_SALES","BEST_FPERIOD_OVERRIDE","25Y")</f>
        <v/>
      </c>
      <c r="AR87" s="93">
        <f>BDP("=A87&amp;" US Equity"","BEST_SALES","BEST_FPERIOD_OVERRIDE","26Y")</f>
        <v/>
      </c>
      <c r="AS87" s="93">
        <f>BDP("=A87&amp;" US Equity"","BEST_SALES","BEST_FPERIOD_OVERRIDE","27Y")</f>
        <v/>
      </c>
      <c r="AT87" s="93">
        <f>BDP("=A87&amp;" US Equity"","BEST_SALES","BEST_FPERIOD_OVERRIDE","28Y")</f>
        <v/>
      </c>
      <c r="AV87" s="93">
        <f>BDP("=A87&amp;" US Equity"","BEST_EBIT","BEST_FPERIOD_OVERRIDE","24Y")</f>
        <v/>
      </c>
      <c r="AW87" s="93">
        <f>BDP("=A87&amp;" US Equity"","BEST_EBIT","BEST_FPERIOD_OVERRIDE","25Y")</f>
        <v/>
      </c>
      <c r="AX87" s="93">
        <f>BDP("=A87&amp;" US Equity"","BEST_EBIT","BEST_FPERIOD_OVERRIDE","26Y")</f>
        <v/>
      </c>
      <c r="AY87" s="93">
        <f>BDP("=A87&amp;" US Equity"","BEST_EBIT","BEST_FPERIOD_OVERRIDE","27Y")</f>
        <v/>
      </c>
      <c r="AZ87" s="93">
        <f>BDP("=A87&amp;" US Equity"","BEST_EBIT","BEST_FPERIOD_OVERRIDE","28Y")</f>
        <v/>
      </c>
      <c r="BB87" s="68">
        <f>D87+BC87</f>
        <v/>
      </c>
      <c r="BC87" s="68">
        <f>AC87-AE87</f>
        <v/>
      </c>
      <c r="BD87" s="15">
        <f>D87</f>
        <v/>
      </c>
      <c r="BE87" s="99">
        <f>BDP("=A87&amp;" US Equity"","TRAIL_12M_EBITDA")</f>
        <v/>
      </c>
    </row>
    <row r="88">
      <c r="A88" t="inlineStr">
        <is>
          <t>ISRG</t>
        </is>
      </c>
      <c r="B88">
        <f>A88&amp;" US Equity"</f>
        <v/>
      </c>
      <c r="C88" s="15" t="inlineStr">
        <is>
          <t>Dec</t>
        </is>
      </c>
      <c r="D88" s="93">
        <f>BDP("=A88&amp;" US Equity"","CUR_MKT_CAP")/1000000000</f>
        <v/>
      </c>
      <c r="E88" s="94">
        <f>BDP("=A88&amp;" US Equity"","PX_LAST")</f>
        <v/>
      </c>
      <c r="F88" s="95">
        <f>IF(BDP("=A88&amp;" US Equity"","BEST_EPS","BEST_FPERIOD_OVERRIDE","26Y")&lt;&gt;0,$E$88/BDP("=A88&amp;" US Equity"","BEST_EPS","BEST_FPERIOD_OVERRIDE","26Y"),"")</f>
        <v/>
      </c>
      <c r="G88" s="95">
        <f>IF(BDP("=A88&amp;" US Equity"","BEST_EPS","BEST_FPERIOD_OVERRIDE","27Y")&lt;&gt;0,$E$88/BDP("=A88&amp;" US Equity"","BEST_EPS","BEST_FPERIOD_OVERRIDE","27Y"),"")</f>
        <v/>
      </c>
      <c r="H88" s="95">
        <f>IF(BDP("=A88&amp;" US Equity"","BEST_EPS","BEST_FPERIOD_OVERRIDE","28Y")&lt;&gt;0,$E$88/BDP("=A88&amp;" US Equity"","BEST_EPS","BEST_FPERIOD_OVERRIDE","28Y"),"")</f>
        <v/>
      </c>
      <c r="I88" s="96">
        <f>BDP("=A88&amp;" US Equity"","NET_DEBT_TO_EBITDA")</f>
        <v/>
      </c>
      <c r="J88" s="93">
        <f>BDP("=A88&amp;" US Equity"","BEST_SALES","BEST_FPERIOD_OVERRIDE","26Y")/1000</f>
        <v/>
      </c>
      <c r="K88" s="97">
        <f>IF(BDP("=A88&amp;" US Equity"","BEST_SALES","BEST_FPERIOD_OVERRIDE","26Y")&lt;&gt;0,BDP("=A88&amp;" US Equity"","BEST_EBIT","BEST_FPERIOD_OVERRIDE","26Y")/BDP("=A88&amp;" US Equity"","BEST_SALES","BEST_FPERIOD_OVERRIDE","26Y"),"")</f>
        <v/>
      </c>
      <c r="L88" s="97">
        <f>BDP("=A88&amp;" US Equity"","RETURN_ON_INV_CAPITAL")/100</f>
        <v/>
      </c>
      <c r="M88" s="97">
        <f>IF(AND(BDP("=A88&amp;" US Equity"","BEST_SALES","BEST_FPERIOD_OVERRIDE","25Y")&gt;0,BDP("=A88&amp;" US Equity"","BEST_SALES","BEST_FPERIOD_OVERRIDE","28Y")&gt;0),(BDP("=A88&amp;" US Equity"","BEST_SALES","BEST_FPERIOD_OVERRIDE","28Y")/BDP("=A88&amp;" US Equity"","BEST_SALES","BEST_FPERIOD_OVERRIDE","25Y"))^(1/3)-1,"")</f>
        <v/>
      </c>
      <c r="N88" s="97">
        <f>IF(AND(BDP("=A88&amp;" US Equity"","BEST_EBIT","BEST_FPERIOD_OVERRIDE","25Y")&gt;0,BDP("=A88&amp;" US Equity"","BEST_EBIT","BEST_FPERIOD_OVERRIDE","28Y")&gt;0),(BDP("=A88&amp;" US Equity"","BEST_EBIT","BEST_FPERIOD_OVERRIDE","28Y")/BDP("=A88&amp;" US Equity"","BEST_EBIT","BEST_FPERIOD_OVERRIDE","25Y"))^(1/3)-1,"")</f>
        <v/>
      </c>
      <c r="O88" s="97">
        <f>IF(AND(BDP("=A88&amp;" US Equity"","BEST_EPS","BEST_FPERIOD_OVERRIDE","25Y")&gt;0,BDP("=A88&amp;" US Equity"","BEST_EPS","BEST_FPERIOD_OVERRIDE","28Y")&gt;0),(BDP("=A88&amp;" US Equity"","BEST_EPS","BEST_FPERIOD_OVERRIDE","28Y")/BDP("=A88&amp;" US Equity"","BEST_EPS","BEST_FPERIOD_OVERRIDE","25Y"))^(1/3)-1,"")</f>
        <v/>
      </c>
      <c r="Q88" s="97">
        <f>BDP("=A88&amp;" US Equity"","CHG_PCT_YTD")/100</f>
        <v/>
      </c>
      <c r="T88" s="68">
        <f>IF(AND(F88&lt;&gt;"",O88&lt;&gt;"",O88&lt;&gt;0),F88/(O88*100),"")</f>
        <v/>
      </c>
      <c r="AB88" s="93">
        <f>BDP("=A88&amp;" US Equity"","TRAIL_12M_OPER_INC")</f>
        <v/>
      </c>
      <c r="AC88" s="93">
        <f>BDP("=A88&amp;" US Equity"","SHORT_AND_LONG_TERM_DEBT")</f>
        <v/>
      </c>
      <c r="AD88" s="93">
        <f>BDP("=A88&amp;" US Equity"","TOTAL_EQUITY")</f>
        <v/>
      </c>
      <c r="AE88" s="93">
        <f>BDP("=A88&amp;" US Equity"","BS_CASH_NEAR_CASH_ITEM")</f>
        <v/>
      </c>
      <c r="AF88" s="99">
        <f>BDP("=A88&amp;" US Equity"","BS_LT_INVEST")</f>
        <v/>
      </c>
      <c r="AG88" s="15">
        <f>AC88+AD88</f>
        <v/>
      </c>
      <c r="AH88" s="100">
        <f>BDP("=A88&amp;" US Equity"","RETURN_ON_INV_CAPITAL")/100</f>
        <v/>
      </c>
      <c r="AJ88" s="93">
        <f>BDP("=A88&amp;" US Equity"","BEST_EPS","BEST_FPERIOD_OVERRIDE","24Y")</f>
        <v/>
      </c>
      <c r="AK88" s="93">
        <f>BDP("=A88&amp;" US Equity"","BEST_EPS","BEST_FPERIOD_OVERRIDE","25Y")</f>
        <v/>
      </c>
      <c r="AL88" s="93">
        <f>BDP("=A88&amp;" US Equity"","BEST_EPS","BEST_FPERIOD_OVERRIDE","26Y")</f>
        <v/>
      </c>
      <c r="AM88" s="93">
        <f>BDP("=A88&amp;" US Equity"","BEST_EPS","BEST_FPERIOD_OVERRIDE","27Y")</f>
        <v/>
      </c>
      <c r="AN88" s="93">
        <f>BDP("=A88&amp;" US Equity"","BEST_EPS","BEST_FPERIOD_OVERRIDE","28Y")</f>
        <v/>
      </c>
      <c r="AP88" s="93">
        <f>BDP("=A88&amp;" US Equity"","BEST_SALES","BEST_FPERIOD_OVERRIDE","24Y")</f>
        <v/>
      </c>
      <c r="AQ88" s="93">
        <f>BDP("=A88&amp;" US Equity"","BEST_SALES","BEST_FPERIOD_OVERRIDE","25Y")</f>
        <v/>
      </c>
      <c r="AR88" s="93">
        <f>BDP("=A88&amp;" US Equity"","BEST_SALES","BEST_FPERIOD_OVERRIDE","26Y")</f>
        <v/>
      </c>
      <c r="AS88" s="93">
        <f>BDP("=A88&amp;" US Equity"","BEST_SALES","BEST_FPERIOD_OVERRIDE","27Y")</f>
        <v/>
      </c>
      <c r="AT88" s="93">
        <f>BDP("=A88&amp;" US Equity"","BEST_SALES","BEST_FPERIOD_OVERRIDE","28Y")</f>
        <v/>
      </c>
      <c r="AV88" s="93">
        <f>BDP("=A88&amp;" US Equity"","BEST_EBIT","BEST_FPERIOD_OVERRIDE","24Y")</f>
        <v/>
      </c>
      <c r="AW88" s="93">
        <f>BDP("=A88&amp;" US Equity"","BEST_EBIT","BEST_FPERIOD_OVERRIDE","25Y")</f>
        <v/>
      </c>
      <c r="AX88" s="93">
        <f>BDP("=A88&amp;" US Equity"","BEST_EBIT","BEST_FPERIOD_OVERRIDE","26Y")</f>
        <v/>
      </c>
      <c r="AY88" s="93">
        <f>BDP("=A88&amp;" US Equity"","BEST_EBIT","BEST_FPERIOD_OVERRIDE","27Y")</f>
        <v/>
      </c>
      <c r="AZ88" s="93">
        <f>BDP("=A88&amp;" US Equity"","BEST_EBIT","BEST_FPERIOD_OVERRIDE","28Y")</f>
        <v/>
      </c>
      <c r="BB88" s="68">
        <f>D88+BC88</f>
        <v/>
      </c>
      <c r="BC88" s="68">
        <f>AC88-AE88</f>
        <v/>
      </c>
      <c r="BD88" s="15">
        <f>D88</f>
        <v/>
      </c>
      <c r="BE88" s="99">
        <f>BDP("=A88&amp;" US Equity"","TRAIL_12M_EBITDA")</f>
        <v/>
      </c>
    </row>
    <row r="89">
      <c r="A89" t="inlineStr">
        <is>
          <t>CP</t>
        </is>
      </c>
      <c r="B89">
        <f>A89&amp;" US Equity"</f>
        <v/>
      </c>
      <c r="C89" s="15" t="inlineStr">
        <is>
          <t>Dec</t>
        </is>
      </c>
      <c r="D89" s="93">
        <f>BDP("=A89&amp;" US Equity"","CUR_MKT_CAP")/1000000000</f>
        <v/>
      </c>
      <c r="E89" s="94">
        <f>BDP("=A89&amp;" US Equity"","PX_LAST")</f>
        <v/>
      </c>
      <c r="F89" s="95">
        <f>IF(BDP("=A89&amp;" US Equity"","BEST_EPS","BEST_FPERIOD_OVERRIDE","26Y")&lt;&gt;0,$E$89/BDP("=A89&amp;" US Equity"","BEST_EPS","BEST_FPERIOD_OVERRIDE","26Y"),"")</f>
        <v/>
      </c>
      <c r="G89" s="95">
        <f>IF(BDP("=A89&amp;" US Equity"","BEST_EPS","BEST_FPERIOD_OVERRIDE","27Y")&lt;&gt;0,$E$89/BDP("=A89&amp;" US Equity"","BEST_EPS","BEST_FPERIOD_OVERRIDE","27Y"),"")</f>
        <v/>
      </c>
      <c r="H89" s="95">
        <f>IF(BDP("=A89&amp;" US Equity"","BEST_EPS","BEST_FPERIOD_OVERRIDE","28Y")&lt;&gt;0,$E$89/BDP("=A89&amp;" US Equity"","BEST_EPS","BEST_FPERIOD_OVERRIDE","28Y"),"")</f>
        <v/>
      </c>
      <c r="I89" s="96">
        <f>BDP("=A89&amp;" US Equity"","NET_DEBT_TO_EBITDA")</f>
        <v/>
      </c>
      <c r="J89" s="93">
        <f>BDP("=A89&amp;" US Equity"","BEST_SALES","BEST_FPERIOD_OVERRIDE","26Y")/1000</f>
        <v/>
      </c>
      <c r="K89" s="97">
        <f>IF(BDP("=A89&amp;" US Equity"","BEST_SALES","BEST_FPERIOD_OVERRIDE","26Y")&lt;&gt;0,BDP("=A89&amp;" US Equity"","BEST_EBIT","BEST_FPERIOD_OVERRIDE","26Y")/BDP("=A89&amp;" US Equity"","BEST_SALES","BEST_FPERIOD_OVERRIDE","26Y"),"")</f>
        <v/>
      </c>
      <c r="L89" s="97">
        <f>BDP("=A89&amp;" US Equity"","RETURN_ON_INV_CAPITAL")/100</f>
        <v/>
      </c>
      <c r="M89" s="97">
        <f>IF(AND(BDP("=A89&amp;" US Equity"","BEST_SALES","BEST_FPERIOD_OVERRIDE","25Y")&gt;0,BDP("=A89&amp;" US Equity"","BEST_SALES","BEST_FPERIOD_OVERRIDE","28Y")&gt;0),(BDP("=A89&amp;" US Equity"","BEST_SALES","BEST_FPERIOD_OVERRIDE","28Y")/BDP("=A89&amp;" US Equity"","BEST_SALES","BEST_FPERIOD_OVERRIDE","25Y"))^(1/3)-1,"")</f>
        <v/>
      </c>
      <c r="N89" s="97">
        <f>IF(AND(BDP("=A89&amp;" US Equity"","BEST_EBIT","BEST_FPERIOD_OVERRIDE","25Y")&gt;0,BDP("=A89&amp;" US Equity"","BEST_EBIT","BEST_FPERIOD_OVERRIDE","28Y")&gt;0),(BDP("=A89&amp;" US Equity"","BEST_EBIT","BEST_FPERIOD_OVERRIDE","28Y")/BDP("=A89&amp;" US Equity"","BEST_EBIT","BEST_FPERIOD_OVERRIDE","25Y"))^(1/3)-1,"")</f>
        <v/>
      </c>
      <c r="O89" s="97">
        <f>IF(AND(BDP("=A89&amp;" US Equity"","BEST_EPS","BEST_FPERIOD_OVERRIDE","25Y")&gt;0,BDP("=A89&amp;" US Equity"","BEST_EPS","BEST_FPERIOD_OVERRIDE","28Y")&gt;0),(BDP("=A89&amp;" US Equity"","BEST_EPS","BEST_FPERIOD_OVERRIDE","28Y")/BDP("=A89&amp;" US Equity"","BEST_EPS","BEST_FPERIOD_OVERRIDE","25Y"))^(1/3)-1,"")</f>
        <v/>
      </c>
      <c r="Q89" s="97">
        <f>BDP("=A89&amp;" US Equity"","CHG_PCT_YTD")/100</f>
        <v/>
      </c>
      <c r="T89" s="68">
        <f>IF(AND(F89&lt;&gt;"",O89&lt;&gt;"",O89&lt;&gt;0),F89/(O89*100),"")</f>
        <v/>
      </c>
      <c r="AB89" s="93">
        <f>BDP("=A89&amp;" US Equity"","TRAIL_12M_OPER_INC")</f>
        <v/>
      </c>
      <c r="AC89" s="93">
        <f>BDP("=A89&amp;" US Equity"","SHORT_AND_LONG_TERM_DEBT")</f>
        <v/>
      </c>
      <c r="AD89" s="93">
        <f>BDP("=A89&amp;" US Equity"","TOTAL_EQUITY")</f>
        <v/>
      </c>
      <c r="AE89" s="93">
        <f>BDP("=A89&amp;" US Equity"","BS_CASH_NEAR_CASH_ITEM")</f>
        <v/>
      </c>
      <c r="AF89" s="99">
        <f>BDP("=A89&amp;" US Equity"","BS_LT_INVEST")</f>
        <v/>
      </c>
      <c r="AG89" s="15">
        <f>AC89+AD89</f>
        <v/>
      </c>
      <c r="AH89" s="100">
        <f>BDP("=A89&amp;" US Equity"","RETURN_ON_INV_CAPITAL")/100</f>
        <v/>
      </c>
      <c r="AJ89" s="93">
        <f>BDP("=A89&amp;" US Equity"","BEST_EPS","BEST_FPERIOD_OVERRIDE","24Y")</f>
        <v/>
      </c>
      <c r="AK89" s="93">
        <f>BDP("=A89&amp;" US Equity"","BEST_EPS","BEST_FPERIOD_OVERRIDE","25Y")</f>
        <v/>
      </c>
      <c r="AL89" s="93">
        <f>BDP("=A89&amp;" US Equity"","BEST_EPS","BEST_FPERIOD_OVERRIDE","26Y")</f>
        <v/>
      </c>
      <c r="AM89" s="93">
        <f>BDP("=A89&amp;" US Equity"","BEST_EPS","BEST_FPERIOD_OVERRIDE","27Y")</f>
        <v/>
      </c>
      <c r="AN89" s="93">
        <f>BDP("=A89&amp;" US Equity"","BEST_EPS","BEST_FPERIOD_OVERRIDE","28Y")</f>
        <v/>
      </c>
      <c r="AP89" s="93">
        <f>BDP("=A89&amp;" US Equity"","BEST_SALES","BEST_FPERIOD_OVERRIDE","24Y")</f>
        <v/>
      </c>
      <c r="AQ89" s="93">
        <f>BDP("=A89&amp;" US Equity"","BEST_SALES","BEST_FPERIOD_OVERRIDE","25Y")</f>
        <v/>
      </c>
      <c r="AR89" s="93">
        <f>BDP("=A89&amp;" US Equity"","BEST_SALES","BEST_FPERIOD_OVERRIDE","26Y")</f>
        <v/>
      </c>
      <c r="AS89" s="93">
        <f>BDP("=A89&amp;" US Equity"","BEST_SALES","BEST_FPERIOD_OVERRIDE","27Y")</f>
        <v/>
      </c>
      <c r="AT89" s="93">
        <f>BDP("=A89&amp;" US Equity"","BEST_SALES","BEST_FPERIOD_OVERRIDE","28Y")</f>
        <v/>
      </c>
      <c r="AV89" s="93">
        <f>BDP("=A89&amp;" US Equity"","BEST_EBIT","BEST_FPERIOD_OVERRIDE","24Y")</f>
        <v/>
      </c>
      <c r="AW89" s="93">
        <f>BDP("=A89&amp;" US Equity"","BEST_EBIT","BEST_FPERIOD_OVERRIDE","25Y")</f>
        <v/>
      </c>
      <c r="AX89" s="93">
        <f>BDP("=A89&amp;" US Equity"","BEST_EBIT","BEST_FPERIOD_OVERRIDE","26Y")</f>
        <v/>
      </c>
      <c r="AY89" s="93">
        <f>BDP("=A89&amp;" US Equity"","BEST_EBIT","BEST_FPERIOD_OVERRIDE","27Y")</f>
        <v/>
      </c>
      <c r="AZ89" s="93">
        <f>BDP("=A89&amp;" US Equity"","BEST_EBIT","BEST_FPERIOD_OVERRIDE","28Y")</f>
        <v/>
      </c>
      <c r="BB89" s="68">
        <f>D89+BC89</f>
        <v/>
      </c>
      <c r="BC89" s="68">
        <f>AC89-AE89</f>
        <v/>
      </c>
      <c r="BD89" s="15">
        <f>D89</f>
        <v/>
      </c>
      <c r="BE89" s="99">
        <f>BDP("=A89&amp;" US Equity"","TRAIL_12M_EBITDA")</f>
        <v/>
      </c>
    </row>
    <row r="90">
      <c r="C90" s="15" t="n"/>
      <c r="D90" s="15" t="n"/>
      <c r="E90" s="69" t="n"/>
      <c r="F90" s="70" t="n"/>
      <c r="G90" s="70" t="n"/>
      <c r="H90" s="70" t="n"/>
      <c r="I90" s="71" t="n"/>
      <c r="J90" s="15" t="n"/>
      <c r="K90" s="72" t="n"/>
      <c r="L90" s="72" t="n"/>
      <c r="M90" s="72" t="n"/>
      <c r="N90" s="72" t="n"/>
      <c r="O90" s="72" t="n"/>
      <c r="T90" s="68" t="n"/>
      <c r="AB90" s="15" t="n"/>
      <c r="AC90" s="15" t="n"/>
      <c r="AD90" s="15" t="n"/>
      <c r="AE90" s="15" t="n"/>
      <c r="AF90" s="16" t="n"/>
      <c r="AG90" s="15" t="n"/>
      <c r="AH90" s="67" t="n"/>
      <c r="AJ90" s="15" t="n"/>
      <c r="AK90" s="15" t="n"/>
      <c r="AL90" s="15" t="n"/>
      <c r="AM90" s="15" t="n"/>
      <c r="AN90" s="15" t="n"/>
      <c r="AP90" s="15" t="n"/>
      <c r="AQ90" s="15" t="n"/>
      <c r="AR90" s="15" t="n"/>
      <c r="AS90" s="15" t="n"/>
      <c r="AT90" s="15" t="n"/>
      <c r="AV90" s="15" t="n"/>
      <c r="AW90" s="15" t="n"/>
      <c r="AX90" s="15" t="n"/>
      <c r="AY90" s="15" t="n"/>
      <c r="AZ90" s="15" t="n"/>
      <c r="BB90" s="68" t="n"/>
      <c r="BC90" s="68" t="n"/>
      <c r="BD90" s="15" t="n"/>
      <c r="BE90" s="16" t="n"/>
    </row>
    <row r="91">
      <c r="A91" s="36" t="inlineStr">
        <is>
          <t>Technology</t>
        </is>
      </c>
      <c r="C91" s="15" t="n"/>
      <c r="D91" s="15" t="n"/>
      <c r="E91" s="69" t="n"/>
      <c r="F91" s="70" t="n"/>
      <c r="G91" s="70" t="n"/>
      <c r="H91" s="70" t="n"/>
      <c r="I91" s="71" t="n"/>
      <c r="J91" s="15" t="n"/>
      <c r="K91" s="72" t="n"/>
      <c r="L91" s="72" t="n"/>
      <c r="M91" s="72" t="n"/>
      <c r="N91" s="72" t="n"/>
      <c r="O91" s="72" t="n"/>
      <c r="T91" s="68" t="n"/>
      <c r="AB91" s="15" t="n"/>
      <c r="AC91" s="15" t="n"/>
      <c r="AD91" s="15" t="n"/>
      <c r="AE91" s="15" t="n"/>
      <c r="AF91" s="16" t="n"/>
      <c r="AG91" s="15" t="n"/>
      <c r="AH91" s="67" t="n"/>
      <c r="AJ91" s="15" t="n"/>
      <c r="AK91" s="15" t="n"/>
      <c r="AL91" s="15" t="n"/>
      <c r="AM91" s="15" t="n"/>
      <c r="AN91" s="15" t="n"/>
      <c r="AP91" s="15" t="n"/>
      <c r="AQ91" s="15" t="n"/>
      <c r="AR91" s="15" t="n"/>
      <c r="AS91" s="15" t="n"/>
      <c r="AT91" s="15" t="n"/>
      <c r="AV91" s="15" t="n"/>
      <c r="AW91" s="15" t="n"/>
      <c r="AX91" s="15" t="n"/>
      <c r="AY91" s="15" t="n"/>
      <c r="AZ91" s="15" t="n"/>
      <c r="BB91" s="68" t="n"/>
      <c r="BC91" s="68" t="n"/>
      <c r="BD91" s="15" t="n"/>
      <c r="BE91" s="16" t="n"/>
    </row>
    <row r="92">
      <c r="A92" t="inlineStr">
        <is>
          <t>AAPL</t>
        </is>
      </c>
      <c r="B92">
        <f>A92&amp;" US Equity"</f>
        <v/>
      </c>
      <c r="C92" s="15" t="inlineStr">
        <is>
          <t>Dec</t>
        </is>
      </c>
      <c r="D92" s="93">
        <f>BDP("=A92&amp;" US Equity"","CUR_MKT_CAP")/1000000000</f>
        <v/>
      </c>
      <c r="E92" s="94">
        <f>BDP("=A92&amp;" US Equity"","PX_LAST")</f>
        <v/>
      </c>
      <c r="F92" s="95">
        <f>IF(BDP("=A92&amp;" US Equity"","BEST_EPS","BEST_FPERIOD_OVERRIDE","26Y")&lt;&gt;0,$E$92/BDP("=A92&amp;" US Equity"","BEST_EPS","BEST_FPERIOD_OVERRIDE","26Y"),"")</f>
        <v/>
      </c>
      <c r="G92" s="95">
        <f>IF(BDP("=A92&amp;" US Equity"","BEST_EPS","BEST_FPERIOD_OVERRIDE","27Y")&lt;&gt;0,$E$92/BDP("=A92&amp;" US Equity"","BEST_EPS","BEST_FPERIOD_OVERRIDE","27Y"),"")</f>
        <v/>
      </c>
      <c r="H92" s="95">
        <f>IF(BDP("=A92&amp;" US Equity"","BEST_EPS","BEST_FPERIOD_OVERRIDE","28Y")&lt;&gt;0,$E$92/BDP("=A92&amp;" US Equity"","BEST_EPS","BEST_FPERIOD_OVERRIDE","28Y"),"")</f>
        <v/>
      </c>
      <c r="I92" s="96">
        <f>BDP("=A92&amp;" US Equity"","NET_DEBT_TO_EBITDA")</f>
        <v/>
      </c>
      <c r="J92" s="93">
        <f>BDP("=A92&amp;" US Equity"","BEST_SALES","BEST_FPERIOD_OVERRIDE","26Y")/1000</f>
        <v/>
      </c>
      <c r="K92" s="97">
        <f>IF(BDP("=A92&amp;" US Equity"","BEST_SALES","BEST_FPERIOD_OVERRIDE","26Y")&lt;&gt;0,BDP("=A92&amp;" US Equity"","BEST_EBIT","BEST_FPERIOD_OVERRIDE","26Y")/BDP("=A92&amp;" US Equity"","BEST_SALES","BEST_FPERIOD_OVERRIDE","26Y"),"")</f>
        <v/>
      </c>
      <c r="L92" s="97">
        <f>BDP("=A92&amp;" US Equity"","RETURN_ON_INV_CAPITAL")/100</f>
        <v/>
      </c>
      <c r="M92" s="97">
        <f>IF(AND(BDP("=A92&amp;" US Equity"","BEST_SALES","BEST_FPERIOD_OVERRIDE","25Y")&gt;0,BDP("=A92&amp;" US Equity"","BEST_SALES","BEST_FPERIOD_OVERRIDE","28Y")&gt;0),(BDP("=A92&amp;" US Equity"","BEST_SALES","BEST_FPERIOD_OVERRIDE","28Y")/BDP("=A92&amp;" US Equity"","BEST_SALES","BEST_FPERIOD_OVERRIDE","25Y"))^(1/3)-1,"")</f>
        <v/>
      </c>
      <c r="N92" s="97">
        <f>IF(AND(BDP("=A92&amp;" US Equity"","BEST_EBIT","BEST_FPERIOD_OVERRIDE","25Y")&gt;0,BDP("=A92&amp;" US Equity"","BEST_EBIT","BEST_FPERIOD_OVERRIDE","28Y")&gt;0),(BDP("=A92&amp;" US Equity"","BEST_EBIT","BEST_FPERIOD_OVERRIDE","28Y")/BDP("=A92&amp;" US Equity"","BEST_EBIT","BEST_FPERIOD_OVERRIDE","25Y"))^(1/3)-1,"")</f>
        <v/>
      </c>
      <c r="O92" s="97">
        <f>IF(AND(BDP("=A92&amp;" US Equity"","BEST_EPS","BEST_FPERIOD_OVERRIDE","25Y")&gt;0,BDP("=A92&amp;" US Equity"","BEST_EPS","BEST_FPERIOD_OVERRIDE","28Y")&gt;0),(BDP("=A92&amp;" US Equity"","BEST_EPS","BEST_FPERIOD_OVERRIDE","28Y")/BDP("=A92&amp;" US Equity"","BEST_EPS","BEST_FPERIOD_OVERRIDE","25Y"))^(1/3)-1,"")</f>
        <v/>
      </c>
      <c r="Q92" s="97">
        <f>BDP("=A92&amp;" US Equity"","CHG_PCT_YTD")/100</f>
        <v/>
      </c>
      <c r="T92" s="68">
        <f>IF(AND(F92&lt;&gt;"",O92&lt;&gt;"",O92&lt;&gt;0),F92/(O92*100),"")</f>
        <v/>
      </c>
      <c r="AB92" s="93">
        <f>BDP("=A92&amp;" US Equity"","TRAIL_12M_OPER_INC")</f>
        <v/>
      </c>
      <c r="AC92" s="93">
        <f>BDP("=A92&amp;" US Equity"","SHORT_AND_LONG_TERM_DEBT")</f>
        <v/>
      </c>
      <c r="AD92" s="93">
        <f>BDP("=A92&amp;" US Equity"","TOTAL_EQUITY")</f>
        <v/>
      </c>
      <c r="AE92" s="93">
        <f>BDP("=A92&amp;" US Equity"","BS_CASH_NEAR_CASH_ITEM")</f>
        <v/>
      </c>
      <c r="AF92" s="99">
        <f>BDP("=A92&amp;" US Equity"","BS_LT_INVEST")</f>
        <v/>
      </c>
      <c r="AG92" s="15">
        <f>AC92+AD92</f>
        <v/>
      </c>
      <c r="AH92" s="100">
        <f>BDP("=A92&amp;" US Equity"","RETURN_ON_INV_CAPITAL")/100</f>
        <v/>
      </c>
      <c r="AJ92" s="93">
        <f>BDP("=A92&amp;" US Equity"","BEST_EPS","BEST_FPERIOD_OVERRIDE","24Y")</f>
        <v/>
      </c>
      <c r="AK92" s="93">
        <f>BDP("=A92&amp;" US Equity"","BEST_EPS","BEST_FPERIOD_OVERRIDE","25Y")</f>
        <v/>
      </c>
      <c r="AL92" s="93">
        <f>BDP("=A92&amp;" US Equity"","BEST_EPS","BEST_FPERIOD_OVERRIDE","26Y")</f>
        <v/>
      </c>
      <c r="AM92" s="93">
        <f>BDP("=A92&amp;" US Equity"","BEST_EPS","BEST_FPERIOD_OVERRIDE","27Y")</f>
        <v/>
      </c>
      <c r="AN92" s="93">
        <f>BDP("=A92&amp;" US Equity"","BEST_EPS","BEST_FPERIOD_OVERRIDE","28Y")</f>
        <v/>
      </c>
      <c r="AP92" s="93">
        <f>BDP("=A92&amp;" US Equity"","BEST_SALES","BEST_FPERIOD_OVERRIDE","24Y")</f>
        <v/>
      </c>
      <c r="AQ92" s="93">
        <f>BDP("=A92&amp;" US Equity"","BEST_SALES","BEST_FPERIOD_OVERRIDE","25Y")</f>
        <v/>
      </c>
      <c r="AR92" s="93">
        <f>BDP("=A92&amp;" US Equity"","BEST_SALES","BEST_FPERIOD_OVERRIDE","26Y")</f>
        <v/>
      </c>
      <c r="AS92" s="93">
        <f>BDP("=A92&amp;" US Equity"","BEST_SALES","BEST_FPERIOD_OVERRIDE","27Y")</f>
        <v/>
      </c>
      <c r="AT92" s="93">
        <f>BDP("=A92&amp;" US Equity"","BEST_SALES","BEST_FPERIOD_OVERRIDE","28Y")</f>
        <v/>
      </c>
      <c r="AV92" s="93">
        <f>BDP("=A92&amp;" US Equity"","BEST_EBIT","BEST_FPERIOD_OVERRIDE","24Y")</f>
        <v/>
      </c>
      <c r="AW92" s="93">
        <f>BDP("=A92&amp;" US Equity"","BEST_EBIT","BEST_FPERIOD_OVERRIDE","25Y")</f>
        <v/>
      </c>
      <c r="AX92" s="93">
        <f>BDP("=A92&amp;" US Equity"","BEST_EBIT","BEST_FPERIOD_OVERRIDE","26Y")</f>
        <v/>
      </c>
      <c r="AY92" s="93">
        <f>BDP("=A92&amp;" US Equity"","BEST_EBIT","BEST_FPERIOD_OVERRIDE","27Y")</f>
        <v/>
      </c>
      <c r="AZ92" s="93">
        <f>BDP("=A92&amp;" US Equity"","BEST_EBIT","BEST_FPERIOD_OVERRIDE","28Y")</f>
        <v/>
      </c>
      <c r="BB92" s="68">
        <f>D92+BC92</f>
        <v/>
      </c>
      <c r="BC92" s="68">
        <f>AC92-AE92</f>
        <v/>
      </c>
      <c r="BD92" s="15">
        <f>D92</f>
        <v/>
      </c>
      <c r="BE92" s="99">
        <f>BDP("=A92&amp;" US Equity"","TRAIL_12M_EBITDA")</f>
        <v/>
      </c>
    </row>
    <row r="93">
      <c r="A93" t="inlineStr">
        <is>
          <t>NFLX</t>
        </is>
      </c>
      <c r="B93">
        <f>A93&amp;" US Equity"</f>
        <v/>
      </c>
      <c r="C93" s="15" t="inlineStr">
        <is>
          <t>Dec</t>
        </is>
      </c>
      <c r="D93" s="93">
        <f>BDP("=A93&amp;" US Equity"","CUR_MKT_CAP")/1000000000</f>
        <v/>
      </c>
      <c r="E93" s="94">
        <f>BDP("=A93&amp;" US Equity"","PX_LAST")</f>
        <v/>
      </c>
      <c r="F93" s="95">
        <f>IF(BDP("=A93&amp;" US Equity"","BEST_EPS","BEST_FPERIOD_OVERRIDE","26Y")&lt;&gt;0,$E$93/BDP("=A93&amp;" US Equity"","BEST_EPS","BEST_FPERIOD_OVERRIDE","26Y"),"")</f>
        <v/>
      </c>
      <c r="G93" s="95">
        <f>IF(BDP("=A93&amp;" US Equity"","BEST_EPS","BEST_FPERIOD_OVERRIDE","27Y")&lt;&gt;0,$E$93/BDP("=A93&amp;" US Equity"","BEST_EPS","BEST_FPERIOD_OVERRIDE","27Y"),"")</f>
        <v/>
      </c>
      <c r="H93" s="95">
        <f>IF(BDP("=A93&amp;" US Equity"","BEST_EPS","BEST_FPERIOD_OVERRIDE","28Y")&lt;&gt;0,$E$93/BDP("=A93&amp;" US Equity"","BEST_EPS","BEST_FPERIOD_OVERRIDE","28Y"),"")</f>
        <v/>
      </c>
      <c r="I93" s="96">
        <f>BDP("=A93&amp;" US Equity"","NET_DEBT_TO_EBITDA")</f>
        <v/>
      </c>
      <c r="J93" s="93">
        <f>BDP("=A93&amp;" US Equity"","BEST_SALES","BEST_FPERIOD_OVERRIDE","26Y")/1000</f>
        <v/>
      </c>
      <c r="K93" s="97">
        <f>IF(BDP("=A93&amp;" US Equity"","BEST_SALES","BEST_FPERIOD_OVERRIDE","26Y")&lt;&gt;0,BDP("=A93&amp;" US Equity"","BEST_EBIT","BEST_FPERIOD_OVERRIDE","26Y")/BDP("=A93&amp;" US Equity"","BEST_SALES","BEST_FPERIOD_OVERRIDE","26Y"),"")</f>
        <v/>
      </c>
      <c r="L93" s="97">
        <f>BDP("=A93&amp;" US Equity"","RETURN_ON_INV_CAPITAL")/100</f>
        <v/>
      </c>
      <c r="M93" s="97">
        <f>IF(AND(BDP("=A93&amp;" US Equity"","BEST_SALES","BEST_FPERIOD_OVERRIDE","25Y")&gt;0,BDP("=A93&amp;" US Equity"","BEST_SALES","BEST_FPERIOD_OVERRIDE","28Y")&gt;0),(BDP("=A93&amp;" US Equity"","BEST_SALES","BEST_FPERIOD_OVERRIDE","28Y")/BDP("=A93&amp;" US Equity"","BEST_SALES","BEST_FPERIOD_OVERRIDE","25Y"))^(1/3)-1,"")</f>
        <v/>
      </c>
      <c r="N93" s="97">
        <f>IF(AND(BDP("=A93&amp;" US Equity"","BEST_EBIT","BEST_FPERIOD_OVERRIDE","25Y")&gt;0,BDP("=A93&amp;" US Equity"","BEST_EBIT","BEST_FPERIOD_OVERRIDE","28Y")&gt;0),(BDP("=A93&amp;" US Equity"","BEST_EBIT","BEST_FPERIOD_OVERRIDE","28Y")/BDP("=A93&amp;" US Equity"","BEST_EBIT","BEST_FPERIOD_OVERRIDE","25Y"))^(1/3)-1,"")</f>
        <v/>
      </c>
      <c r="O93" s="97">
        <f>IF(AND(BDP("=A93&amp;" US Equity"","BEST_EPS","BEST_FPERIOD_OVERRIDE","25Y")&gt;0,BDP("=A93&amp;" US Equity"","BEST_EPS","BEST_FPERIOD_OVERRIDE","28Y")&gt;0),(BDP("=A93&amp;" US Equity"","BEST_EPS","BEST_FPERIOD_OVERRIDE","28Y")/BDP("=A93&amp;" US Equity"","BEST_EPS","BEST_FPERIOD_OVERRIDE","25Y"))^(1/3)-1,"")</f>
        <v/>
      </c>
      <c r="Q93" s="97">
        <f>BDP("=A93&amp;" US Equity"","CHG_PCT_YTD")/100</f>
        <v/>
      </c>
      <c r="T93" s="68">
        <f>IF(AND(F93&lt;&gt;"",O93&lt;&gt;"",O93&lt;&gt;0),F93/(O93*100),"")</f>
        <v/>
      </c>
      <c r="AB93" s="93">
        <f>BDP("=A93&amp;" US Equity"","TRAIL_12M_OPER_INC")</f>
        <v/>
      </c>
      <c r="AC93" s="93">
        <f>BDP("=A93&amp;" US Equity"","SHORT_AND_LONG_TERM_DEBT")</f>
        <v/>
      </c>
      <c r="AD93" s="93">
        <f>BDP("=A93&amp;" US Equity"","TOTAL_EQUITY")</f>
        <v/>
      </c>
      <c r="AE93" s="93">
        <f>BDP("=A93&amp;" US Equity"","BS_CASH_NEAR_CASH_ITEM")</f>
        <v/>
      </c>
      <c r="AF93" s="99">
        <f>BDP("=A93&amp;" US Equity"","BS_LT_INVEST")</f>
        <v/>
      </c>
      <c r="AG93" s="15">
        <f>AC93+AD93</f>
        <v/>
      </c>
      <c r="AH93" s="100">
        <f>BDP("=A93&amp;" US Equity"","RETURN_ON_INV_CAPITAL")/100</f>
        <v/>
      </c>
      <c r="AJ93" s="93">
        <f>BDP("=A93&amp;" US Equity"","BEST_EPS","BEST_FPERIOD_OVERRIDE","24Y")</f>
        <v/>
      </c>
      <c r="AK93" s="93">
        <f>BDP("=A93&amp;" US Equity"","BEST_EPS","BEST_FPERIOD_OVERRIDE","25Y")</f>
        <v/>
      </c>
      <c r="AL93" s="93">
        <f>BDP("=A93&amp;" US Equity"","BEST_EPS","BEST_FPERIOD_OVERRIDE","26Y")</f>
        <v/>
      </c>
      <c r="AM93" s="93">
        <f>BDP("=A93&amp;" US Equity"","BEST_EPS","BEST_FPERIOD_OVERRIDE","27Y")</f>
        <v/>
      </c>
      <c r="AN93" s="93">
        <f>BDP("=A93&amp;" US Equity"","BEST_EPS","BEST_FPERIOD_OVERRIDE","28Y")</f>
        <v/>
      </c>
      <c r="AP93" s="93">
        <f>BDP("=A93&amp;" US Equity"","BEST_SALES","BEST_FPERIOD_OVERRIDE","24Y")</f>
        <v/>
      </c>
      <c r="AQ93" s="93">
        <f>BDP("=A93&amp;" US Equity"","BEST_SALES","BEST_FPERIOD_OVERRIDE","25Y")</f>
        <v/>
      </c>
      <c r="AR93" s="93">
        <f>BDP("=A93&amp;" US Equity"","BEST_SALES","BEST_FPERIOD_OVERRIDE","26Y")</f>
        <v/>
      </c>
      <c r="AS93" s="93">
        <f>BDP("=A93&amp;" US Equity"","BEST_SALES","BEST_FPERIOD_OVERRIDE","27Y")</f>
        <v/>
      </c>
      <c r="AT93" s="93">
        <f>BDP("=A93&amp;" US Equity"","BEST_SALES","BEST_FPERIOD_OVERRIDE","28Y")</f>
        <v/>
      </c>
      <c r="AV93" s="93">
        <f>BDP("=A93&amp;" US Equity"","BEST_EBIT","BEST_FPERIOD_OVERRIDE","24Y")</f>
        <v/>
      </c>
      <c r="AW93" s="93">
        <f>BDP("=A93&amp;" US Equity"","BEST_EBIT","BEST_FPERIOD_OVERRIDE","25Y")</f>
        <v/>
      </c>
      <c r="AX93" s="93">
        <f>BDP("=A93&amp;" US Equity"","BEST_EBIT","BEST_FPERIOD_OVERRIDE","26Y")</f>
        <v/>
      </c>
      <c r="AY93" s="93">
        <f>BDP("=A93&amp;" US Equity"","BEST_EBIT","BEST_FPERIOD_OVERRIDE","27Y")</f>
        <v/>
      </c>
      <c r="AZ93" s="93">
        <f>BDP("=A93&amp;" US Equity"","BEST_EBIT","BEST_FPERIOD_OVERRIDE","28Y")</f>
        <v/>
      </c>
      <c r="BB93" s="68">
        <f>D93+BC93</f>
        <v/>
      </c>
      <c r="BC93" s="68">
        <f>AC93-AE93</f>
        <v/>
      </c>
      <c r="BD93" s="15">
        <f>D93</f>
        <v/>
      </c>
      <c r="BE93" s="99">
        <f>BDP("=A93&amp;" US Equity"","TRAIL_12M_EBITDA")</f>
        <v/>
      </c>
    </row>
    <row r="94">
      <c r="A94" t="inlineStr">
        <is>
          <t>INTU</t>
        </is>
      </c>
      <c r="B94">
        <f>A94&amp;" US Equity"</f>
        <v/>
      </c>
      <c r="C94" s="15" t="inlineStr">
        <is>
          <t>Dec</t>
        </is>
      </c>
      <c r="D94" s="93">
        <f>BDP("=A94&amp;" US Equity"","CUR_MKT_CAP")/1000000000</f>
        <v/>
      </c>
      <c r="E94" s="94">
        <f>BDP("=A94&amp;" US Equity"","PX_LAST")</f>
        <v/>
      </c>
      <c r="F94" s="95">
        <f>IF(BDP("=A94&amp;" US Equity"","BEST_EPS","BEST_FPERIOD_OVERRIDE","26Y")&lt;&gt;0,$E$94/BDP("=A94&amp;" US Equity"","BEST_EPS","BEST_FPERIOD_OVERRIDE","26Y"),"")</f>
        <v/>
      </c>
      <c r="G94" s="95">
        <f>IF(BDP("=A94&amp;" US Equity"","BEST_EPS","BEST_FPERIOD_OVERRIDE","27Y")&lt;&gt;0,$E$94/BDP("=A94&amp;" US Equity"","BEST_EPS","BEST_FPERIOD_OVERRIDE","27Y"),"")</f>
        <v/>
      </c>
      <c r="H94" s="95">
        <f>IF(BDP("=A94&amp;" US Equity"","BEST_EPS","BEST_FPERIOD_OVERRIDE","28Y")&lt;&gt;0,$E$94/BDP("=A94&amp;" US Equity"","BEST_EPS","BEST_FPERIOD_OVERRIDE","28Y"),"")</f>
        <v/>
      </c>
      <c r="I94" s="96">
        <f>BDP("=A94&amp;" US Equity"","NET_DEBT_TO_EBITDA")</f>
        <v/>
      </c>
      <c r="J94" s="93">
        <f>BDP("=A94&amp;" US Equity"","BEST_SALES","BEST_FPERIOD_OVERRIDE","26Y")/1000</f>
        <v/>
      </c>
      <c r="K94" s="97">
        <f>IF(BDP("=A94&amp;" US Equity"","BEST_SALES","BEST_FPERIOD_OVERRIDE","26Y")&lt;&gt;0,BDP("=A94&amp;" US Equity"","BEST_EBIT","BEST_FPERIOD_OVERRIDE","26Y")/BDP("=A94&amp;" US Equity"","BEST_SALES","BEST_FPERIOD_OVERRIDE","26Y"),"")</f>
        <v/>
      </c>
      <c r="L94" s="97">
        <f>BDP("=A94&amp;" US Equity"","RETURN_ON_INV_CAPITAL")/100</f>
        <v/>
      </c>
      <c r="M94" s="97">
        <f>IF(AND(BDP("=A94&amp;" US Equity"","BEST_SALES","BEST_FPERIOD_OVERRIDE","25Y")&gt;0,BDP("=A94&amp;" US Equity"","BEST_SALES","BEST_FPERIOD_OVERRIDE","28Y")&gt;0),(BDP("=A94&amp;" US Equity"","BEST_SALES","BEST_FPERIOD_OVERRIDE","28Y")/BDP("=A94&amp;" US Equity"","BEST_SALES","BEST_FPERIOD_OVERRIDE","25Y"))^(1/3)-1,"")</f>
        <v/>
      </c>
      <c r="N94" s="97">
        <f>IF(AND(BDP("=A94&amp;" US Equity"","BEST_EBIT","BEST_FPERIOD_OVERRIDE","25Y")&gt;0,BDP("=A94&amp;" US Equity"","BEST_EBIT","BEST_FPERIOD_OVERRIDE","28Y")&gt;0),(BDP("=A94&amp;" US Equity"","BEST_EBIT","BEST_FPERIOD_OVERRIDE","28Y")/BDP("=A94&amp;" US Equity"","BEST_EBIT","BEST_FPERIOD_OVERRIDE","25Y"))^(1/3)-1,"")</f>
        <v/>
      </c>
      <c r="O94" s="97">
        <f>IF(AND(BDP("=A94&amp;" US Equity"","BEST_EPS","BEST_FPERIOD_OVERRIDE","25Y")&gt;0,BDP("=A94&amp;" US Equity"","BEST_EPS","BEST_FPERIOD_OVERRIDE","28Y")&gt;0),(BDP("=A94&amp;" US Equity"","BEST_EPS","BEST_FPERIOD_OVERRIDE","28Y")/BDP("=A94&amp;" US Equity"","BEST_EPS","BEST_FPERIOD_OVERRIDE","25Y"))^(1/3)-1,"")</f>
        <v/>
      </c>
      <c r="Q94" s="97">
        <f>BDP("=A94&amp;" US Equity"","CHG_PCT_YTD")/100</f>
        <v/>
      </c>
      <c r="T94" s="68">
        <f>IF(AND(F94&lt;&gt;"",O94&lt;&gt;"",O94&lt;&gt;0),F94/(O94*100),"")</f>
        <v/>
      </c>
      <c r="AB94" s="93">
        <f>BDP("=A94&amp;" US Equity"","TRAIL_12M_OPER_INC")</f>
        <v/>
      </c>
      <c r="AC94" s="93">
        <f>BDP("=A94&amp;" US Equity"","SHORT_AND_LONG_TERM_DEBT")</f>
        <v/>
      </c>
      <c r="AD94" s="93">
        <f>BDP("=A94&amp;" US Equity"","TOTAL_EQUITY")</f>
        <v/>
      </c>
      <c r="AE94" s="93">
        <f>BDP("=A94&amp;" US Equity"","BS_CASH_NEAR_CASH_ITEM")</f>
        <v/>
      </c>
      <c r="AF94" s="99">
        <f>BDP("=A94&amp;" US Equity"","BS_LT_INVEST")</f>
        <v/>
      </c>
      <c r="AG94" s="15">
        <f>AC94+AD94</f>
        <v/>
      </c>
      <c r="AH94" s="100">
        <f>BDP("=A94&amp;" US Equity"","RETURN_ON_INV_CAPITAL")/100</f>
        <v/>
      </c>
      <c r="AJ94" s="93">
        <f>BDP("=A94&amp;" US Equity"","BEST_EPS","BEST_FPERIOD_OVERRIDE","24Y")</f>
        <v/>
      </c>
      <c r="AK94" s="93">
        <f>BDP("=A94&amp;" US Equity"","BEST_EPS","BEST_FPERIOD_OVERRIDE","25Y")</f>
        <v/>
      </c>
      <c r="AL94" s="93">
        <f>BDP("=A94&amp;" US Equity"","BEST_EPS","BEST_FPERIOD_OVERRIDE","26Y")</f>
        <v/>
      </c>
      <c r="AM94" s="93">
        <f>BDP("=A94&amp;" US Equity"","BEST_EPS","BEST_FPERIOD_OVERRIDE","27Y")</f>
        <v/>
      </c>
      <c r="AN94" s="93">
        <f>BDP("=A94&amp;" US Equity"","BEST_EPS","BEST_FPERIOD_OVERRIDE","28Y")</f>
        <v/>
      </c>
      <c r="AP94" s="93">
        <f>BDP("=A94&amp;" US Equity"","BEST_SALES","BEST_FPERIOD_OVERRIDE","24Y")</f>
        <v/>
      </c>
      <c r="AQ94" s="93">
        <f>BDP("=A94&amp;" US Equity"","BEST_SALES","BEST_FPERIOD_OVERRIDE","25Y")</f>
        <v/>
      </c>
      <c r="AR94" s="93">
        <f>BDP("=A94&amp;" US Equity"","BEST_SALES","BEST_FPERIOD_OVERRIDE","26Y")</f>
        <v/>
      </c>
      <c r="AS94" s="93">
        <f>BDP("=A94&amp;" US Equity"","BEST_SALES","BEST_FPERIOD_OVERRIDE","27Y")</f>
        <v/>
      </c>
      <c r="AT94" s="93">
        <f>BDP("=A94&amp;" US Equity"","BEST_SALES","BEST_FPERIOD_OVERRIDE","28Y")</f>
        <v/>
      </c>
      <c r="AV94" s="93">
        <f>BDP("=A94&amp;" US Equity"","BEST_EBIT","BEST_FPERIOD_OVERRIDE","24Y")</f>
        <v/>
      </c>
      <c r="AW94" s="93">
        <f>BDP("=A94&amp;" US Equity"","BEST_EBIT","BEST_FPERIOD_OVERRIDE","25Y")</f>
        <v/>
      </c>
      <c r="AX94" s="93">
        <f>BDP("=A94&amp;" US Equity"","BEST_EBIT","BEST_FPERIOD_OVERRIDE","26Y")</f>
        <v/>
      </c>
      <c r="AY94" s="93">
        <f>BDP("=A94&amp;" US Equity"","BEST_EBIT","BEST_FPERIOD_OVERRIDE","27Y")</f>
        <v/>
      </c>
      <c r="AZ94" s="93">
        <f>BDP("=A94&amp;" US Equity"","BEST_EBIT","BEST_FPERIOD_OVERRIDE","28Y")</f>
        <v/>
      </c>
      <c r="BB94" s="68">
        <f>D94+BC94</f>
        <v/>
      </c>
      <c r="BC94" s="68">
        <f>AC94-AE94</f>
        <v/>
      </c>
      <c r="BD94" s="15">
        <f>D94</f>
        <v/>
      </c>
      <c r="BE94" s="99">
        <f>BDP("=A94&amp;" US Equity"","TRAIL_12M_EBITDA")</f>
        <v/>
      </c>
    </row>
    <row r="95">
      <c r="A95" t="inlineStr">
        <is>
          <t>ASML</t>
        </is>
      </c>
      <c r="B95">
        <f>A95&amp;" US Equity"</f>
        <v/>
      </c>
      <c r="C95" s="15" t="inlineStr">
        <is>
          <t>Dec</t>
        </is>
      </c>
      <c r="D95" s="93">
        <f>BDP("=A95&amp;" US Equity"","CUR_MKT_CAP")/1000000000</f>
        <v/>
      </c>
      <c r="E95" s="94">
        <f>BDP("=A95&amp;" US Equity"","PX_LAST")</f>
        <v/>
      </c>
      <c r="F95" s="95">
        <f>IF(BDP("=A95&amp;" US Equity"","BEST_EPS","BEST_FPERIOD_OVERRIDE","26Y")&lt;&gt;0,$E$95/BDP("=A95&amp;" US Equity"","BEST_EPS","BEST_FPERIOD_OVERRIDE","26Y"),"")</f>
        <v/>
      </c>
      <c r="G95" s="95">
        <f>IF(BDP("=A95&amp;" US Equity"","BEST_EPS","BEST_FPERIOD_OVERRIDE","27Y")&lt;&gt;0,$E$95/BDP("=A95&amp;" US Equity"","BEST_EPS","BEST_FPERIOD_OVERRIDE","27Y"),"")</f>
        <v/>
      </c>
      <c r="H95" s="95">
        <f>IF(BDP("=A95&amp;" US Equity"","BEST_EPS","BEST_FPERIOD_OVERRIDE","28Y")&lt;&gt;0,$E$95/BDP("=A95&amp;" US Equity"","BEST_EPS","BEST_FPERIOD_OVERRIDE","28Y"),"")</f>
        <v/>
      </c>
      <c r="I95" s="96">
        <f>BDP("=A95&amp;" US Equity"","NET_DEBT_TO_EBITDA")</f>
        <v/>
      </c>
      <c r="J95" s="93">
        <f>BDP("=A95&amp;" US Equity"","BEST_SALES","BEST_FPERIOD_OVERRIDE","26Y")/1000</f>
        <v/>
      </c>
      <c r="K95" s="97">
        <f>IF(BDP("=A95&amp;" US Equity"","BEST_SALES","BEST_FPERIOD_OVERRIDE","26Y")&lt;&gt;0,BDP("=A95&amp;" US Equity"","BEST_EBIT","BEST_FPERIOD_OVERRIDE","26Y")/BDP("=A95&amp;" US Equity"","BEST_SALES","BEST_FPERIOD_OVERRIDE","26Y"),"")</f>
        <v/>
      </c>
      <c r="L95" s="97">
        <f>BDP("=A95&amp;" US Equity"","RETURN_ON_INV_CAPITAL")/100</f>
        <v/>
      </c>
      <c r="M95" s="97">
        <f>IF(AND(BDP("=A95&amp;" US Equity"","BEST_SALES","BEST_FPERIOD_OVERRIDE","25Y")&gt;0,BDP("=A95&amp;" US Equity"","BEST_SALES","BEST_FPERIOD_OVERRIDE","28Y")&gt;0),(BDP("=A95&amp;" US Equity"","BEST_SALES","BEST_FPERIOD_OVERRIDE","28Y")/BDP("=A95&amp;" US Equity"","BEST_SALES","BEST_FPERIOD_OVERRIDE","25Y"))^(1/3)-1,"")</f>
        <v/>
      </c>
      <c r="N95" s="97">
        <f>IF(AND(BDP("=A95&amp;" US Equity"","BEST_EBIT","BEST_FPERIOD_OVERRIDE","25Y")&gt;0,BDP("=A95&amp;" US Equity"","BEST_EBIT","BEST_FPERIOD_OVERRIDE","28Y")&gt;0),(BDP("=A95&amp;" US Equity"","BEST_EBIT","BEST_FPERIOD_OVERRIDE","28Y")/BDP("=A95&amp;" US Equity"","BEST_EBIT","BEST_FPERIOD_OVERRIDE","25Y"))^(1/3)-1,"")</f>
        <v/>
      </c>
      <c r="O95" s="97">
        <f>IF(AND(BDP("=A95&amp;" US Equity"","BEST_EPS","BEST_FPERIOD_OVERRIDE","25Y")&gt;0,BDP("=A95&amp;" US Equity"","BEST_EPS","BEST_FPERIOD_OVERRIDE","28Y")&gt;0),(BDP("=A95&amp;" US Equity"","BEST_EPS","BEST_FPERIOD_OVERRIDE","28Y")/BDP("=A95&amp;" US Equity"","BEST_EPS","BEST_FPERIOD_OVERRIDE","25Y"))^(1/3)-1,"")</f>
        <v/>
      </c>
      <c r="Q95" s="97">
        <f>BDP("=A95&amp;" US Equity"","CHG_PCT_YTD")/100</f>
        <v/>
      </c>
      <c r="T95" s="68">
        <f>IF(AND(F95&lt;&gt;"",O95&lt;&gt;"",O95&lt;&gt;0),F95/(O95*100),"")</f>
        <v/>
      </c>
      <c r="AB95" s="93">
        <f>BDP("=A95&amp;" US Equity"","TRAIL_12M_OPER_INC")</f>
        <v/>
      </c>
      <c r="AC95" s="93">
        <f>BDP("=A95&amp;" US Equity"","SHORT_AND_LONG_TERM_DEBT")</f>
        <v/>
      </c>
      <c r="AD95" s="93">
        <f>BDP("=A95&amp;" US Equity"","TOTAL_EQUITY")</f>
        <v/>
      </c>
      <c r="AE95" s="93">
        <f>BDP("=A95&amp;" US Equity"","BS_CASH_NEAR_CASH_ITEM")</f>
        <v/>
      </c>
      <c r="AF95" s="99">
        <f>BDP("=A95&amp;" US Equity"","BS_LT_INVEST")</f>
        <v/>
      </c>
      <c r="AG95" s="15">
        <f>AC95+AD95</f>
        <v/>
      </c>
      <c r="AH95" s="100">
        <f>BDP("=A95&amp;" US Equity"","RETURN_ON_INV_CAPITAL")/100</f>
        <v/>
      </c>
      <c r="AJ95" s="93">
        <f>BDP("=A95&amp;" US Equity"","BEST_EPS","BEST_FPERIOD_OVERRIDE","24Y")</f>
        <v/>
      </c>
      <c r="AK95" s="93">
        <f>BDP("=A95&amp;" US Equity"","BEST_EPS","BEST_FPERIOD_OVERRIDE","25Y")</f>
        <v/>
      </c>
      <c r="AL95" s="93">
        <f>BDP("=A95&amp;" US Equity"","BEST_EPS","BEST_FPERIOD_OVERRIDE","26Y")</f>
        <v/>
      </c>
      <c r="AM95" s="93">
        <f>BDP("=A95&amp;" US Equity"","BEST_EPS","BEST_FPERIOD_OVERRIDE","27Y")</f>
        <v/>
      </c>
      <c r="AN95" s="93">
        <f>BDP("=A95&amp;" US Equity"","BEST_EPS","BEST_FPERIOD_OVERRIDE","28Y")</f>
        <v/>
      </c>
      <c r="AP95" s="93">
        <f>BDP("=A95&amp;" US Equity"","BEST_SALES","BEST_FPERIOD_OVERRIDE","24Y")</f>
        <v/>
      </c>
      <c r="AQ95" s="93">
        <f>BDP("=A95&amp;" US Equity"","BEST_SALES","BEST_FPERIOD_OVERRIDE","25Y")</f>
        <v/>
      </c>
      <c r="AR95" s="93">
        <f>BDP("=A95&amp;" US Equity"","BEST_SALES","BEST_FPERIOD_OVERRIDE","26Y")</f>
        <v/>
      </c>
      <c r="AS95" s="93">
        <f>BDP("=A95&amp;" US Equity"","BEST_SALES","BEST_FPERIOD_OVERRIDE","27Y")</f>
        <v/>
      </c>
      <c r="AT95" s="93">
        <f>BDP("=A95&amp;" US Equity"","BEST_SALES","BEST_FPERIOD_OVERRIDE","28Y")</f>
        <v/>
      </c>
      <c r="AV95" s="93">
        <f>BDP("=A95&amp;" US Equity"","BEST_EBIT","BEST_FPERIOD_OVERRIDE","24Y")</f>
        <v/>
      </c>
      <c r="AW95" s="93">
        <f>BDP("=A95&amp;" US Equity"","BEST_EBIT","BEST_FPERIOD_OVERRIDE","25Y")</f>
        <v/>
      </c>
      <c r="AX95" s="93">
        <f>BDP("=A95&amp;" US Equity"","BEST_EBIT","BEST_FPERIOD_OVERRIDE","26Y")</f>
        <v/>
      </c>
      <c r="AY95" s="93">
        <f>BDP("=A95&amp;" US Equity"","BEST_EBIT","BEST_FPERIOD_OVERRIDE","27Y")</f>
        <v/>
      </c>
      <c r="AZ95" s="93">
        <f>BDP("=A95&amp;" US Equity"","BEST_EBIT","BEST_FPERIOD_OVERRIDE","28Y")</f>
        <v/>
      </c>
      <c r="BB95" s="68">
        <f>D95+BC95</f>
        <v/>
      </c>
      <c r="BC95" s="68">
        <f>AC95-AE95</f>
        <v/>
      </c>
      <c r="BD95" s="15">
        <f>D95</f>
        <v/>
      </c>
      <c r="BE95" s="99">
        <f>BDP("=A95&amp;" US Equity"","TRAIL_12M_EBITDA")</f>
        <v/>
      </c>
    </row>
    <row r="96">
      <c r="A96" t="inlineStr">
        <is>
          <t>AMAT</t>
        </is>
      </c>
      <c r="B96">
        <f>A96&amp;" US Equity"</f>
        <v/>
      </c>
      <c r="C96" s="15" t="inlineStr">
        <is>
          <t>Dec</t>
        </is>
      </c>
      <c r="D96" s="93">
        <f>BDP("=A96&amp;" US Equity"","CUR_MKT_CAP")/1000000000</f>
        <v/>
      </c>
      <c r="E96" s="94">
        <f>BDP("=A96&amp;" US Equity"","PX_LAST")</f>
        <v/>
      </c>
      <c r="F96" s="95">
        <f>IF(BDP("=A96&amp;" US Equity"","BEST_EPS","BEST_FPERIOD_OVERRIDE","26Y")&lt;&gt;0,$E$96/BDP("=A96&amp;" US Equity"","BEST_EPS","BEST_FPERIOD_OVERRIDE","26Y"),"")</f>
        <v/>
      </c>
      <c r="G96" s="95">
        <f>IF(BDP("=A96&amp;" US Equity"","BEST_EPS","BEST_FPERIOD_OVERRIDE","27Y")&lt;&gt;0,$E$96/BDP("=A96&amp;" US Equity"","BEST_EPS","BEST_FPERIOD_OVERRIDE","27Y"),"")</f>
        <v/>
      </c>
      <c r="H96" s="95">
        <f>IF(BDP("=A96&amp;" US Equity"","BEST_EPS","BEST_FPERIOD_OVERRIDE","28Y")&lt;&gt;0,$E$96/BDP("=A96&amp;" US Equity"","BEST_EPS","BEST_FPERIOD_OVERRIDE","28Y"),"")</f>
        <v/>
      </c>
      <c r="I96" s="96">
        <f>BDP("=A96&amp;" US Equity"","NET_DEBT_TO_EBITDA")</f>
        <v/>
      </c>
      <c r="J96" s="93">
        <f>BDP("=A96&amp;" US Equity"","BEST_SALES","BEST_FPERIOD_OVERRIDE","26Y")/1000</f>
        <v/>
      </c>
      <c r="K96" s="97">
        <f>IF(BDP("=A96&amp;" US Equity"","BEST_SALES","BEST_FPERIOD_OVERRIDE","26Y")&lt;&gt;0,BDP("=A96&amp;" US Equity"","BEST_EBIT","BEST_FPERIOD_OVERRIDE","26Y")/BDP("=A96&amp;" US Equity"","BEST_SALES","BEST_FPERIOD_OVERRIDE","26Y"),"")</f>
        <v/>
      </c>
      <c r="L96" s="97">
        <f>BDP("=A96&amp;" US Equity"","RETURN_ON_INV_CAPITAL")/100</f>
        <v/>
      </c>
      <c r="M96" s="97">
        <f>IF(AND(BDP("=A96&amp;" US Equity"","BEST_SALES","BEST_FPERIOD_OVERRIDE","25Y")&gt;0,BDP("=A96&amp;" US Equity"","BEST_SALES","BEST_FPERIOD_OVERRIDE","28Y")&gt;0),(BDP("=A96&amp;" US Equity"","BEST_SALES","BEST_FPERIOD_OVERRIDE","28Y")/BDP("=A96&amp;" US Equity"","BEST_SALES","BEST_FPERIOD_OVERRIDE","25Y"))^(1/3)-1,"")</f>
        <v/>
      </c>
      <c r="N96" s="97">
        <f>IF(AND(BDP("=A96&amp;" US Equity"","BEST_EBIT","BEST_FPERIOD_OVERRIDE","25Y")&gt;0,BDP("=A96&amp;" US Equity"","BEST_EBIT","BEST_FPERIOD_OVERRIDE","28Y")&gt;0),(BDP("=A96&amp;" US Equity"","BEST_EBIT","BEST_FPERIOD_OVERRIDE","28Y")/BDP("=A96&amp;" US Equity"","BEST_EBIT","BEST_FPERIOD_OVERRIDE","25Y"))^(1/3)-1,"")</f>
        <v/>
      </c>
      <c r="O96" s="97">
        <f>IF(AND(BDP("=A96&amp;" US Equity"","BEST_EPS","BEST_FPERIOD_OVERRIDE","25Y")&gt;0,BDP("=A96&amp;" US Equity"","BEST_EPS","BEST_FPERIOD_OVERRIDE","28Y")&gt;0),(BDP("=A96&amp;" US Equity"","BEST_EPS","BEST_FPERIOD_OVERRIDE","28Y")/BDP("=A96&amp;" US Equity"","BEST_EPS","BEST_FPERIOD_OVERRIDE","25Y"))^(1/3)-1,"")</f>
        <v/>
      </c>
      <c r="Q96" s="97">
        <f>BDP("=A96&amp;" US Equity"","CHG_PCT_YTD")/100</f>
        <v/>
      </c>
      <c r="T96" s="68">
        <f>IF(AND(F96&lt;&gt;"",O96&lt;&gt;"",O96&lt;&gt;0),F96/(O96*100),"")</f>
        <v/>
      </c>
      <c r="AB96" s="93">
        <f>BDP("=A96&amp;" US Equity"","TRAIL_12M_OPER_INC")</f>
        <v/>
      </c>
      <c r="AC96" s="93">
        <f>BDP("=A96&amp;" US Equity"","SHORT_AND_LONG_TERM_DEBT")</f>
        <v/>
      </c>
      <c r="AD96" s="93">
        <f>BDP("=A96&amp;" US Equity"","TOTAL_EQUITY")</f>
        <v/>
      </c>
      <c r="AE96" s="93">
        <f>BDP("=A96&amp;" US Equity"","BS_CASH_NEAR_CASH_ITEM")</f>
        <v/>
      </c>
      <c r="AF96" s="99">
        <f>BDP("=A96&amp;" US Equity"","BS_LT_INVEST")</f>
        <v/>
      </c>
      <c r="AG96" s="15">
        <f>AC96+AD96</f>
        <v/>
      </c>
      <c r="AH96" s="100">
        <f>BDP("=A96&amp;" US Equity"","RETURN_ON_INV_CAPITAL")/100</f>
        <v/>
      </c>
      <c r="AJ96" s="93">
        <f>BDP("=A96&amp;" US Equity"","BEST_EPS","BEST_FPERIOD_OVERRIDE","24Y")</f>
        <v/>
      </c>
      <c r="AK96" s="93">
        <f>BDP("=A96&amp;" US Equity"","BEST_EPS","BEST_FPERIOD_OVERRIDE","25Y")</f>
        <v/>
      </c>
      <c r="AL96" s="93">
        <f>BDP("=A96&amp;" US Equity"","BEST_EPS","BEST_FPERIOD_OVERRIDE","26Y")</f>
        <v/>
      </c>
      <c r="AM96" s="93">
        <f>BDP("=A96&amp;" US Equity"","BEST_EPS","BEST_FPERIOD_OVERRIDE","27Y")</f>
        <v/>
      </c>
      <c r="AN96" s="93">
        <f>BDP("=A96&amp;" US Equity"","BEST_EPS","BEST_FPERIOD_OVERRIDE","28Y")</f>
        <v/>
      </c>
      <c r="AP96" s="93">
        <f>BDP("=A96&amp;" US Equity"","BEST_SALES","BEST_FPERIOD_OVERRIDE","24Y")</f>
        <v/>
      </c>
      <c r="AQ96" s="93">
        <f>BDP("=A96&amp;" US Equity"","BEST_SALES","BEST_FPERIOD_OVERRIDE","25Y")</f>
        <v/>
      </c>
      <c r="AR96" s="93">
        <f>BDP("=A96&amp;" US Equity"","BEST_SALES","BEST_FPERIOD_OVERRIDE","26Y")</f>
        <v/>
      </c>
      <c r="AS96" s="93">
        <f>BDP("=A96&amp;" US Equity"","BEST_SALES","BEST_FPERIOD_OVERRIDE","27Y")</f>
        <v/>
      </c>
      <c r="AT96" s="93">
        <f>BDP("=A96&amp;" US Equity"","BEST_SALES","BEST_FPERIOD_OVERRIDE","28Y")</f>
        <v/>
      </c>
      <c r="AV96" s="93">
        <f>BDP("=A96&amp;" US Equity"","BEST_EBIT","BEST_FPERIOD_OVERRIDE","24Y")</f>
        <v/>
      </c>
      <c r="AW96" s="93">
        <f>BDP("=A96&amp;" US Equity"","BEST_EBIT","BEST_FPERIOD_OVERRIDE","25Y")</f>
        <v/>
      </c>
      <c r="AX96" s="93">
        <f>BDP("=A96&amp;" US Equity"","BEST_EBIT","BEST_FPERIOD_OVERRIDE","26Y")</f>
        <v/>
      </c>
      <c r="AY96" s="93">
        <f>BDP("=A96&amp;" US Equity"","BEST_EBIT","BEST_FPERIOD_OVERRIDE","27Y")</f>
        <v/>
      </c>
      <c r="AZ96" s="93">
        <f>BDP("=A96&amp;" US Equity"","BEST_EBIT","BEST_FPERIOD_OVERRIDE","28Y")</f>
        <v/>
      </c>
      <c r="BB96" s="68">
        <f>D96+BC96</f>
        <v/>
      </c>
      <c r="BC96" s="68">
        <f>AC96-AE96</f>
        <v/>
      </c>
      <c r="BD96" s="15">
        <f>D96</f>
        <v/>
      </c>
      <c r="BE96" s="99">
        <f>BDP("=A96&amp;" US Equity"","TRAIL_12M_EBITDA")</f>
        <v/>
      </c>
    </row>
    <row r="97" ht="13.9" customHeight="1">
      <c r="A97" t="inlineStr">
        <is>
          <t>LRCX</t>
        </is>
      </c>
      <c r="B97">
        <f>A97&amp;" US Equity"</f>
        <v/>
      </c>
      <c r="C97" s="15" t="inlineStr">
        <is>
          <t>Dec</t>
        </is>
      </c>
      <c r="D97" s="93">
        <f>BDP("=A97&amp;" US Equity"","CUR_MKT_CAP")/1000000000</f>
        <v/>
      </c>
      <c r="E97" s="94">
        <f>BDP("=A97&amp;" US Equity"","PX_LAST")</f>
        <v/>
      </c>
      <c r="F97" s="95">
        <f>IF(BDP("=A97&amp;" US Equity"","BEST_EPS","BEST_FPERIOD_OVERRIDE","26Y")&lt;&gt;0,$E$97/BDP("=A97&amp;" US Equity"","BEST_EPS","BEST_FPERIOD_OVERRIDE","26Y"),"")</f>
        <v/>
      </c>
      <c r="G97" s="95">
        <f>IF(BDP("=A97&amp;" US Equity"","BEST_EPS","BEST_FPERIOD_OVERRIDE","27Y")&lt;&gt;0,$E$97/BDP("=A97&amp;" US Equity"","BEST_EPS","BEST_FPERIOD_OVERRIDE","27Y"),"")</f>
        <v/>
      </c>
      <c r="H97" s="95">
        <f>IF(BDP("=A97&amp;" US Equity"","BEST_EPS","BEST_FPERIOD_OVERRIDE","28Y")&lt;&gt;0,$E$97/BDP("=A97&amp;" US Equity"","BEST_EPS","BEST_FPERIOD_OVERRIDE","28Y"),"")</f>
        <v/>
      </c>
      <c r="I97" s="96">
        <f>BDP("=A97&amp;" US Equity"","NET_DEBT_TO_EBITDA")</f>
        <v/>
      </c>
      <c r="J97" s="93">
        <f>BDP("=A97&amp;" US Equity"","BEST_SALES","BEST_FPERIOD_OVERRIDE","26Y")/1000</f>
        <v/>
      </c>
      <c r="K97" s="97">
        <f>IF(BDP("=A97&amp;" US Equity"","BEST_SALES","BEST_FPERIOD_OVERRIDE","26Y")&lt;&gt;0,BDP("=A97&amp;" US Equity"","BEST_EBIT","BEST_FPERIOD_OVERRIDE","26Y")/BDP("=A97&amp;" US Equity"","BEST_SALES","BEST_FPERIOD_OVERRIDE","26Y"),"")</f>
        <v/>
      </c>
      <c r="L97" s="97">
        <f>BDP("=A97&amp;" US Equity"","RETURN_ON_INV_CAPITAL")/100</f>
        <v/>
      </c>
      <c r="M97" s="97">
        <f>IF(AND(BDP("=A97&amp;" US Equity"","BEST_SALES","BEST_FPERIOD_OVERRIDE","25Y")&gt;0,BDP("=A97&amp;" US Equity"","BEST_SALES","BEST_FPERIOD_OVERRIDE","28Y")&gt;0),(BDP("=A97&amp;" US Equity"","BEST_SALES","BEST_FPERIOD_OVERRIDE","28Y")/BDP("=A97&amp;" US Equity"","BEST_SALES","BEST_FPERIOD_OVERRIDE","25Y"))^(1/3)-1,"")</f>
        <v/>
      </c>
      <c r="N97" s="97">
        <f>IF(AND(BDP("=A97&amp;" US Equity"","BEST_EBIT","BEST_FPERIOD_OVERRIDE","25Y")&gt;0,BDP("=A97&amp;" US Equity"","BEST_EBIT","BEST_FPERIOD_OVERRIDE","28Y")&gt;0),(BDP("=A97&amp;" US Equity"","BEST_EBIT","BEST_FPERIOD_OVERRIDE","28Y")/BDP("=A97&amp;" US Equity"","BEST_EBIT","BEST_FPERIOD_OVERRIDE","25Y"))^(1/3)-1,"")</f>
        <v/>
      </c>
      <c r="O97" s="97">
        <f>IF(AND(BDP("=A97&amp;" US Equity"","BEST_EPS","BEST_FPERIOD_OVERRIDE","25Y")&gt;0,BDP("=A97&amp;" US Equity"","BEST_EPS","BEST_FPERIOD_OVERRIDE","28Y")&gt;0),(BDP("=A97&amp;" US Equity"","BEST_EPS","BEST_FPERIOD_OVERRIDE","28Y")/BDP("=A97&amp;" US Equity"","BEST_EPS","BEST_FPERIOD_OVERRIDE","25Y"))^(1/3)-1,"")</f>
        <v/>
      </c>
      <c r="Q97" s="97">
        <f>BDP("=A97&amp;" US Equity"","CHG_PCT_YTD")/100</f>
        <v/>
      </c>
      <c r="T97" s="68">
        <f>IF(AND(F97&lt;&gt;"",O97&lt;&gt;"",O97&lt;&gt;0),F97/(O97*100),"")</f>
        <v/>
      </c>
      <c r="AB97" s="93">
        <f>BDP("=A97&amp;" US Equity"","TRAIL_12M_OPER_INC")</f>
        <v/>
      </c>
      <c r="AC97" s="93">
        <f>BDP("=A97&amp;" US Equity"","SHORT_AND_LONG_TERM_DEBT")</f>
        <v/>
      </c>
      <c r="AD97" s="93">
        <f>BDP("=A97&amp;" US Equity"","TOTAL_EQUITY")</f>
        <v/>
      </c>
      <c r="AE97" s="93">
        <f>BDP("=A97&amp;" US Equity"","BS_CASH_NEAR_CASH_ITEM")</f>
        <v/>
      </c>
      <c r="AF97" s="99">
        <f>BDP("=A97&amp;" US Equity"","BS_LT_INVEST")</f>
        <v/>
      </c>
      <c r="AG97" s="15">
        <f>AC97+AD97</f>
        <v/>
      </c>
      <c r="AH97" s="100">
        <f>BDP("=A97&amp;" US Equity"","RETURN_ON_INV_CAPITAL")/100</f>
        <v/>
      </c>
      <c r="AJ97" s="93">
        <f>BDP("=A97&amp;" US Equity"","BEST_EPS","BEST_FPERIOD_OVERRIDE","24Y")</f>
        <v/>
      </c>
      <c r="AK97" s="93">
        <f>BDP("=A97&amp;" US Equity"","BEST_EPS","BEST_FPERIOD_OVERRIDE","25Y")</f>
        <v/>
      </c>
      <c r="AL97" s="93">
        <f>BDP("=A97&amp;" US Equity"","BEST_EPS","BEST_FPERIOD_OVERRIDE","26Y")</f>
        <v/>
      </c>
      <c r="AM97" s="93">
        <f>BDP("=A97&amp;" US Equity"","BEST_EPS","BEST_FPERIOD_OVERRIDE","27Y")</f>
        <v/>
      </c>
      <c r="AN97" s="93">
        <f>BDP("=A97&amp;" US Equity"","BEST_EPS","BEST_FPERIOD_OVERRIDE","28Y")</f>
        <v/>
      </c>
      <c r="AP97" s="93">
        <f>BDP("=A97&amp;" US Equity"","BEST_SALES","BEST_FPERIOD_OVERRIDE","24Y")</f>
        <v/>
      </c>
      <c r="AQ97" s="93">
        <f>BDP("=A97&amp;" US Equity"","BEST_SALES","BEST_FPERIOD_OVERRIDE","25Y")</f>
        <v/>
      </c>
      <c r="AR97" s="93">
        <f>BDP("=A97&amp;" US Equity"","BEST_SALES","BEST_FPERIOD_OVERRIDE","26Y")</f>
        <v/>
      </c>
      <c r="AS97" s="93">
        <f>BDP("=A97&amp;" US Equity"","BEST_SALES","BEST_FPERIOD_OVERRIDE","27Y")</f>
        <v/>
      </c>
      <c r="AT97" s="93">
        <f>BDP("=A97&amp;" US Equity"","BEST_SALES","BEST_FPERIOD_OVERRIDE","28Y")</f>
        <v/>
      </c>
      <c r="AV97" s="93">
        <f>BDP("=A97&amp;" US Equity"","BEST_EBIT","BEST_FPERIOD_OVERRIDE","24Y")</f>
        <v/>
      </c>
      <c r="AW97" s="93">
        <f>BDP("=A97&amp;" US Equity"","BEST_EBIT","BEST_FPERIOD_OVERRIDE","25Y")</f>
        <v/>
      </c>
      <c r="AX97" s="93">
        <f>BDP("=A97&amp;" US Equity"","BEST_EBIT","BEST_FPERIOD_OVERRIDE","26Y")</f>
        <v/>
      </c>
      <c r="AY97" s="93">
        <f>BDP("=A97&amp;" US Equity"","BEST_EBIT","BEST_FPERIOD_OVERRIDE","27Y")</f>
        <v/>
      </c>
      <c r="AZ97" s="93">
        <f>BDP("=A97&amp;" US Equity"","BEST_EBIT","BEST_FPERIOD_OVERRIDE","28Y")</f>
        <v/>
      </c>
      <c r="BB97" s="68">
        <f>D97+BC97</f>
        <v/>
      </c>
      <c r="BC97" s="68">
        <f>AC97-AE97</f>
        <v/>
      </c>
      <c r="BD97" s="15">
        <f>D97</f>
        <v/>
      </c>
      <c r="BE97" s="99">
        <f>BDP("=A97&amp;" US Equity"","TRAIL_12M_EBITDA")</f>
        <v/>
      </c>
    </row>
    <row r="98" ht="13.9" customHeight="1">
      <c r="A98" t="inlineStr">
        <is>
          <t>TXN</t>
        </is>
      </c>
      <c r="B98">
        <f>A98&amp;" US Equity"</f>
        <v/>
      </c>
      <c r="C98" s="15" t="inlineStr">
        <is>
          <t>Dec</t>
        </is>
      </c>
      <c r="D98" s="93">
        <f>BDP("=A98&amp;" US Equity"","CUR_MKT_CAP")/1000000000</f>
        <v/>
      </c>
      <c r="E98" s="94">
        <f>BDP("=A98&amp;" US Equity"","PX_LAST")</f>
        <v/>
      </c>
      <c r="F98" s="95">
        <f>IF(BDP("=A98&amp;" US Equity"","BEST_EPS","BEST_FPERIOD_OVERRIDE","26Y")&lt;&gt;0,$E$98/BDP("=A98&amp;" US Equity"","BEST_EPS","BEST_FPERIOD_OVERRIDE","26Y"),"")</f>
        <v/>
      </c>
      <c r="G98" s="95">
        <f>IF(BDP("=A98&amp;" US Equity"","BEST_EPS","BEST_FPERIOD_OVERRIDE","27Y")&lt;&gt;0,$E$98/BDP("=A98&amp;" US Equity"","BEST_EPS","BEST_FPERIOD_OVERRIDE","27Y"),"")</f>
        <v/>
      </c>
      <c r="H98" s="95">
        <f>IF(BDP("=A98&amp;" US Equity"","BEST_EPS","BEST_FPERIOD_OVERRIDE","28Y")&lt;&gt;0,$E$98/BDP("=A98&amp;" US Equity"","BEST_EPS","BEST_FPERIOD_OVERRIDE","28Y"),"")</f>
        <v/>
      </c>
      <c r="I98" s="96">
        <f>BDP("=A98&amp;" US Equity"","NET_DEBT_TO_EBITDA")</f>
        <v/>
      </c>
      <c r="J98" s="93">
        <f>BDP("=A98&amp;" US Equity"","BEST_SALES","BEST_FPERIOD_OVERRIDE","26Y")/1000</f>
        <v/>
      </c>
      <c r="K98" s="97">
        <f>IF(BDP("=A98&amp;" US Equity"","BEST_SALES","BEST_FPERIOD_OVERRIDE","26Y")&lt;&gt;0,BDP("=A98&amp;" US Equity"","BEST_EBIT","BEST_FPERIOD_OVERRIDE","26Y")/BDP("=A98&amp;" US Equity"","BEST_SALES","BEST_FPERIOD_OVERRIDE","26Y"),"")</f>
        <v/>
      </c>
      <c r="L98" s="97">
        <f>BDP("=A98&amp;" US Equity"","RETURN_ON_INV_CAPITAL")/100</f>
        <v/>
      </c>
      <c r="M98" s="97">
        <f>IF(AND(BDP("=A98&amp;" US Equity"","BEST_SALES","BEST_FPERIOD_OVERRIDE","25Y")&gt;0,BDP("=A98&amp;" US Equity"","BEST_SALES","BEST_FPERIOD_OVERRIDE","28Y")&gt;0),(BDP("=A98&amp;" US Equity"","BEST_SALES","BEST_FPERIOD_OVERRIDE","28Y")/BDP("=A98&amp;" US Equity"","BEST_SALES","BEST_FPERIOD_OVERRIDE","25Y"))^(1/3)-1,"")</f>
        <v/>
      </c>
      <c r="N98" s="97">
        <f>IF(AND(BDP("=A98&amp;" US Equity"","BEST_EBIT","BEST_FPERIOD_OVERRIDE","25Y")&gt;0,BDP("=A98&amp;" US Equity"","BEST_EBIT","BEST_FPERIOD_OVERRIDE","28Y")&gt;0),(BDP("=A98&amp;" US Equity"","BEST_EBIT","BEST_FPERIOD_OVERRIDE","28Y")/BDP("=A98&amp;" US Equity"","BEST_EBIT","BEST_FPERIOD_OVERRIDE","25Y"))^(1/3)-1,"")</f>
        <v/>
      </c>
      <c r="O98" s="97">
        <f>IF(AND(BDP("=A98&amp;" US Equity"","BEST_EPS","BEST_FPERIOD_OVERRIDE","25Y")&gt;0,BDP("=A98&amp;" US Equity"","BEST_EPS","BEST_FPERIOD_OVERRIDE","28Y")&gt;0),(BDP("=A98&amp;" US Equity"","BEST_EPS","BEST_FPERIOD_OVERRIDE","28Y")/BDP("=A98&amp;" US Equity"","BEST_EPS","BEST_FPERIOD_OVERRIDE","25Y"))^(1/3)-1,"")</f>
        <v/>
      </c>
      <c r="Q98" s="97">
        <f>BDP("=A98&amp;" US Equity"","CHG_PCT_YTD")/100</f>
        <v/>
      </c>
      <c r="T98" s="68">
        <f>IF(AND(F98&lt;&gt;"",O98&lt;&gt;"",O98&lt;&gt;0),F98/(O98*100),"")</f>
        <v/>
      </c>
      <c r="AB98" s="93">
        <f>BDP("=A98&amp;" US Equity"","TRAIL_12M_OPER_INC")</f>
        <v/>
      </c>
      <c r="AC98" s="93">
        <f>BDP("=A98&amp;" US Equity"","SHORT_AND_LONG_TERM_DEBT")</f>
        <v/>
      </c>
      <c r="AD98" s="93">
        <f>BDP("=A98&amp;" US Equity"","TOTAL_EQUITY")</f>
        <v/>
      </c>
      <c r="AE98" s="93">
        <f>BDP("=A98&amp;" US Equity"","BS_CASH_NEAR_CASH_ITEM")</f>
        <v/>
      </c>
      <c r="AF98" s="99">
        <f>BDP("=A98&amp;" US Equity"","BS_LT_INVEST")</f>
        <v/>
      </c>
      <c r="AG98" s="15">
        <f>AC98+AD98</f>
        <v/>
      </c>
      <c r="AH98" s="100">
        <f>BDP("=A98&amp;" US Equity"","RETURN_ON_INV_CAPITAL")/100</f>
        <v/>
      </c>
      <c r="AJ98" s="93">
        <f>BDP("=A98&amp;" US Equity"","BEST_EPS","BEST_FPERIOD_OVERRIDE","24Y")</f>
        <v/>
      </c>
      <c r="AK98" s="93">
        <f>BDP("=A98&amp;" US Equity"","BEST_EPS","BEST_FPERIOD_OVERRIDE","25Y")</f>
        <v/>
      </c>
      <c r="AL98" s="93">
        <f>BDP("=A98&amp;" US Equity"","BEST_EPS","BEST_FPERIOD_OVERRIDE","26Y")</f>
        <v/>
      </c>
      <c r="AM98" s="93">
        <f>BDP("=A98&amp;" US Equity"","BEST_EPS","BEST_FPERIOD_OVERRIDE","27Y")</f>
        <v/>
      </c>
      <c r="AN98" s="93">
        <f>BDP("=A98&amp;" US Equity"","BEST_EPS","BEST_FPERIOD_OVERRIDE","28Y")</f>
        <v/>
      </c>
      <c r="AP98" s="93">
        <f>BDP("=A98&amp;" US Equity"","BEST_SALES","BEST_FPERIOD_OVERRIDE","24Y")</f>
        <v/>
      </c>
      <c r="AQ98" s="93">
        <f>BDP("=A98&amp;" US Equity"","BEST_SALES","BEST_FPERIOD_OVERRIDE","25Y")</f>
        <v/>
      </c>
      <c r="AR98" s="93">
        <f>BDP("=A98&amp;" US Equity"","BEST_SALES","BEST_FPERIOD_OVERRIDE","26Y")</f>
        <v/>
      </c>
      <c r="AS98" s="93">
        <f>BDP("=A98&amp;" US Equity"","BEST_SALES","BEST_FPERIOD_OVERRIDE","27Y")</f>
        <v/>
      </c>
      <c r="AT98" s="93">
        <f>BDP("=A98&amp;" US Equity"","BEST_SALES","BEST_FPERIOD_OVERRIDE","28Y")</f>
        <v/>
      </c>
      <c r="AV98" s="93">
        <f>BDP("=A98&amp;" US Equity"","BEST_EBIT","BEST_FPERIOD_OVERRIDE","24Y")</f>
        <v/>
      </c>
      <c r="AW98" s="93">
        <f>BDP("=A98&amp;" US Equity"","BEST_EBIT","BEST_FPERIOD_OVERRIDE","25Y")</f>
        <v/>
      </c>
      <c r="AX98" s="93">
        <f>BDP("=A98&amp;" US Equity"","BEST_EBIT","BEST_FPERIOD_OVERRIDE","26Y")</f>
        <v/>
      </c>
      <c r="AY98" s="93">
        <f>BDP("=A98&amp;" US Equity"","BEST_EBIT","BEST_FPERIOD_OVERRIDE","27Y")</f>
        <v/>
      </c>
      <c r="AZ98" s="93">
        <f>BDP("=A98&amp;" US Equity"","BEST_EBIT","BEST_FPERIOD_OVERRIDE","28Y")</f>
        <v/>
      </c>
      <c r="BB98" s="68">
        <f>D98+BC98</f>
        <v/>
      </c>
      <c r="BC98" s="68">
        <f>AC98-AE98</f>
        <v/>
      </c>
      <c r="BD98" s="15">
        <f>D98</f>
        <v/>
      </c>
      <c r="BE98" s="99">
        <f>BDP("=A98&amp;" US Equity"","TRAIL_12M_EBITDA")</f>
        <v/>
      </c>
    </row>
    <row r="99">
      <c r="A99" t="inlineStr">
        <is>
          <t>GOOG</t>
        </is>
      </c>
      <c r="B99">
        <f>A99&amp;" US Equity"</f>
        <v/>
      </c>
      <c r="C99" s="15" t="inlineStr">
        <is>
          <t>Dec</t>
        </is>
      </c>
      <c r="D99" s="93">
        <f>BDP("=A99&amp;" US Equity"","CUR_MKT_CAP")/1000000000</f>
        <v/>
      </c>
      <c r="E99" s="94">
        <f>BDP("=A99&amp;" US Equity"","PX_LAST")</f>
        <v/>
      </c>
      <c r="F99" s="95">
        <f>IF(BDP("=A99&amp;" US Equity"","BEST_EPS","BEST_FPERIOD_OVERRIDE","26Y")&lt;&gt;0,$E$99/BDP("=A99&amp;" US Equity"","BEST_EPS","BEST_FPERIOD_OVERRIDE","26Y"),"")</f>
        <v/>
      </c>
      <c r="G99" s="95">
        <f>IF(BDP("=A99&amp;" US Equity"","BEST_EPS","BEST_FPERIOD_OVERRIDE","27Y")&lt;&gt;0,$E$99/BDP("=A99&amp;" US Equity"","BEST_EPS","BEST_FPERIOD_OVERRIDE","27Y"),"")</f>
        <v/>
      </c>
      <c r="H99" s="95">
        <f>IF(BDP("=A99&amp;" US Equity"","BEST_EPS","BEST_FPERIOD_OVERRIDE","28Y")&lt;&gt;0,$E$99/BDP("=A99&amp;" US Equity"","BEST_EPS","BEST_FPERIOD_OVERRIDE","28Y"),"")</f>
        <v/>
      </c>
      <c r="I99" s="96">
        <f>BDP("=A99&amp;" US Equity"","NET_DEBT_TO_EBITDA")</f>
        <v/>
      </c>
      <c r="J99" s="93">
        <f>BDP("=A99&amp;" US Equity"","BEST_SALES","BEST_FPERIOD_OVERRIDE","26Y")/1000</f>
        <v/>
      </c>
      <c r="K99" s="97">
        <f>IF(BDP("=A99&amp;" US Equity"","BEST_SALES","BEST_FPERIOD_OVERRIDE","26Y")&lt;&gt;0,BDP("=A99&amp;" US Equity"","BEST_EBIT","BEST_FPERIOD_OVERRIDE","26Y")/BDP("=A99&amp;" US Equity"","BEST_SALES","BEST_FPERIOD_OVERRIDE","26Y"),"")</f>
        <v/>
      </c>
      <c r="L99" s="97">
        <f>BDP("=A99&amp;" US Equity"","RETURN_ON_INV_CAPITAL")/100</f>
        <v/>
      </c>
      <c r="M99" s="97">
        <f>IF(AND(BDP("=A99&amp;" US Equity"","BEST_SALES","BEST_FPERIOD_OVERRIDE","25Y")&gt;0,BDP("=A99&amp;" US Equity"","BEST_SALES","BEST_FPERIOD_OVERRIDE","28Y")&gt;0),(BDP("=A99&amp;" US Equity"","BEST_SALES","BEST_FPERIOD_OVERRIDE","28Y")/BDP("=A99&amp;" US Equity"","BEST_SALES","BEST_FPERIOD_OVERRIDE","25Y"))^(1/3)-1,"")</f>
        <v/>
      </c>
      <c r="N99" s="97">
        <f>IF(AND(BDP("=A99&amp;" US Equity"","BEST_EBIT","BEST_FPERIOD_OVERRIDE","25Y")&gt;0,BDP("=A99&amp;" US Equity"","BEST_EBIT","BEST_FPERIOD_OVERRIDE","28Y")&gt;0),(BDP("=A99&amp;" US Equity"","BEST_EBIT","BEST_FPERIOD_OVERRIDE","28Y")/BDP("=A99&amp;" US Equity"","BEST_EBIT","BEST_FPERIOD_OVERRIDE","25Y"))^(1/3)-1,"")</f>
        <v/>
      </c>
      <c r="O99" s="97">
        <f>IF(AND(BDP("=A99&amp;" US Equity"","BEST_EPS","BEST_FPERIOD_OVERRIDE","25Y")&gt;0,BDP("=A99&amp;" US Equity"","BEST_EPS","BEST_FPERIOD_OVERRIDE","28Y")&gt;0),(BDP("=A99&amp;" US Equity"","BEST_EPS","BEST_FPERIOD_OVERRIDE","28Y")/BDP("=A99&amp;" US Equity"","BEST_EPS","BEST_FPERIOD_OVERRIDE","25Y"))^(1/3)-1,"")</f>
        <v/>
      </c>
      <c r="Q99" s="97">
        <f>BDP("=A99&amp;" US Equity"","CHG_PCT_YTD")/100</f>
        <v/>
      </c>
      <c r="T99" s="68">
        <f>IF(AND(F99&lt;&gt;"",O99&lt;&gt;"",O99&lt;&gt;0),F99/(O99*100),"")</f>
        <v/>
      </c>
      <c r="AB99" s="93">
        <f>BDP("=A99&amp;" US Equity"","TRAIL_12M_OPER_INC")</f>
        <v/>
      </c>
      <c r="AC99" s="93">
        <f>BDP("=A99&amp;" US Equity"","SHORT_AND_LONG_TERM_DEBT")</f>
        <v/>
      </c>
      <c r="AD99" s="93">
        <f>BDP("=A99&amp;" US Equity"","TOTAL_EQUITY")</f>
        <v/>
      </c>
      <c r="AE99" s="93">
        <f>BDP("=A99&amp;" US Equity"","BS_CASH_NEAR_CASH_ITEM")</f>
        <v/>
      </c>
      <c r="AF99" s="99">
        <f>BDP("=A99&amp;" US Equity"","BS_LT_INVEST")</f>
        <v/>
      </c>
      <c r="AG99" s="15">
        <f>AC99+AD99</f>
        <v/>
      </c>
      <c r="AH99" s="100">
        <f>BDP("=A99&amp;" US Equity"","RETURN_ON_INV_CAPITAL")/100</f>
        <v/>
      </c>
      <c r="AJ99" s="93">
        <f>BDP("=A99&amp;" US Equity"","BEST_EPS","BEST_FPERIOD_OVERRIDE","24Y")</f>
        <v/>
      </c>
      <c r="AK99" s="93">
        <f>BDP("=A99&amp;" US Equity"","BEST_EPS","BEST_FPERIOD_OVERRIDE","25Y")</f>
        <v/>
      </c>
      <c r="AL99" s="93">
        <f>BDP("=A99&amp;" US Equity"","BEST_EPS","BEST_FPERIOD_OVERRIDE","26Y")</f>
        <v/>
      </c>
      <c r="AM99" s="93">
        <f>BDP("=A99&amp;" US Equity"","BEST_EPS","BEST_FPERIOD_OVERRIDE","27Y")</f>
        <v/>
      </c>
      <c r="AN99" s="93">
        <f>BDP("=A99&amp;" US Equity"","BEST_EPS","BEST_FPERIOD_OVERRIDE","28Y")</f>
        <v/>
      </c>
      <c r="AP99" s="93">
        <f>BDP("=A99&amp;" US Equity"","BEST_SALES","BEST_FPERIOD_OVERRIDE","24Y")</f>
        <v/>
      </c>
      <c r="AQ99" s="93">
        <f>BDP("=A99&amp;" US Equity"","BEST_SALES","BEST_FPERIOD_OVERRIDE","25Y")</f>
        <v/>
      </c>
      <c r="AR99" s="93">
        <f>BDP("=A99&amp;" US Equity"","BEST_SALES","BEST_FPERIOD_OVERRIDE","26Y")</f>
        <v/>
      </c>
      <c r="AS99" s="93">
        <f>BDP("=A99&amp;" US Equity"","BEST_SALES","BEST_FPERIOD_OVERRIDE","27Y")</f>
        <v/>
      </c>
      <c r="AT99" s="93">
        <f>BDP("=A99&amp;" US Equity"","BEST_SALES","BEST_FPERIOD_OVERRIDE","28Y")</f>
        <v/>
      </c>
      <c r="AV99" s="93">
        <f>BDP("=A99&amp;" US Equity"","BEST_EBIT","BEST_FPERIOD_OVERRIDE","24Y")</f>
        <v/>
      </c>
      <c r="AW99" s="93">
        <f>BDP("=A99&amp;" US Equity"","BEST_EBIT","BEST_FPERIOD_OVERRIDE","25Y")</f>
        <v/>
      </c>
      <c r="AX99" s="93">
        <f>BDP("=A99&amp;" US Equity"","BEST_EBIT","BEST_FPERIOD_OVERRIDE","26Y")</f>
        <v/>
      </c>
      <c r="AY99" s="93">
        <f>BDP("=A99&amp;" US Equity"","BEST_EBIT","BEST_FPERIOD_OVERRIDE","27Y")</f>
        <v/>
      </c>
      <c r="AZ99" s="93">
        <f>BDP("=A99&amp;" US Equity"","BEST_EBIT","BEST_FPERIOD_OVERRIDE","28Y")</f>
        <v/>
      </c>
      <c r="BB99" s="68">
        <f>D99+BC99</f>
        <v/>
      </c>
      <c r="BC99" s="68">
        <f>AC99-AE99</f>
        <v/>
      </c>
      <c r="BD99" s="15">
        <f>D99</f>
        <v/>
      </c>
      <c r="BE99" s="99">
        <f>BDP("=A99&amp;" US Equity"","TRAIL_12M_EBITDA")</f>
        <v/>
      </c>
    </row>
    <row r="100">
      <c r="A100" t="inlineStr">
        <is>
          <t>ORCL</t>
        </is>
      </c>
      <c r="B100">
        <f>A100&amp;" US Equity"</f>
        <v/>
      </c>
      <c r="C100" s="15" t="inlineStr">
        <is>
          <t>Dec</t>
        </is>
      </c>
      <c r="D100" s="93">
        <f>BDP("=A100&amp;" US Equity"","CUR_MKT_CAP")/1000000000</f>
        <v/>
      </c>
      <c r="E100" s="94">
        <f>BDP("=A100&amp;" US Equity"","PX_LAST")</f>
        <v/>
      </c>
      <c r="F100" s="95">
        <f>IF(BDP("=A100&amp;" US Equity"","BEST_EPS","BEST_FPERIOD_OVERRIDE","26Y")&lt;&gt;0,$E$100/BDP("=A100&amp;" US Equity"","BEST_EPS","BEST_FPERIOD_OVERRIDE","26Y"),"")</f>
        <v/>
      </c>
      <c r="G100" s="95">
        <f>IF(BDP("=A100&amp;" US Equity"","BEST_EPS","BEST_FPERIOD_OVERRIDE","27Y")&lt;&gt;0,$E$100/BDP("=A100&amp;" US Equity"","BEST_EPS","BEST_FPERIOD_OVERRIDE","27Y"),"")</f>
        <v/>
      </c>
      <c r="H100" s="95">
        <f>IF(BDP("=A100&amp;" US Equity"","BEST_EPS","BEST_FPERIOD_OVERRIDE","28Y")&lt;&gt;0,$E$100/BDP("=A100&amp;" US Equity"","BEST_EPS","BEST_FPERIOD_OVERRIDE","28Y"),"")</f>
        <v/>
      </c>
      <c r="I100" s="96">
        <f>BDP("=A100&amp;" US Equity"","NET_DEBT_TO_EBITDA")</f>
        <v/>
      </c>
      <c r="J100" s="93">
        <f>BDP("=A100&amp;" US Equity"","BEST_SALES","BEST_FPERIOD_OVERRIDE","26Y")/1000</f>
        <v/>
      </c>
      <c r="K100" s="97">
        <f>IF(BDP("=A100&amp;" US Equity"","BEST_SALES","BEST_FPERIOD_OVERRIDE","26Y")&lt;&gt;0,BDP("=A100&amp;" US Equity"","BEST_EBIT","BEST_FPERIOD_OVERRIDE","26Y")/BDP("=A100&amp;" US Equity"","BEST_SALES","BEST_FPERIOD_OVERRIDE","26Y"),"")</f>
        <v/>
      </c>
      <c r="L100" s="97">
        <f>BDP("=A100&amp;" US Equity"","RETURN_ON_INV_CAPITAL")/100</f>
        <v/>
      </c>
      <c r="M100" s="97">
        <f>IF(AND(BDP("=A100&amp;" US Equity"","BEST_SALES","BEST_FPERIOD_OVERRIDE","25Y")&gt;0,BDP("=A100&amp;" US Equity"","BEST_SALES","BEST_FPERIOD_OVERRIDE","28Y")&gt;0),(BDP("=A100&amp;" US Equity"","BEST_SALES","BEST_FPERIOD_OVERRIDE","28Y")/BDP("=A100&amp;" US Equity"","BEST_SALES","BEST_FPERIOD_OVERRIDE","25Y"))^(1/3)-1,"")</f>
        <v/>
      </c>
      <c r="N100" s="97">
        <f>IF(AND(BDP("=A100&amp;" US Equity"","BEST_EBIT","BEST_FPERIOD_OVERRIDE","25Y")&gt;0,BDP("=A100&amp;" US Equity"","BEST_EBIT","BEST_FPERIOD_OVERRIDE","28Y")&gt;0),(BDP("=A100&amp;" US Equity"","BEST_EBIT","BEST_FPERIOD_OVERRIDE","28Y")/BDP("=A100&amp;" US Equity"","BEST_EBIT","BEST_FPERIOD_OVERRIDE","25Y"))^(1/3)-1,"")</f>
        <v/>
      </c>
      <c r="O100" s="97">
        <f>IF(AND(BDP("=A100&amp;" US Equity"","BEST_EPS","BEST_FPERIOD_OVERRIDE","25Y")&gt;0,BDP("=A100&amp;" US Equity"","BEST_EPS","BEST_FPERIOD_OVERRIDE","28Y")&gt;0),(BDP("=A100&amp;" US Equity"","BEST_EPS","BEST_FPERIOD_OVERRIDE","28Y")/BDP("=A100&amp;" US Equity"","BEST_EPS","BEST_FPERIOD_OVERRIDE","25Y"))^(1/3)-1,"")</f>
        <v/>
      </c>
      <c r="Q100" s="97">
        <f>BDP("=A100&amp;" US Equity"","CHG_PCT_YTD")/100</f>
        <v/>
      </c>
      <c r="T100" s="68">
        <f>IF(AND(F100&lt;&gt;"",O100&lt;&gt;"",O100&lt;&gt;0),F100/(O100*100),"")</f>
        <v/>
      </c>
      <c r="AB100" s="93">
        <f>BDP("=A100&amp;" US Equity"","TRAIL_12M_OPER_INC")</f>
        <v/>
      </c>
      <c r="AC100" s="93">
        <f>BDP("=A100&amp;" US Equity"","SHORT_AND_LONG_TERM_DEBT")</f>
        <v/>
      </c>
      <c r="AD100" s="93">
        <f>BDP("=A100&amp;" US Equity"","TOTAL_EQUITY")</f>
        <v/>
      </c>
      <c r="AE100" s="93">
        <f>BDP("=A100&amp;" US Equity"","BS_CASH_NEAR_CASH_ITEM")</f>
        <v/>
      </c>
      <c r="AF100" s="99">
        <f>BDP("=A100&amp;" US Equity"","BS_LT_INVEST")</f>
        <v/>
      </c>
      <c r="AG100" s="15">
        <f>AC100+AD100</f>
        <v/>
      </c>
      <c r="AH100" s="100">
        <f>BDP("=A100&amp;" US Equity"","RETURN_ON_INV_CAPITAL")/100</f>
        <v/>
      </c>
      <c r="AJ100" s="93">
        <f>BDP("=A100&amp;" US Equity"","BEST_EPS","BEST_FPERIOD_OVERRIDE","24Y")</f>
        <v/>
      </c>
      <c r="AK100" s="93">
        <f>BDP("=A100&amp;" US Equity"","BEST_EPS","BEST_FPERIOD_OVERRIDE","25Y")</f>
        <v/>
      </c>
      <c r="AL100" s="93">
        <f>BDP("=A100&amp;" US Equity"","BEST_EPS","BEST_FPERIOD_OVERRIDE","26Y")</f>
        <v/>
      </c>
      <c r="AM100" s="93">
        <f>BDP("=A100&amp;" US Equity"","BEST_EPS","BEST_FPERIOD_OVERRIDE","27Y")</f>
        <v/>
      </c>
      <c r="AN100" s="93">
        <f>BDP("=A100&amp;" US Equity"","BEST_EPS","BEST_FPERIOD_OVERRIDE","28Y")</f>
        <v/>
      </c>
      <c r="AP100" s="93">
        <f>BDP("=A100&amp;" US Equity"","BEST_SALES","BEST_FPERIOD_OVERRIDE","24Y")</f>
        <v/>
      </c>
      <c r="AQ100" s="93">
        <f>BDP("=A100&amp;" US Equity"","BEST_SALES","BEST_FPERIOD_OVERRIDE","25Y")</f>
        <v/>
      </c>
      <c r="AR100" s="93">
        <f>BDP("=A100&amp;" US Equity"","BEST_SALES","BEST_FPERIOD_OVERRIDE","26Y")</f>
        <v/>
      </c>
      <c r="AS100" s="93">
        <f>BDP("=A100&amp;" US Equity"","BEST_SALES","BEST_FPERIOD_OVERRIDE","27Y")</f>
        <v/>
      </c>
      <c r="AT100" s="93">
        <f>BDP("=A100&amp;" US Equity"","BEST_SALES","BEST_FPERIOD_OVERRIDE","28Y")</f>
        <v/>
      </c>
      <c r="AV100" s="93">
        <f>BDP("=A100&amp;" US Equity"","BEST_EBIT","BEST_FPERIOD_OVERRIDE","24Y")</f>
        <v/>
      </c>
      <c r="AW100" s="93">
        <f>BDP("=A100&amp;" US Equity"","BEST_EBIT","BEST_FPERIOD_OVERRIDE","25Y")</f>
        <v/>
      </c>
      <c r="AX100" s="93">
        <f>BDP("=A100&amp;" US Equity"","BEST_EBIT","BEST_FPERIOD_OVERRIDE","26Y")</f>
        <v/>
      </c>
      <c r="AY100" s="93">
        <f>BDP("=A100&amp;" US Equity"","BEST_EBIT","BEST_FPERIOD_OVERRIDE","27Y")</f>
        <v/>
      </c>
      <c r="AZ100" s="93">
        <f>BDP("=A100&amp;" US Equity"","BEST_EBIT","BEST_FPERIOD_OVERRIDE","28Y")</f>
        <v/>
      </c>
      <c r="BB100" s="68">
        <f>D100+BC100</f>
        <v/>
      </c>
      <c r="BC100" s="68">
        <f>AC100-AE100</f>
        <v/>
      </c>
      <c r="BD100" s="15">
        <f>D100</f>
        <v/>
      </c>
      <c r="BE100" s="99">
        <f>BDP("=A100&amp;" US Equity"","TRAIL_12M_EBITDA")</f>
        <v/>
      </c>
    </row>
    <row r="101">
      <c r="A101" t="inlineStr">
        <is>
          <t>CRM</t>
        </is>
      </c>
      <c r="B101">
        <f>A101&amp;" US Equity"</f>
        <v/>
      </c>
      <c r="C101" s="15" t="inlineStr">
        <is>
          <t>Dec</t>
        </is>
      </c>
      <c r="D101" s="93">
        <f>BDP("=A101&amp;" US Equity"","CUR_MKT_CAP")/1000000000</f>
        <v/>
      </c>
      <c r="E101" s="94">
        <f>BDP("=A101&amp;" US Equity"","PX_LAST")</f>
        <v/>
      </c>
      <c r="F101" s="95">
        <f>IF(BDP("=A101&amp;" US Equity"","BEST_EPS","BEST_FPERIOD_OVERRIDE","26Y")&lt;&gt;0,$E$101/BDP("=A101&amp;" US Equity"","BEST_EPS","BEST_FPERIOD_OVERRIDE","26Y"),"")</f>
        <v/>
      </c>
      <c r="G101" s="95">
        <f>IF(BDP("=A101&amp;" US Equity"","BEST_EPS","BEST_FPERIOD_OVERRIDE","27Y")&lt;&gt;0,$E$101/BDP("=A101&amp;" US Equity"","BEST_EPS","BEST_FPERIOD_OVERRIDE","27Y"),"")</f>
        <v/>
      </c>
      <c r="H101" s="95">
        <f>IF(BDP("=A101&amp;" US Equity"","BEST_EPS","BEST_FPERIOD_OVERRIDE","28Y")&lt;&gt;0,$E$101/BDP("=A101&amp;" US Equity"","BEST_EPS","BEST_FPERIOD_OVERRIDE","28Y"),"")</f>
        <v/>
      </c>
      <c r="I101" s="96">
        <f>BDP("=A101&amp;" US Equity"","NET_DEBT_TO_EBITDA")</f>
        <v/>
      </c>
      <c r="J101" s="93">
        <f>BDP("=A101&amp;" US Equity"","BEST_SALES","BEST_FPERIOD_OVERRIDE","26Y")/1000</f>
        <v/>
      </c>
      <c r="K101" s="97">
        <f>IF(BDP("=A101&amp;" US Equity"","BEST_SALES","BEST_FPERIOD_OVERRIDE","26Y")&lt;&gt;0,BDP("=A101&amp;" US Equity"","BEST_EBIT","BEST_FPERIOD_OVERRIDE","26Y")/BDP("=A101&amp;" US Equity"","BEST_SALES","BEST_FPERIOD_OVERRIDE","26Y"),"")</f>
        <v/>
      </c>
      <c r="L101" s="97">
        <f>BDP("=A101&amp;" US Equity"","RETURN_ON_INV_CAPITAL")/100</f>
        <v/>
      </c>
      <c r="M101" s="97">
        <f>IF(AND(BDP("=A101&amp;" US Equity"","BEST_SALES","BEST_FPERIOD_OVERRIDE","25Y")&gt;0,BDP("=A101&amp;" US Equity"","BEST_SALES","BEST_FPERIOD_OVERRIDE","28Y")&gt;0),(BDP("=A101&amp;" US Equity"","BEST_SALES","BEST_FPERIOD_OVERRIDE","28Y")/BDP("=A101&amp;" US Equity"","BEST_SALES","BEST_FPERIOD_OVERRIDE","25Y"))^(1/3)-1,"")</f>
        <v/>
      </c>
      <c r="N101" s="97">
        <f>IF(AND(BDP("=A101&amp;" US Equity"","BEST_EBIT","BEST_FPERIOD_OVERRIDE","25Y")&gt;0,BDP("=A101&amp;" US Equity"","BEST_EBIT","BEST_FPERIOD_OVERRIDE","28Y")&gt;0),(BDP("=A101&amp;" US Equity"","BEST_EBIT","BEST_FPERIOD_OVERRIDE","28Y")/BDP("=A101&amp;" US Equity"","BEST_EBIT","BEST_FPERIOD_OVERRIDE","25Y"))^(1/3)-1,"")</f>
        <v/>
      </c>
      <c r="O101" s="97">
        <f>IF(AND(BDP("=A101&amp;" US Equity"","BEST_EPS","BEST_FPERIOD_OVERRIDE","25Y")&gt;0,BDP("=A101&amp;" US Equity"","BEST_EPS","BEST_FPERIOD_OVERRIDE","28Y")&gt;0),(BDP("=A101&amp;" US Equity"","BEST_EPS","BEST_FPERIOD_OVERRIDE","28Y")/BDP("=A101&amp;" US Equity"","BEST_EPS","BEST_FPERIOD_OVERRIDE","25Y"))^(1/3)-1,"")</f>
        <v/>
      </c>
      <c r="Q101" s="97">
        <f>BDP("=A101&amp;" US Equity"","CHG_PCT_YTD")/100</f>
        <v/>
      </c>
      <c r="T101" s="68">
        <f>IF(AND(F101&lt;&gt;"",O101&lt;&gt;"",O101&lt;&gt;0),F101/(O101*100),"")</f>
        <v/>
      </c>
      <c r="AB101" s="93">
        <f>BDP("=A101&amp;" US Equity"","TRAIL_12M_OPER_INC")</f>
        <v/>
      </c>
      <c r="AC101" s="93">
        <f>BDP("=A101&amp;" US Equity"","SHORT_AND_LONG_TERM_DEBT")</f>
        <v/>
      </c>
      <c r="AD101" s="93">
        <f>BDP("=A101&amp;" US Equity"","TOTAL_EQUITY")</f>
        <v/>
      </c>
      <c r="AE101" s="93">
        <f>BDP("=A101&amp;" US Equity"","BS_CASH_NEAR_CASH_ITEM")</f>
        <v/>
      </c>
      <c r="AF101" s="99">
        <f>BDP("=A101&amp;" US Equity"","BS_LT_INVEST")</f>
        <v/>
      </c>
      <c r="AG101" s="15">
        <f>AC101+AD101</f>
        <v/>
      </c>
      <c r="AH101" s="100">
        <f>BDP("=A101&amp;" US Equity"","RETURN_ON_INV_CAPITAL")/100</f>
        <v/>
      </c>
      <c r="AJ101" s="93">
        <f>BDP("=A101&amp;" US Equity"","BEST_EPS","BEST_FPERIOD_OVERRIDE","24Y")</f>
        <v/>
      </c>
      <c r="AK101" s="93">
        <f>BDP("=A101&amp;" US Equity"","BEST_EPS","BEST_FPERIOD_OVERRIDE","25Y")</f>
        <v/>
      </c>
      <c r="AL101" s="93">
        <f>BDP("=A101&amp;" US Equity"","BEST_EPS","BEST_FPERIOD_OVERRIDE","26Y")</f>
        <v/>
      </c>
      <c r="AM101" s="93">
        <f>BDP("=A101&amp;" US Equity"","BEST_EPS","BEST_FPERIOD_OVERRIDE","27Y")</f>
        <v/>
      </c>
      <c r="AN101" s="93">
        <f>BDP("=A101&amp;" US Equity"","BEST_EPS","BEST_FPERIOD_OVERRIDE","28Y")</f>
        <v/>
      </c>
      <c r="AP101" s="93">
        <f>BDP("=A101&amp;" US Equity"","BEST_SALES","BEST_FPERIOD_OVERRIDE","24Y")</f>
        <v/>
      </c>
      <c r="AQ101" s="93">
        <f>BDP("=A101&amp;" US Equity"","BEST_SALES","BEST_FPERIOD_OVERRIDE","25Y")</f>
        <v/>
      </c>
      <c r="AR101" s="93">
        <f>BDP("=A101&amp;" US Equity"","BEST_SALES","BEST_FPERIOD_OVERRIDE","26Y")</f>
        <v/>
      </c>
      <c r="AS101" s="93">
        <f>BDP("=A101&amp;" US Equity"","BEST_SALES","BEST_FPERIOD_OVERRIDE","27Y")</f>
        <v/>
      </c>
      <c r="AT101" s="93">
        <f>BDP("=A101&amp;" US Equity"","BEST_SALES","BEST_FPERIOD_OVERRIDE","28Y")</f>
        <v/>
      </c>
      <c r="AV101" s="93">
        <f>BDP("=A101&amp;" US Equity"","BEST_EBIT","BEST_FPERIOD_OVERRIDE","24Y")</f>
        <v/>
      </c>
      <c r="AW101" s="93">
        <f>BDP("=A101&amp;" US Equity"","BEST_EBIT","BEST_FPERIOD_OVERRIDE","25Y")</f>
        <v/>
      </c>
      <c r="AX101" s="93">
        <f>BDP("=A101&amp;" US Equity"","BEST_EBIT","BEST_FPERIOD_OVERRIDE","26Y")</f>
        <v/>
      </c>
      <c r="AY101" s="93">
        <f>BDP("=A101&amp;" US Equity"","BEST_EBIT","BEST_FPERIOD_OVERRIDE","27Y")</f>
        <v/>
      </c>
      <c r="AZ101" s="93">
        <f>BDP("=A101&amp;" US Equity"","BEST_EBIT","BEST_FPERIOD_OVERRIDE","28Y")</f>
        <v/>
      </c>
      <c r="BB101" s="68">
        <f>D101+BC101</f>
        <v/>
      </c>
      <c r="BC101" s="68">
        <f>AC101-AE101</f>
        <v/>
      </c>
      <c r="BD101" s="15">
        <f>D101</f>
        <v/>
      </c>
      <c r="BE101" s="99">
        <f>BDP("=A101&amp;" US Equity"","TRAIL_12M_EBITDA")</f>
        <v/>
      </c>
    </row>
    <row r="102">
      <c r="A102" t="inlineStr">
        <is>
          <t>GWRE</t>
        </is>
      </c>
      <c r="B102">
        <f>A102&amp;" US Equity"</f>
        <v/>
      </c>
      <c r="C102" s="15" t="inlineStr">
        <is>
          <t>Dec</t>
        </is>
      </c>
      <c r="D102" s="93">
        <f>BDP("=A102&amp;" US Equity"","CUR_MKT_CAP")/1000000000</f>
        <v/>
      </c>
      <c r="E102" s="94">
        <f>BDP("=A102&amp;" US Equity"","PX_LAST")</f>
        <v/>
      </c>
      <c r="F102" s="95">
        <f>IF(BDP("=A102&amp;" US Equity"","BEST_EPS","BEST_FPERIOD_OVERRIDE","26Y")&lt;&gt;0,$E$102/BDP("=A102&amp;" US Equity"","BEST_EPS","BEST_FPERIOD_OVERRIDE","26Y"),"")</f>
        <v/>
      </c>
      <c r="G102" s="95">
        <f>IF(BDP("=A102&amp;" US Equity"","BEST_EPS","BEST_FPERIOD_OVERRIDE","27Y")&lt;&gt;0,$E$102/BDP("=A102&amp;" US Equity"","BEST_EPS","BEST_FPERIOD_OVERRIDE","27Y"),"")</f>
        <v/>
      </c>
      <c r="H102" s="95">
        <f>IF(BDP("=A102&amp;" US Equity"","BEST_EPS","BEST_FPERIOD_OVERRIDE","28Y")&lt;&gt;0,$E$102/BDP("=A102&amp;" US Equity"","BEST_EPS","BEST_FPERIOD_OVERRIDE","28Y"),"")</f>
        <v/>
      </c>
      <c r="I102" s="93">
        <f>BDP("=A102&amp;" US Equity"","NET_DEBT_TO_EBITDA")</f>
        <v/>
      </c>
      <c r="J102" s="93">
        <f>BDP("=A102&amp;" US Equity"","BEST_SALES","BEST_FPERIOD_OVERRIDE","26Y")/1000</f>
        <v/>
      </c>
      <c r="K102" s="97">
        <f>IF(BDP("=A102&amp;" US Equity"","BEST_SALES","BEST_FPERIOD_OVERRIDE","26Y")&lt;&gt;0,BDP("=A102&amp;" US Equity"","BEST_EBIT","BEST_FPERIOD_OVERRIDE","26Y")/BDP("=A102&amp;" US Equity"","BEST_SALES","BEST_FPERIOD_OVERRIDE","26Y"),"")</f>
        <v/>
      </c>
      <c r="L102" s="97">
        <f>BDP("=A102&amp;" US Equity"","RETURN_ON_INV_CAPITAL")/100</f>
        <v/>
      </c>
      <c r="M102" s="97">
        <f>IF(AND(BDP("=A102&amp;" US Equity"","BEST_SALES","BEST_FPERIOD_OVERRIDE","25Y")&gt;0,BDP("=A102&amp;" US Equity"","BEST_SALES","BEST_FPERIOD_OVERRIDE","28Y")&gt;0),(BDP("=A102&amp;" US Equity"","BEST_SALES","BEST_FPERIOD_OVERRIDE","28Y")/BDP("=A102&amp;" US Equity"","BEST_SALES","BEST_FPERIOD_OVERRIDE","25Y"))^(1/3)-1,"")</f>
        <v/>
      </c>
      <c r="N102" s="97">
        <f>IF(AND(BDP("=A102&amp;" US Equity"","BEST_EBIT","BEST_FPERIOD_OVERRIDE","25Y")&gt;0,BDP("=A102&amp;" US Equity"","BEST_EBIT","BEST_FPERIOD_OVERRIDE","28Y")&gt;0),(BDP("=A102&amp;" US Equity"","BEST_EBIT","BEST_FPERIOD_OVERRIDE","28Y")/BDP("=A102&amp;" US Equity"","BEST_EBIT","BEST_FPERIOD_OVERRIDE","25Y"))^(1/3)-1,"")</f>
        <v/>
      </c>
      <c r="O102" s="97">
        <f>IF(AND(BDP("=A102&amp;" US Equity"","BEST_EPS","BEST_FPERIOD_OVERRIDE","25Y")&gt;0,BDP("=A102&amp;" US Equity"","BEST_EPS","BEST_FPERIOD_OVERRIDE","28Y")&gt;0),(BDP("=A102&amp;" US Equity"","BEST_EPS","BEST_FPERIOD_OVERRIDE","28Y")/BDP("=A102&amp;" US Equity"","BEST_EPS","BEST_FPERIOD_OVERRIDE","25Y"))^(1/3)-1,"")</f>
        <v/>
      </c>
      <c r="Q102" s="97">
        <f>BDP("=A102&amp;" US Equity"","CHG_PCT_YTD")/100</f>
        <v/>
      </c>
      <c r="T102" s="68">
        <f>IF(AND(F102&lt;&gt;"",O102&lt;&gt;"",O102&lt;&gt;0),F102/(O102*100),"")</f>
        <v/>
      </c>
      <c r="AB102" s="93">
        <f>BDP("=A102&amp;" US Equity"","TRAIL_12M_OPER_INC")</f>
        <v/>
      </c>
      <c r="AC102" s="93">
        <f>BDP("=A102&amp;" US Equity"","SHORT_AND_LONG_TERM_DEBT")</f>
        <v/>
      </c>
      <c r="AD102" s="93">
        <f>BDP("=A102&amp;" US Equity"","TOTAL_EQUITY")</f>
        <v/>
      </c>
      <c r="AE102" s="93">
        <f>BDP("=A102&amp;" US Equity"","BS_CASH_NEAR_CASH_ITEM")</f>
        <v/>
      </c>
      <c r="AF102" s="99">
        <f>BDP("=A102&amp;" US Equity"","BS_LT_INVEST")</f>
        <v/>
      </c>
      <c r="AG102" s="15">
        <f>AC102+AD102</f>
        <v/>
      </c>
      <c r="AH102" s="100">
        <f>BDP("=A102&amp;" US Equity"","RETURN_ON_INV_CAPITAL")/100</f>
        <v/>
      </c>
      <c r="AJ102" s="93">
        <f>BDP("=A102&amp;" US Equity"","BEST_EPS","BEST_FPERIOD_OVERRIDE","24Y")</f>
        <v/>
      </c>
      <c r="AK102" s="93">
        <f>BDP("=A102&amp;" US Equity"","BEST_EPS","BEST_FPERIOD_OVERRIDE","25Y")</f>
        <v/>
      </c>
      <c r="AL102" s="93">
        <f>BDP("=A102&amp;" US Equity"","BEST_EPS","BEST_FPERIOD_OVERRIDE","26Y")</f>
        <v/>
      </c>
      <c r="AM102" s="93">
        <f>BDP("=A102&amp;" US Equity"","BEST_EPS","BEST_FPERIOD_OVERRIDE","27Y")</f>
        <v/>
      </c>
      <c r="AN102" s="93">
        <f>BDP("=A102&amp;" US Equity"","BEST_EPS","BEST_FPERIOD_OVERRIDE","28Y")</f>
        <v/>
      </c>
      <c r="AP102" s="93">
        <f>BDP("=A102&amp;" US Equity"","BEST_SALES","BEST_FPERIOD_OVERRIDE","24Y")</f>
        <v/>
      </c>
      <c r="AQ102" s="93">
        <f>BDP("=A102&amp;" US Equity"","BEST_SALES","BEST_FPERIOD_OVERRIDE","25Y")</f>
        <v/>
      </c>
      <c r="AR102" s="93">
        <f>BDP("=A102&amp;" US Equity"","BEST_SALES","BEST_FPERIOD_OVERRIDE","26Y")</f>
        <v/>
      </c>
      <c r="AS102" s="93">
        <f>BDP("=A102&amp;" US Equity"","BEST_SALES","BEST_FPERIOD_OVERRIDE","27Y")</f>
        <v/>
      </c>
      <c r="AT102" s="93">
        <f>BDP("=A102&amp;" US Equity"","BEST_SALES","BEST_FPERIOD_OVERRIDE","28Y")</f>
        <v/>
      </c>
      <c r="AV102" s="93">
        <f>BDP("=A102&amp;" US Equity"","BEST_EBIT","BEST_FPERIOD_OVERRIDE","24Y")</f>
        <v/>
      </c>
      <c r="AW102" s="93">
        <f>BDP("=A102&amp;" US Equity"","BEST_EBIT","BEST_FPERIOD_OVERRIDE","25Y")</f>
        <v/>
      </c>
      <c r="AX102" s="93">
        <f>BDP("=A102&amp;" US Equity"","BEST_EBIT","BEST_FPERIOD_OVERRIDE","26Y")</f>
        <v/>
      </c>
      <c r="AY102" s="93">
        <f>BDP("=A102&amp;" US Equity"","BEST_EBIT","BEST_FPERIOD_OVERRIDE","27Y")</f>
        <v/>
      </c>
      <c r="AZ102" s="93">
        <f>BDP("=A102&amp;" US Equity"","BEST_EBIT","BEST_FPERIOD_OVERRIDE","28Y")</f>
        <v/>
      </c>
      <c r="BB102" s="68">
        <f>D102+BC102</f>
        <v/>
      </c>
      <c r="BC102" s="68">
        <f>AC102-AE102</f>
        <v/>
      </c>
      <c r="BD102" s="15">
        <f>D102</f>
        <v/>
      </c>
      <c r="BE102" s="99">
        <f>BDP("=A102&amp;" US Equity"","TRAIL_12M_EBITDA")</f>
        <v/>
      </c>
    </row>
    <row r="103">
      <c r="A103" t="inlineStr">
        <is>
          <t>VEEV</t>
        </is>
      </c>
      <c r="B103">
        <f>A103&amp;" US Equity"</f>
        <v/>
      </c>
      <c r="C103" s="15" t="inlineStr">
        <is>
          <t>Dec</t>
        </is>
      </c>
      <c r="D103" s="93">
        <f>BDP("=A103&amp;" US Equity"","CUR_MKT_CAP")/1000000000</f>
        <v/>
      </c>
      <c r="E103" s="94">
        <f>BDP("=A103&amp;" US Equity"","PX_LAST")</f>
        <v/>
      </c>
      <c r="F103" s="95">
        <f>IF(BDP("=A103&amp;" US Equity"","BEST_EPS","BEST_FPERIOD_OVERRIDE","26Y")&lt;&gt;0,$E$103/BDP("=A103&amp;" US Equity"","BEST_EPS","BEST_FPERIOD_OVERRIDE","26Y"),"")</f>
        <v/>
      </c>
      <c r="G103" s="95">
        <f>IF(BDP("=A103&amp;" US Equity"","BEST_EPS","BEST_FPERIOD_OVERRIDE","27Y")&lt;&gt;0,$E$103/BDP("=A103&amp;" US Equity"","BEST_EPS","BEST_FPERIOD_OVERRIDE","27Y"),"")</f>
        <v/>
      </c>
      <c r="H103" s="95">
        <f>IF(BDP("=A103&amp;" US Equity"","BEST_EPS","BEST_FPERIOD_OVERRIDE","28Y")&lt;&gt;0,$E$103/BDP("=A103&amp;" US Equity"","BEST_EPS","BEST_FPERIOD_OVERRIDE","28Y"),"")</f>
        <v/>
      </c>
      <c r="I103" s="96">
        <f>BDP("=A103&amp;" US Equity"","NET_DEBT_TO_EBITDA")</f>
        <v/>
      </c>
      <c r="J103" s="93">
        <f>BDP("=A103&amp;" US Equity"","BEST_SALES","BEST_FPERIOD_OVERRIDE","26Y")/1000</f>
        <v/>
      </c>
      <c r="K103" s="97">
        <f>IF(BDP("=A103&amp;" US Equity"","BEST_SALES","BEST_FPERIOD_OVERRIDE","26Y")&lt;&gt;0,BDP("=A103&amp;" US Equity"","BEST_EBIT","BEST_FPERIOD_OVERRIDE","26Y")/BDP("=A103&amp;" US Equity"","BEST_SALES","BEST_FPERIOD_OVERRIDE","26Y"),"")</f>
        <v/>
      </c>
      <c r="L103" s="97">
        <f>BDP("=A103&amp;" US Equity"","RETURN_ON_INV_CAPITAL")/100</f>
        <v/>
      </c>
      <c r="M103" s="97">
        <f>IF(AND(BDP("=A103&amp;" US Equity"","BEST_SALES","BEST_FPERIOD_OVERRIDE","25Y")&gt;0,BDP("=A103&amp;" US Equity"","BEST_SALES","BEST_FPERIOD_OVERRIDE","28Y")&gt;0),(BDP("=A103&amp;" US Equity"","BEST_SALES","BEST_FPERIOD_OVERRIDE","28Y")/BDP("=A103&amp;" US Equity"","BEST_SALES","BEST_FPERIOD_OVERRIDE","25Y"))^(1/3)-1,"")</f>
        <v/>
      </c>
      <c r="N103" s="97">
        <f>IF(AND(BDP("=A103&amp;" US Equity"","BEST_EBIT","BEST_FPERIOD_OVERRIDE","25Y")&gt;0,BDP("=A103&amp;" US Equity"","BEST_EBIT","BEST_FPERIOD_OVERRIDE","28Y")&gt;0),(BDP("=A103&amp;" US Equity"","BEST_EBIT","BEST_FPERIOD_OVERRIDE","28Y")/BDP("=A103&amp;" US Equity"","BEST_EBIT","BEST_FPERIOD_OVERRIDE","25Y"))^(1/3)-1,"")</f>
        <v/>
      </c>
      <c r="O103" s="97">
        <f>IF(AND(BDP("=A103&amp;" US Equity"","BEST_EPS","BEST_FPERIOD_OVERRIDE","25Y")&gt;0,BDP("=A103&amp;" US Equity"","BEST_EPS","BEST_FPERIOD_OVERRIDE","28Y")&gt;0),(BDP("=A103&amp;" US Equity"","BEST_EPS","BEST_FPERIOD_OVERRIDE","28Y")/BDP("=A103&amp;" US Equity"","BEST_EPS","BEST_FPERIOD_OVERRIDE","25Y"))^(1/3)-1,"")</f>
        <v/>
      </c>
      <c r="Q103" s="97">
        <f>BDP("=A103&amp;" US Equity"","CHG_PCT_YTD")/100</f>
        <v/>
      </c>
      <c r="T103" s="68">
        <f>IF(AND(F103&lt;&gt;"",O103&lt;&gt;"",O103&lt;&gt;0),F103/(O103*100),"")</f>
        <v/>
      </c>
      <c r="AB103" s="93">
        <f>BDP("=A103&amp;" US Equity"","TRAIL_12M_OPER_INC")</f>
        <v/>
      </c>
      <c r="AC103" s="93">
        <f>BDP("=A103&amp;" US Equity"","SHORT_AND_LONG_TERM_DEBT")</f>
        <v/>
      </c>
      <c r="AD103" s="93">
        <f>BDP("=A103&amp;" US Equity"","TOTAL_EQUITY")</f>
        <v/>
      </c>
      <c r="AE103" s="93">
        <f>BDP("=A103&amp;" US Equity"","BS_CASH_NEAR_CASH_ITEM")</f>
        <v/>
      </c>
      <c r="AF103" s="99">
        <f>BDP("=A103&amp;" US Equity"","BS_LT_INVEST")</f>
        <v/>
      </c>
      <c r="AG103" s="15">
        <f>AC103+AD103</f>
        <v/>
      </c>
      <c r="AH103" s="100">
        <f>BDP("=A103&amp;" US Equity"","RETURN_ON_INV_CAPITAL")/100</f>
        <v/>
      </c>
      <c r="AJ103" s="93">
        <f>BDP("=A103&amp;" US Equity"","BEST_EPS","BEST_FPERIOD_OVERRIDE","24Y")</f>
        <v/>
      </c>
      <c r="AK103" s="93">
        <f>BDP("=A103&amp;" US Equity"","BEST_EPS","BEST_FPERIOD_OVERRIDE","25Y")</f>
        <v/>
      </c>
      <c r="AL103" s="93">
        <f>BDP("=A103&amp;" US Equity"","BEST_EPS","BEST_FPERIOD_OVERRIDE","26Y")</f>
        <v/>
      </c>
      <c r="AM103" s="93">
        <f>BDP("=A103&amp;" US Equity"","BEST_EPS","BEST_FPERIOD_OVERRIDE","27Y")</f>
        <v/>
      </c>
      <c r="AN103" s="93">
        <f>BDP("=A103&amp;" US Equity"","BEST_EPS","BEST_FPERIOD_OVERRIDE","28Y")</f>
        <v/>
      </c>
      <c r="AP103" s="93">
        <f>BDP("=A103&amp;" US Equity"","BEST_SALES","BEST_FPERIOD_OVERRIDE","24Y")</f>
        <v/>
      </c>
      <c r="AQ103" s="93">
        <f>BDP("=A103&amp;" US Equity"","BEST_SALES","BEST_FPERIOD_OVERRIDE","25Y")</f>
        <v/>
      </c>
      <c r="AR103" s="93">
        <f>BDP("=A103&amp;" US Equity"","BEST_SALES","BEST_FPERIOD_OVERRIDE","26Y")</f>
        <v/>
      </c>
      <c r="AS103" s="93">
        <f>BDP("=A103&amp;" US Equity"","BEST_SALES","BEST_FPERIOD_OVERRIDE","27Y")</f>
        <v/>
      </c>
      <c r="AT103" s="93">
        <f>BDP("=A103&amp;" US Equity"","BEST_SALES","BEST_FPERIOD_OVERRIDE","28Y")</f>
        <v/>
      </c>
      <c r="AV103" s="93">
        <f>BDP("=A103&amp;" US Equity"","BEST_EBIT","BEST_FPERIOD_OVERRIDE","24Y")</f>
        <v/>
      </c>
      <c r="AW103" s="93">
        <f>BDP("=A103&amp;" US Equity"","BEST_EBIT","BEST_FPERIOD_OVERRIDE","25Y")</f>
        <v/>
      </c>
      <c r="AX103" s="93">
        <f>BDP("=A103&amp;" US Equity"","BEST_EBIT","BEST_FPERIOD_OVERRIDE","26Y")</f>
        <v/>
      </c>
      <c r="AY103" s="93">
        <f>BDP("=A103&amp;" US Equity"","BEST_EBIT","BEST_FPERIOD_OVERRIDE","27Y")</f>
        <v/>
      </c>
      <c r="AZ103" s="93">
        <f>BDP("=A103&amp;" US Equity"","BEST_EBIT","BEST_FPERIOD_OVERRIDE","28Y")</f>
        <v/>
      </c>
      <c r="BB103" s="68">
        <f>D103+BC103</f>
        <v/>
      </c>
      <c r="BC103" s="68">
        <f>AC103-AE103</f>
        <v/>
      </c>
      <c r="BD103" s="15">
        <f>D103</f>
        <v/>
      </c>
      <c r="BE103" s="99">
        <f>BDP("=A103&amp;" US Equity"","TRAIL_12M_EBITDA")</f>
        <v/>
      </c>
    </row>
    <row r="104">
      <c r="A104" t="inlineStr">
        <is>
          <t>NOW</t>
        </is>
      </c>
      <c r="B104">
        <f>A104&amp;" US Equity"</f>
        <v/>
      </c>
      <c r="C104" s="15" t="inlineStr">
        <is>
          <t>Dec</t>
        </is>
      </c>
      <c r="D104" s="93">
        <f>BDP("=A104&amp;" US Equity"","CUR_MKT_CAP")/1000000000</f>
        <v/>
      </c>
      <c r="E104" s="94">
        <f>BDP("=A104&amp;" US Equity"","PX_LAST")</f>
        <v/>
      </c>
      <c r="F104" s="95">
        <f>IF(BDP("=A104&amp;" US Equity"","BEST_EPS","BEST_FPERIOD_OVERRIDE","26Y")&lt;&gt;0,$E$104/BDP("=A104&amp;" US Equity"","BEST_EPS","BEST_FPERIOD_OVERRIDE","26Y"),"")</f>
        <v/>
      </c>
      <c r="G104" s="95">
        <f>IF(BDP("=A104&amp;" US Equity"","BEST_EPS","BEST_FPERIOD_OVERRIDE","27Y")&lt;&gt;0,$E$104/BDP("=A104&amp;" US Equity"","BEST_EPS","BEST_FPERIOD_OVERRIDE","27Y"),"")</f>
        <v/>
      </c>
      <c r="H104" s="95">
        <f>IF(BDP("=A104&amp;" US Equity"","BEST_EPS","BEST_FPERIOD_OVERRIDE","28Y")&lt;&gt;0,$E$104/BDP("=A104&amp;" US Equity"","BEST_EPS","BEST_FPERIOD_OVERRIDE","28Y"),"")</f>
        <v/>
      </c>
      <c r="I104" s="96">
        <f>BDP("=A104&amp;" US Equity"","NET_DEBT_TO_EBITDA")</f>
        <v/>
      </c>
      <c r="J104" s="93">
        <f>BDP("=A104&amp;" US Equity"","BEST_SALES","BEST_FPERIOD_OVERRIDE","26Y")/1000</f>
        <v/>
      </c>
      <c r="K104" s="97">
        <f>IF(BDP("=A104&amp;" US Equity"","BEST_SALES","BEST_FPERIOD_OVERRIDE","26Y")&lt;&gt;0,BDP("=A104&amp;" US Equity"","BEST_EBIT","BEST_FPERIOD_OVERRIDE","26Y")/BDP("=A104&amp;" US Equity"","BEST_SALES","BEST_FPERIOD_OVERRIDE","26Y"),"")</f>
        <v/>
      </c>
      <c r="L104" s="97">
        <f>BDP("=A104&amp;" US Equity"","RETURN_ON_INV_CAPITAL")/100</f>
        <v/>
      </c>
      <c r="M104" s="97">
        <f>IF(AND(BDP("=A104&amp;" US Equity"","BEST_SALES","BEST_FPERIOD_OVERRIDE","25Y")&gt;0,BDP("=A104&amp;" US Equity"","BEST_SALES","BEST_FPERIOD_OVERRIDE","28Y")&gt;0),(BDP("=A104&amp;" US Equity"","BEST_SALES","BEST_FPERIOD_OVERRIDE","28Y")/BDP("=A104&amp;" US Equity"","BEST_SALES","BEST_FPERIOD_OVERRIDE","25Y"))^(1/3)-1,"")</f>
        <v/>
      </c>
      <c r="N104" s="97">
        <f>IF(AND(BDP("=A104&amp;" US Equity"","BEST_EBIT","BEST_FPERIOD_OVERRIDE","25Y")&gt;0,BDP("=A104&amp;" US Equity"","BEST_EBIT","BEST_FPERIOD_OVERRIDE","28Y")&gt;0),(BDP("=A104&amp;" US Equity"","BEST_EBIT","BEST_FPERIOD_OVERRIDE","28Y")/BDP("=A104&amp;" US Equity"","BEST_EBIT","BEST_FPERIOD_OVERRIDE","25Y"))^(1/3)-1,"")</f>
        <v/>
      </c>
      <c r="O104" s="97">
        <f>IF(AND(BDP("=A104&amp;" US Equity"","BEST_EPS","BEST_FPERIOD_OVERRIDE","25Y")&gt;0,BDP("=A104&amp;" US Equity"","BEST_EPS","BEST_FPERIOD_OVERRIDE","28Y")&gt;0),(BDP("=A104&amp;" US Equity"","BEST_EPS","BEST_FPERIOD_OVERRIDE","28Y")/BDP("=A104&amp;" US Equity"","BEST_EPS","BEST_FPERIOD_OVERRIDE","25Y"))^(1/3)-1,"")</f>
        <v/>
      </c>
      <c r="Q104" s="97">
        <f>BDP("=A104&amp;" US Equity"","CHG_PCT_YTD")/100</f>
        <v/>
      </c>
      <c r="T104" s="68">
        <f>IF(AND(F104&lt;&gt;"",O104&lt;&gt;"",O104&lt;&gt;0),F104/(O104*100),"")</f>
        <v/>
      </c>
      <c r="AB104" s="93">
        <f>BDP("=A104&amp;" US Equity"","TRAIL_12M_OPER_INC")</f>
        <v/>
      </c>
      <c r="AC104" s="93">
        <f>BDP("=A104&amp;" US Equity"","SHORT_AND_LONG_TERM_DEBT")</f>
        <v/>
      </c>
      <c r="AD104" s="93">
        <f>BDP("=A104&amp;" US Equity"","TOTAL_EQUITY")</f>
        <v/>
      </c>
      <c r="AE104" s="93">
        <f>BDP("=A104&amp;" US Equity"","BS_CASH_NEAR_CASH_ITEM")</f>
        <v/>
      </c>
      <c r="AF104" s="99">
        <f>BDP("=A104&amp;" US Equity"","BS_LT_INVEST")</f>
        <v/>
      </c>
      <c r="AG104" s="15">
        <f>AC104+AD104</f>
        <v/>
      </c>
      <c r="AH104" s="100">
        <f>BDP("=A104&amp;" US Equity"","RETURN_ON_INV_CAPITAL")/100</f>
        <v/>
      </c>
      <c r="AJ104" s="93">
        <f>BDP("=A104&amp;" US Equity"","BEST_EPS","BEST_FPERIOD_OVERRIDE","24Y")</f>
        <v/>
      </c>
      <c r="AK104" s="93">
        <f>BDP("=A104&amp;" US Equity"","BEST_EPS","BEST_FPERIOD_OVERRIDE","25Y")</f>
        <v/>
      </c>
      <c r="AL104" s="93">
        <f>BDP("=A104&amp;" US Equity"","BEST_EPS","BEST_FPERIOD_OVERRIDE","26Y")</f>
        <v/>
      </c>
      <c r="AM104" s="93">
        <f>BDP("=A104&amp;" US Equity"","BEST_EPS","BEST_FPERIOD_OVERRIDE","27Y")</f>
        <v/>
      </c>
      <c r="AN104" s="93">
        <f>BDP("=A104&amp;" US Equity"","BEST_EPS","BEST_FPERIOD_OVERRIDE","28Y")</f>
        <v/>
      </c>
      <c r="AP104" s="93">
        <f>BDP("=A104&amp;" US Equity"","BEST_SALES","BEST_FPERIOD_OVERRIDE","24Y")</f>
        <v/>
      </c>
      <c r="AQ104" s="93">
        <f>BDP("=A104&amp;" US Equity"","BEST_SALES","BEST_FPERIOD_OVERRIDE","25Y")</f>
        <v/>
      </c>
      <c r="AR104" s="93">
        <f>BDP("=A104&amp;" US Equity"","BEST_SALES","BEST_FPERIOD_OVERRIDE","26Y")</f>
        <v/>
      </c>
      <c r="AS104" s="93">
        <f>BDP("=A104&amp;" US Equity"","BEST_SALES","BEST_FPERIOD_OVERRIDE","27Y")</f>
        <v/>
      </c>
      <c r="AT104" s="93">
        <f>BDP("=A104&amp;" US Equity"","BEST_SALES","BEST_FPERIOD_OVERRIDE","28Y")</f>
        <v/>
      </c>
      <c r="AV104" s="93">
        <f>BDP("=A104&amp;" US Equity"","BEST_EBIT","BEST_FPERIOD_OVERRIDE","24Y")</f>
        <v/>
      </c>
      <c r="AW104" s="93">
        <f>BDP("=A104&amp;" US Equity"","BEST_EBIT","BEST_FPERIOD_OVERRIDE","25Y")</f>
        <v/>
      </c>
      <c r="AX104" s="93">
        <f>BDP("=A104&amp;" US Equity"","BEST_EBIT","BEST_FPERIOD_OVERRIDE","26Y")</f>
        <v/>
      </c>
      <c r="AY104" s="93">
        <f>BDP("=A104&amp;" US Equity"","BEST_EBIT","BEST_FPERIOD_OVERRIDE","27Y")</f>
        <v/>
      </c>
      <c r="AZ104" s="93">
        <f>BDP("=A104&amp;" US Equity"","BEST_EBIT","BEST_FPERIOD_OVERRIDE","28Y")</f>
        <v/>
      </c>
      <c r="BB104" s="68">
        <f>D104+BC104</f>
        <v/>
      </c>
      <c r="BC104" s="68">
        <f>AC104-AE104</f>
        <v/>
      </c>
      <c r="BD104" s="15">
        <f>D104</f>
        <v/>
      </c>
      <c r="BE104" s="99">
        <f>BDP("=A104&amp;" US Equity"","TRAIL_12M_EBITDA")</f>
        <v/>
      </c>
    </row>
    <row r="105">
      <c r="A105" t="inlineStr">
        <is>
          <t>SHOP</t>
        </is>
      </c>
      <c r="B105">
        <f>A105&amp;" US Equity"</f>
        <v/>
      </c>
      <c r="C105" s="15" t="inlineStr">
        <is>
          <t>Dec</t>
        </is>
      </c>
      <c r="D105" s="93">
        <f>BDP("=A105&amp;" US Equity"","CUR_MKT_CAP")/1000000000</f>
        <v/>
      </c>
      <c r="E105" s="94">
        <f>BDP("=A105&amp;" US Equity"","PX_LAST")</f>
        <v/>
      </c>
      <c r="F105" s="95">
        <f>IF(BDP("=A105&amp;" US Equity"","BEST_EPS","BEST_FPERIOD_OVERRIDE","26Y")&lt;&gt;0,$E$105/BDP("=A105&amp;" US Equity"","BEST_EPS","BEST_FPERIOD_OVERRIDE","26Y"),"")</f>
        <v/>
      </c>
      <c r="G105" s="95">
        <f>IF(BDP("=A105&amp;" US Equity"","BEST_EPS","BEST_FPERIOD_OVERRIDE","27Y")&lt;&gt;0,$E$105/BDP("=A105&amp;" US Equity"","BEST_EPS","BEST_FPERIOD_OVERRIDE","27Y"),"")</f>
        <v/>
      </c>
      <c r="H105" s="95">
        <f>IF(BDP("=A105&amp;" US Equity"","BEST_EPS","BEST_FPERIOD_OVERRIDE","28Y")&lt;&gt;0,$E$105/BDP("=A105&amp;" US Equity"","BEST_EPS","BEST_FPERIOD_OVERRIDE","28Y"),"")</f>
        <v/>
      </c>
      <c r="I105" s="96">
        <f>BDP("=A105&amp;" US Equity"","NET_DEBT_TO_EBITDA")</f>
        <v/>
      </c>
      <c r="J105" s="93">
        <f>BDP("=A105&amp;" US Equity"","BEST_SALES","BEST_FPERIOD_OVERRIDE","26Y")/1000</f>
        <v/>
      </c>
      <c r="K105" s="97">
        <f>IF(BDP("=A105&amp;" US Equity"","BEST_SALES","BEST_FPERIOD_OVERRIDE","26Y")&lt;&gt;0,BDP("=A105&amp;" US Equity"","BEST_EBIT","BEST_FPERIOD_OVERRIDE","26Y")/BDP("=A105&amp;" US Equity"","BEST_SALES","BEST_FPERIOD_OVERRIDE","26Y"),"")</f>
        <v/>
      </c>
      <c r="L105" s="97">
        <f>BDP("=A105&amp;" US Equity"","RETURN_ON_INV_CAPITAL")/100</f>
        <v/>
      </c>
      <c r="M105" s="97">
        <f>IF(AND(BDP("=A105&amp;" US Equity"","BEST_SALES","BEST_FPERIOD_OVERRIDE","25Y")&gt;0,BDP("=A105&amp;" US Equity"","BEST_SALES","BEST_FPERIOD_OVERRIDE","28Y")&gt;0),(BDP("=A105&amp;" US Equity"","BEST_SALES","BEST_FPERIOD_OVERRIDE","28Y")/BDP("=A105&amp;" US Equity"","BEST_SALES","BEST_FPERIOD_OVERRIDE","25Y"))^(1/3)-1,"")</f>
        <v/>
      </c>
      <c r="N105" s="97">
        <f>IF(AND(BDP("=A105&amp;" US Equity"","BEST_EBIT","BEST_FPERIOD_OVERRIDE","25Y")&gt;0,BDP("=A105&amp;" US Equity"","BEST_EBIT","BEST_FPERIOD_OVERRIDE","28Y")&gt;0),(BDP("=A105&amp;" US Equity"","BEST_EBIT","BEST_FPERIOD_OVERRIDE","28Y")/BDP("=A105&amp;" US Equity"","BEST_EBIT","BEST_FPERIOD_OVERRIDE","25Y"))^(1/3)-1,"")</f>
        <v/>
      </c>
      <c r="O105" s="97">
        <f>IF(AND(BDP("=A105&amp;" US Equity"","BEST_EPS","BEST_FPERIOD_OVERRIDE","25Y")&gt;0,BDP("=A105&amp;" US Equity"","BEST_EPS","BEST_FPERIOD_OVERRIDE","28Y")&gt;0),(BDP("=A105&amp;" US Equity"","BEST_EPS","BEST_FPERIOD_OVERRIDE","28Y")/BDP("=A105&amp;" US Equity"","BEST_EPS","BEST_FPERIOD_OVERRIDE","25Y"))^(1/3)-1,"")</f>
        <v/>
      </c>
      <c r="Q105" s="97">
        <f>BDP("=A105&amp;" US Equity"","CHG_PCT_YTD")/100</f>
        <v/>
      </c>
      <c r="T105" s="68">
        <f>IF(AND(F105&lt;&gt;"",O105&lt;&gt;"",O105&lt;&gt;0),F105/(O105*100),"")</f>
        <v/>
      </c>
      <c r="AB105" s="93">
        <f>BDP("=A105&amp;" US Equity"","TRAIL_12M_OPER_INC")</f>
        <v/>
      </c>
      <c r="AC105" s="93">
        <f>BDP("=A105&amp;" US Equity"","SHORT_AND_LONG_TERM_DEBT")</f>
        <v/>
      </c>
      <c r="AD105" s="93">
        <f>BDP("=A105&amp;" US Equity"","TOTAL_EQUITY")</f>
        <v/>
      </c>
      <c r="AE105" s="93">
        <f>BDP("=A105&amp;" US Equity"","BS_CASH_NEAR_CASH_ITEM")</f>
        <v/>
      </c>
      <c r="AF105" s="99">
        <f>BDP("=A105&amp;" US Equity"","BS_LT_INVEST")</f>
        <v/>
      </c>
      <c r="AG105" s="15">
        <f>AC105+AD105</f>
        <v/>
      </c>
      <c r="AH105" s="100">
        <f>BDP("=A105&amp;" US Equity"","RETURN_ON_INV_CAPITAL")/100</f>
        <v/>
      </c>
      <c r="AJ105" s="93">
        <f>BDP("=A105&amp;" US Equity"","BEST_EPS","BEST_FPERIOD_OVERRIDE","24Y")</f>
        <v/>
      </c>
      <c r="AK105" s="93">
        <f>BDP("=A105&amp;" US Equity"","BEST_EPS","BEST_FPERIOD_OVERRIDE","25Y")</f>
        <v/>
      </c>
      <c r="AL105" s="93">
        <f>BDP("=A105&amp;" US Equity"","BEST_EPS","BEST_FPERIOD_OVERRIDE","26Y")</f>
        <v/>
      </c>
      <c r="AM105" s="93">
        <f>BDP("=A105&amp;" US Equity"","BEST_EPS","BEST_FPERIOD_OVERRIDE","27Y")</f>
        <v/>
      </c>
      <c r="AN105" s="93">
        <f>BDP("=A105&amp;" US Equity"","BEST_EPS","BEST_FPERIOD_OVERRIDE","28Y")</f>
        <v/>
      </c>
      <c r="AP105" s="93">
        <f>BDP("=A105&amp;" US Equity"","BEST_SALES","BEST_FPERIOD_OVERRIDE","24Y")</f>
        <v/>
      </c>
      <c r="AQ105" s="93">
        <f>BDP("=A105&amp;" US Equity"","BEST_SALES","BEST_FPERIOD_OVERRIDE","25Y")</f>
        <v/>
      </c>
      <c r="AR105" s="93">
        <f>BDP("=A105&amp;" US Equity"","BEST_SALES","BEST_FPERIOD_OVERRIDE","26Y")</f>
        <v/>
      </c>
      <c r="AS105" s="93">
        <f>BDP("=A105&amp;" US Equity"","BEST_SALES","BEST_FPERIOD_OVERRIDE","27Y")</f>
        <v/>
      </c>
      <c r="AT105" s="93">
        <f>BDP("=A105&amp;" US Equity"","BEST_SALES","BEST_FPERIOD_OVERRIDE","28Y")</f>
        <v/>
      </c>
      <c r="AV105" s="93">
        <f>BDP("=A105&amp;" US Equity"","BEST_EBIT","BEST_FPERIOD_OVERRIDE","24Y")</f>
        <v/>
      </c>
      <c r="AW105" s="93">
        <f>BDP("=A105&amp;" US Equity"","BEST_EBIT","BEST_FPERIOD_OVERRIDE","25Y")</f>
        <v/>
      </c>
      <c r="AX105" s="93">
        <f>BDP("=A105&amp;" US Equity"","BEST_EBIT","BEST_FPERIOD_OVERRIDE","26Y")</f>
        <v/>
      </c>
      <c r="AY105" s="93">
        <f>BDP("=A105&amp;" US Equity"","BEST_EBIT","BEST_FPERIOD_OVERRIDE","27Y")</f>
        <v/>
      </c>
      <c r="AZ105" s="93">
        <f>BDP("=A105&amp;" US Equity"","BEST_EBIT","BEST_FPERIOD_OVERRIDE","28Y")</f>
        <v/>
      </c>
      <c r="BB105" s="68">
        <f>D105+BC105</f>
        <v/>
      </c>
      <c r="BC105" s="68">
        <f>AC105-AE105</f>
        <v/>
      </c>
      <c r="BD105" s="15">
        <f>D105</f>
        <v/>
      </c>
      <c r="BE105" s="99">
        <f>BDP("=A105&amp;" US Equity"","TRAIL_12M_EBITDA")</f>
        <v/>
      </c>
    </row>
    <row r="106">
      <c r="A106" s="36" t="inlineStr">
        <is>
          <t>ASICs/networking</t>
        </is>
      </c>
      <c r="D106" s="15" t="n"/>
      <c r="AA106" s="2" t="inlineStr">
        <is>
          <t>1Y return</t>
        </is>
      </c>
    </row>
    <row r="107">
      <c r="A107" t="inlineStr">
        <is>
          <t>AVGO</t>
        </is>
      </c>
      <c r="B107" t="inlineStr">
        <is>
          <t>AVGO UW Equity</t>
        </is>
      </c>
      <c r="C107" s="15" t="inlineStr">
        <is>
          <t>Oct</t>
        </is>
      </c>
      <c r="D107" s="93">
        <f>BDP("AVGO UW Equity","CUR_MKT_CAP")/1000000000</f>
        <v/>
      </c>
      <c r="E107" s="94">
        <f>BDP("AVGO UW Equity","PX_LAST")</f>
        <v/>
      </c>
      <c r="F107" s="95">
        <f>IF(BDP("AVGO UW Equity","BEST_EPS","BEST_FPERIOD_OVERRIDE","26Y")&lt;&gt;0,$E$107/BDP("AVGO UW Equity","BEST_EPS","BEST_FPERIOD_OVERRIDE","26Y"),"")</f>
        <v/>
      </c>
      <c r="G107" s="95">
        <f>IF(BDP("AVGO UW Equity","BEST_EPS","BEST_FPERIOD_OVERRIDE","27Y")&lt;&gt;0,$E$107/BDP("AVGO UW Equity","BEST_EPS","BEST_FPERIOD_OVERRIDE","27Y"),"")</f>
        <v/>
      </c>
      <c r="H107" s="95">
        <f>IF(BDP("AVGO UW Equity","BEST_EPS","BEST_FPERIOD_OVERRIDE","28Y")&lt;&gt;0,$E$107/BDP("AVGO UW Equity","BEST_EPS","BEST_FPERIOD_OVERRIDE","28Y"),"")</f>
        <v/>
      </c>
      <c r="I107" s="96">
        <f>BDP("AVGO UW Equity","NET_DEBT_TO_EBITDA")</f>
        <v/>
      </c>
      <c r="J107" s="93">
        <f>BDP("AVGO UW Equity","BEST_SALES","BEST_FPERIOD_OVERRIDE","26Y")/1000</f>
        <v/>
      </c>
      <c r="K107" s="97">
        <f>IF(BDP("AVGO UW Equity","BEST_SALES","BEST_FPERIOD_OVERRIDE","26Y")&lt;&gt;0,BDP("AVGO UW Equity","BEST_EBIT","BEST_FPERIOD_OVERRIDE","26Y")/BDP("AVGO UW Equity","BEST_SALES","BEST_FPERIOD_OVERRIDE","26Y"),"")</f>
        <v/>
      </c>
      <c r="L107" s="97">
        <f>BDP("AVGO UW Equity","RETURN_ON_INV_CAPITAL")/100</f>
        <v/>
      </c>
      <c r="M107" s="97">
        <f>IF(AND(BDP("AVGO UW Equity","BEST_SALES","BEST_FPERIOD_OVERRIDE","25Y")&gt;0,BDP("AVGO UW Equity","BEST_SALES","BEST_FPERIOD_OVERRIDE","28Y")&gt;0),(BDP("AVGO UW Equity","BEST_SALES","BEST_FPERIOD_OVERRIDE","28Y")/BDP("AVGO UW Equity","BEST_SALES","BEST_FPERIOD_OVERRIDE","25Y"))^(1/3)-1,"")</f>
        <v/>
      </c>
      <c r="N107" s="97">
        <f>IF(AND(BDP("AVGO UW Equity","BEST_EBIT","BEST_FPERIOD_OVERRIDE","25Y")&gt;0,BDP("AVGO UW Equity","BEST_EBIT","BEST_FPERIOD_OVERRIDE","28Y")&gt;0),(BDP("AVGO UW Equity","BEST_EBIT","BEST_FPERIOD_OVERRIDE","28Y")/BDP("AVGO UW Equity","BEST_EBIT","BEST_FPERIOD_OVERRIDE","25Y"))^(1/3)-1,"")</f>
        <v/>
      </c>
      <c r="O107" s="97">
        <f>IF(AND(BDP("AVGO UW Equity","BEST_EPS","BEST_FPERIOD_OVERRIDE","25Y")&gt;0,BDP("AVGO UW Equity","BEST_EPS","BEST_FPERIOD_OVERRIDE","28Y")&gt;0),(BDP("AVGO UW Equity","BEST_EPS","BEST_FPERIOD_OVERRIDE","28Y")/BDP("AVGO UW Equity","BEST_EPS","BEST_FPERIOD_OVERRIDE","25Y"))^(1/3)-1,"")</f>
        <v/>
      </c>
      <c r="Q107" s="97">
        <f>BDP("AVGO UW Equity","CHG_PCT_YTD")/100</f>
        <v/>
      </c>
      <c r="T107" s="68">
        <f>IF(AND(F107&lt;&gt;"",O107&lt;&gt;"",O107&lt;&gt;0),F107/(O107*100),"")</f>
        <v/>
      </c>
      <c r="AA107" s="72">
        <f t="array" ref="AA107">_xll.BDP(B107,"CHG_PCT_1YR")/100</f>
        <v/>
      </c>
      <c r="AB107" s="93">
        <f>BDP("AVGO UW Equity","TRAIL_12M_OPER_INC")</f>
        <v/>
      </c>
      <c r="AC107" s="93">
        <f>BDP("AVGO UW Equity","SHORT_AND_LONG_TERM_DEBT")</f>
        <v/>
      </c>
      <c r="AD107" s="93">
        <f>BDP("AVGO UW Equity","TOTAL_EQUITY")</f>
        <v/>
      </c>
      <c r="AE107" s="93">
        <f>BDP("AVGO UW Equity","BS_CASH_NEAR_CASH_ITEM")</f>
        <v/>
      </c>
      <c r="AF107" s="99">
        <f>BDP("AVGO UW Equity","BS_LT_INVEST")</f>
        <v/>
      </c>
      <c r="AG107" s="15">
        <f>AC107+AD107</f>
        <v/>
      </c>
      <c r="AH107" s="100">
        <f>BDP("AVGO UW Equity","RETURN_ON_INV_CAPITAL")/100</f>
        <v/>
      </c>
      <c r="AJ107" s="93">
        <f>BDP("AVGO UW Equity","BEST_EPS","BEST_FPERIOD_OVERRIDE","24Y")</f>
        <v/>
      </c>
      <c r="AK107" s="93">
        <f>BDP("AVGO UW Equity","BEST_EPS","BEST_FPERIOD_OVERRIDE","25Y")</f>
        <v/>
      </c>
      <c r="AL107" s="93">
        <f>BDP("AVGO UW Equity","BEST_EPS","BEST_FPERIOD_OVERRIDE","26Y")</f>
        <v/>
      </c>
      <c r="AM107" s="93">
        <f>BDP("AVGO UW Equity","BEST_EPS","BEST_FPERIOD_OVERRIDE","27Y")</f>
        <v/>
      </c>
      <c r="AN107" s="93">
        <f>BDP("AVGO UW Equity","BEST_EPS","BEST_FPERIOD_OVERRIDE","28Y")</f>
        <v/>
      </c>
      <c r="AO107" s="15">
        <f t="array" ref="AO107">_xll.BDP($B107,"EQY_FISCAL_YR_END")</f>
        <v/>
      </c>
      <c r="AP107" s="93">
        <f>BDP("AVGO UW Equity","BEST_SALES","BEST_FPERIOD_OVERRIDE","24Y")</f>
        <v/>
      </c>
      <c r="AQ107" s="93">
        <f>BDP("AVGO UW Equity","BEST_SALES","BEST_FPERIOD_OVERRIDE","25Y")</f>
        <v/>
      </c>
      <c r="AR107" s="93">
        <f>BDP("AVGO UW Equity","BEST_SALES","BEST_FPERIOD_OVERRIDE","26Y")</f>
        <v/>
      </c>
      <c r="AS107" s="93">
        <f>BDP("AVGO UW Equity","BEST_SALES","BEST_FPERIOD_OVERRIDE","27Y")</f>
        <v/>
      </c>
      <c r="AT107" s="93">
        <f>BDP("AVGO UW Equity","BEST_SALES","BEST_FPERIOD_OVERRIDE","28Y")</f>
        <v/>
      </c>
      <c r="AV107" s="93">
        <f>BDP("AVGO UW Equity","BEST_EBIT","BEST_FPERIOD_OVERRIDE","24Y")</f>
        <v/>
      </c>
      <c r="AW107" s="93">
        <f>BDP("AVGO UW Equity","BEST_EBIT","BEST_FPERIOD_OVERRIDE","25Y")</f>
        <v/>
      </c>
      <c r="AX107" s="93">
        <f>BDP("AVGO UW Equity","BEST_EBIT","BEST_FPERIOD_OVERRIDE","26Y")</f>
        <v/>
      </c>
      <c r="AY107" s="93">
        <f>BDP("AVGO UW Equity","BEST_EBIT","BEST_FPERIOD_OVERRIDE","27Y")</f>
        <v/>
      </c>
      <c r="AZ107" s="93">
        <f>BDP("AVGO UW Equity","BEST_EBIT","BEST_FPERIOD_OVERRIDE","28Y")</f>
        <v/>
      </c>
      <c r="BB107" s="68">
        <f>D107+BC107</f>
        <v/>
      </c>
      <c r="BC107" s="68">
        <f>AC107-AE107</f>
        <v/>
      </c>
      <c r="BD107" s="15">
        <f>D107</f>
        <v/>
      </c>
      <c r="BE107" s="99">
        <f>BDP("AVGO UW Equity","TRAIL_12M_EBITDA")</f>
        <v/>
      </c>
    </row>
    <row r="108">
      <c r="A108" t="inlineStr">
        <is>
          <t>MRVL</t>
        </is>
      </c>
      <c r="B108" t="inlineStr">
        <is>
          <t>MRVL UW Equity</t>
        </is>
      </c>
      <c r="C108" s="15" t="inlineStr">
        <is>
          <t>Jan</t>
        </is>
      </c>
      <c r="D108" s="93">
        <f>BDP("MRVL UW Equity","CUR_MKT_CAP")/1000000000</f>
        <v/>
      </c>
      <c r="E108" s="94">
        <f>BDP("MRVL UW Equity","PX_LAST")</f>
        <v/>
      </c>
      <c r="F108" s="95">
        <f>IF(BDP("MRVL UW Equity","BEST_EPS","BEST_FPERIOD_OVERRIDE","27Y")&lt;&gt;0,$E$108/BDP("MRVL UW Equity","BEST_EPS","BEST_FPERIOD_OVERRIDE","27Y"),"")</f>
        <v/>
      </c>
      <c r="G108" s="95">
        <f>IF(BDP("MRVL UW Equity","BEST_EPS","BEST_FPERIOD_OVERRIDE","28Y")&lt;&gt;0,$E$108/BDP("MRVL UW Equity","BEST_EPS","BEST_FPERIOD_OVERRIDE","28Y"),"")</f>
        <v/>
      </c>
      <c r="H108" s="95">
        <f>IF(BDP("MRVL UW Equity","BEST_EPS","BEST_FPERIOD_OVERRIDE","29Y")&lt;&gt;0,$E$108/BDP("MRVL UW Equity","BEST_EPS","BEST_FPERIOD_OVERRIDE","29Y"),"")</f>
        <v/>
      </c>
      <c r="I108" s="96">
        <f>BDP("MRVL UW Equity","NET_DEBT_TO_EBITDA")</f>
        <v/>
      </c>
      <c r="J108" s="93">
        <f>BDP("MRVL UW Equity","BEST_SALES","BEST_FPERIOD_OVERRIDE","27Y")/1000</f>
        <v/>
      </c>
      <c r="K108" s="97">
        <f>IF(BDP("MRVL UW Equity","BEST_SALES","BEST_FPERIOD_OVERRIDE","27Y")&lt;&gt;0,BDP("MRVL UW Equity","BEST_EBIT","BEST_FPERIOD_OVERRIDE","27Y")/BDP("MRVL UW Equity","BEST_SALES","BEST_FPERIOD_OVERRIDE","27Y"),"")</f>
        <v/>
      </c>
      <c r="L108" s="97">
        <f>BDP("MRVL UW Equity","RETURN_ON_INV_CAPITAL")/100</f>
        <v/>
      </c>
      <c r="M108" s="97">
        <f>IF(AND(BDP("MRVL UW Equity","BEST_SALES","BEST_FPERIOD_OVERRIDE","26Y")&gt;0,BDP("MRVL UW Equity","BEST_SALES","BEST_FPERIOD_OVERRIDE","29Y")&gt;0),(BDP("MRVL UW Equity","BEST_SALES","BEST_FPERIOD_OVERRIDE","29Y")/BDP("MRVL UW Equity","BEST_SALES","BEST_FPERIOD_OVERRIDE","26Y"))^(1/3)-1,"")</f>
        <v/>
      </c>
      <c r="N108" s="97">
        <f>IF(AND(BDP("MRVL UW Equity","BEST_EBIT","BEST_FPERIOD_OVERRIDE","26Y")&gt;0,BDP("MRVL UW Equity","BEST_EBIT","BEST_FPERIOD_OVERRIDE","29Y")&gt;0),(BDP("MRVL UW Equity","BEST_EBIT","BEST_FPERIOD_OVERRIDE","29Y")/BDP("MRVL UW Equity","BEST_EBIT","BEST_FPERIOD_OVERRIDE","26Y"))^(1/3)-1,"")</f>
        <v/>
      </c>
      <c r="O108" s="97">
        <f>IF(AND(BDP("MRVL UW Equity","BEST_EPS","BEST_FPERIOD_OVERRIDE","26Y")&gt;0,BDP("MRVL UW Equity","BEST_EPS","BEST_FPERIOD_OVERRIDE","29Y")&gt;0),(BDP("MRVL UW Equity","BEST_EPS","BEST_FPERIOD_OVERRIDE","29Y")/BDP("MRVL UW Equity","BEST_EPS","BEST_FPERIOD_OVERRIDE","26Y"))^(1/3)-1,"")</f>
        <v/>
      </c>
      <c r="Q108" s="97">
        <f>BDP("MRVL UW Equity","CHG_PCT_YTD")/100</f>
        <v/>
      </c>
      <c r="T108" s="68">
        <f>IF(AND(F108&lt;&gt;"",O108&lt;&gt;"",O108&lt;&gt;0),F108/(O108*100),"")</f>
        <v/>
      </c>
      <c r="AA108" s="72">
        <f t="array" ref="AA108">_xll.BDP(B108,"CHG_PCT_1YR")/100</f>
        <v/>
      </c>
      <c r="AB108" s="93">
        <f>BDP("MRVL UW Equity","TRAIL_12M_OPER_INC")</f>
        <v/>
      </c>
      <c r="AC108" s="93">
        <f>BDP("MRVL UW Equity","SHORT_AND_LONG_TERM_DEBT")</f>
        <v/>
      </c>
      <c r="AD108" s="93">
        <f>BDP("MRVL UW Equity","TOTAL_EQUITY")</f>
        <v/>
      </c>
      <c r="AE108" s="93">
        <f>BDP("MRVL UW Equity","BS_CASH_NEAR_CASH_ITEM")</f>
        <v/>
      </c>
      <c r="AF108" s="99">
        <f>BDP("MRVL UW Equity","BS_LT_INVEST")</f>
        <v/>
      </c>
      <c r="AG108" s="15">
        <f>AC108+AD108</f>
        <v/>
      </c>
      <c r="AH108" s="100">
        <f>BDP("MRVL UW Equity","RETURN_ON_INV_CAPITAL")/100</f>
        <v/>
      </c>
      <c r="AJ108" s="93">
        <f>BDP("MRVL UW Equity","BEST_EPS","BEST_FPERIOD_OVERRIDE","25Y")</f>
        <v/>
      </c>
      <c r="AK108" s="93">
        <f>BDP("MRVL UW Equity","BEST_EPS","BEST_FPERIOD_OVERRIDE","26Y")</f>
        <v/>
      </c>
      <c r="AL108" s="93">
        <f>BDP("MRVL UW Equity","BEST_EPS","BEST_FPERIOD_OVERRIDE","27Y")</f>
        <v/>
      </c>
      <c r="AM108" s="93">
        <f>BDP("MRVL UW Equity","BEST_EPS","BEST_FPERIOD_OVERRIDE","28Y")</f>
        <v/>
      </c>
      <c r="AN108" s="93">
        <f>BDP("MRVL UW Equity","BEST_EPS","BEST_FPERIOD_OVERRIDE","29Y")</f>
        <v/>
      </c>
      <c r="AO108" s="15">
        <f t="array" ref="AO108">_xll.BDP($B108,"EQY_FISCAL_YR_END")</f>
        <v/>
      </c>
      <c r="AP108" s="93">
        <f>BDP("MRVL UW Equity","BEST_SALES","BEST_FPERIOD_OVERRIDE","25Y")</f>
        <v/>
      </c>
      <c r="AQ108" s="93">
        <f>BDP("MRVL UW Equity","BEST_SALES","BEST_FPERIOD_OVERRIDE","26Y")</f>
        <v/>
      </c>
      <c r="AR108" s="93">
        <f>BDP("MRVL UW Equity","BEST_SALES","BEST_FPERIOD_OVERRIDE","27Y")</f>
        <v/>
      </c>
      <c r="AS108" s="93">
        <f>BDP("MRVL UW Equity","BEST_SALES","BEST_FPERIOD_OVERRIDE","28Y")</f>
        <v/>
      </c>
      <c r="AT108" s="93">
        <f>BDP("MRVL UW Equity","BEST_SALES","BEST_FPERIOD_OVERRIDE","29Y")</f>
        <v/>
      </c>
      <c r="AV108" s="93">
        <f>BDP("MRVL UW Equity","BEST_EBIT","BEST_FPERIOD_OVERRIDE","25Y")</f>
        <v/>
      </c>
      <c r="AW108" s="93">
        <f>BDP("MRVL UW Equity","BEST_EBIT","BEST_FPERIOD_OVERRIDE","26Y")</f>
        <v/>
      </c>
      <c r="AX108" s="93">
        <f>BDP("MRVL UW Equity","BEST_EBIT","BEST_FPERIOD_OVERRIDE","27Y")</f>
        <v/>
      </c>
      <c r="AY108" s="93">
        <f>BDP("MRVL UW Equity","BEST_EBIT","BEST_FPERIOD_OVERRIDE","28Y")</f>
        <v/>
      </c>
      <c r="AZ108" s="93">
        <f>BDP("MRVL UW Equity","BEST_EBIT","BEST_FPERIOD_OVERRIDE","29Y")</f>
        <v/>
      </c>
      <c r="BB108" s="68">
        <f>D108+BC108</f>
        <v/>
      </c>
      <c r="BC108" s="68">
        <f>AC108-AE108</f>
        <v/>
      </c>
      <c r="BD108" s="15">
        <f>D108</f>
        <v/>
      </c>
      <c r="BE108" s="99">
        <f>BDP("MRVL UW Equity","TRAIL_12M_EBITDA")</f>
        <v/>
      </c>
    </row>
    <row r="109">
      <c r="A109" t="inlineStr">
        <is>
          <t>ANET</t>
        </is>
      </c>
      <c r="B109" t="inlineStr">
        <is>
          <t>ANET US Equity</t>
        </is>
      </c>
      <c r="C109" s="15" t="inlineStr">
        <is>
          <t>Dec</t>
        </is>
      </c>
      <c r="D109" s="93">
        <f>BDP("ANET US Equity","CUR_MKT_CAP")/1000000000</f>
        <v/>
      </c>
      <c r="E109" s="94">
        <f>BDP("ANET US Equity","PX_LAST")</f>
        <v/>
      </c>
      <c r="F109" s="95">
        <f>IF(BDP("ANET US Equity","BEST_EPS","BEST_FPERIOD_OVERRIDE","26Y")&lt;&gt;0,$E$109/BDP("ANET US Equity","BEST_EPS","BEST_FPERIOD_OVERRIDE","26Y"),"")</f>
        <v/>
      </c>
      <c r="G109" s="95">
        <f>IF(BDP("ANET US Equity","BEST_EPS","BEST_FPERIOD_OVERRIDE","27Y")&lt;&gt;0,$E$109/BDP("ANET US Equity","BEST_EPS","BEST_FPERIOD_OVERRIDE","27Y"),"")</f>
        <v/>
      </c>
      <c r="H109" s="95">
        <f>IF(BDP("ANET US Equity","BEST_EPS","BEST_FPERIOD_OVERRIDE","28Y")&lt;&gt;0,$E$109/BDP("ANET US Equity","BEST_EPS","BEST_FPERIOD_OVERRIDE","28Y"),"")</f>
        <v/>
      </c>
      <c r="I109" s="96">
        <f>BDP("ANET US Equity","NET_DEBT_TO_EBITDA")</f>
        <v/>
      </c>
      <c r="J109" s="93">
        <f>BDP("ANET US Equity","BEST_SALES","BEST_FPERIOD_OVERRIDE","26Y")/1000</f>
        <v/>
      </c>
      <c r="K109" s="97">
        <f>IF(BDP("ANET US Equity","BEST_SALES","BEST_FPERIOD_OVERRIDE","26Y")&lt;&gt;0,BDP("ANET US Equity","BEST_EBIT","BEST_FPERIOD_OVERRIDE","26Y")/BDP("ANET US Equity","BEST_SALES","BEST_FPERIOD_OVERRIDE","26Y"),"")</f>
        <v/>
      </c>
      <c r="L109" s="97">
        <f>BDP("ANET US Equity","RETURN_ON_INV_CAPITAL")/100</f>
        <v/>
      </c>
      <c r="M109" s="97">
        <f>IF(AND(BDP("ANET US Equity","BEST_SALES","BEST_FPERIOD_OVERRIDE","25Y")&gt;0,BDP("ANET US Equity","BEST_SALES","BEST_FPERIOD_OVERRIDE","28Y")&gt;0),(BDP("ANET US Equity","BEST_SALES","BEST_FPERIOD_OVERRIDE","28Y")/BDP("ANET US Equity","BEST_SALES","BEST_FPERIOD_OVERRIDE","25Y"))^(1/3)-1,"")</f>
        <v/>
      </c>
      <c r="N109" s="97">
        <f>IF(AND(BDP("ANET US Equity","BEST_EBIT","BEST_FPERIOD_OVERRIDE","25Y")&gt;0,BDP("ANET US Equity","BEST_EBIT","BEST_FPERIOD_OVERRIDE","28Y")&gt;0),(BDP("ANET US Equity","BEST_EBIT","BEST_FPERIOD_OVERRIDE","28Y")/BDP("ANET US Equity","BEST_EBIT","BEST_FPERIOD_OVERRIDE","25Y"))^(1/3)-1,"")</f>
        <v/>
      </c>
      <c r="O109" s="97">
        <f>IF(AND(BDP("ANET US Equity","BEST_EPS","BEST_FPERIOD_OVERRIDE","25Y")&gt;0,BDP("ANET US Equity","BEST_EPS","BEST_FPERIOD_OVERRIDE","28Y")&gt;0),(BDP("ANET US Equity","BEST_EPS","BEST_FPERIOD_OVERRIDE","28Y")/BDP("ANET US Equity","BEST_EPS","BEST_FPERIOD_OVERRIDE","25Y"))^(1/3)-1,"")</f>
        <v/>
      </c>
      <c r="Q109" s="97">
        <f>BDP("ANET US Equity","CHG_PCT_YTD")/100</f>
        <v/>
      </c>
      <c r="T109" s="68">
        <f>IF(AND(F109&lt;&gt;"",O109&lt;&gt;"",O109&lt;&gt;0),F109/(O109*100),"")</f>
        <v/>
      </c>
      <c r="AA109" s="72">
        <f t="array" ref="AA109">_xll.BDP(B109,"CHG_PCT_1YR")/100</f>
        <v/>
      </c>
      <c r="AB109" s="93">
        <f>BDP("ANET US Equity","TRAIL_12M_OPER_INC")</f>
        <v/>
      </c>
      <c r="AC109" s="93">
        <f>BDP("ANET US Equity","SHORT_AND_LONG_TERM_DEBT")</f>
        <v/>
      </c>
      <c r="AD109" s="93">
        <f>BDP("ANET US Equity","TOTAL_EQUITY")</f>
        <v/>
      </c>
      <c r="AE109" s="93">
        <f>BDP("ANET US Equity","BS_CASH_NEAR_CASH_ITEM")</f>
        <v/>
      </c>
      <c r="AF109" s="99">
        <f>BDP("ANET US Equity","BS_LT_INVEST")</f>
        <v/>
      </c>
      <c r="AG109" s="15">
        <f>AC109+AD109</f>
        <v/>
      </c>
      <c r="AH109" s="100">
        <f>BDP("ANET US Equity","RETURN_ON_INV_CAPITAL")/100</f>
        <v/>
      </c>
      <c r="AJ109" s="93">
        <f>BDP("ANET US Equity","BEST_EPS","BEST_FPERIOD_OVERRIDE","24Y")</f>
        <v/>
      </c>
      <c r="AK109" s="93">
        <f>BDP("ANET US Equity","BEST_EPS","BEST_FPERIOD_OVERRIDE","25Y")</f>
        <v/>
      </c>
      <c r="AL109" s="93">
        <f>BDP("ANET US Equity","BEST_EPS","BEST_FPERIOD_OVERRIDE","26Y")</f>
        <v/>
      </c>
      <c r="AM109" s="93">
        <f>BDP("ANET US Equity","BEST_EPS","BEST_FPERIOD_OVERRIDE","27Y")</f>
        <v/>
      </c>
      <c r="AN109" s="93">
        <f>BDP("ANET US Equity","BEST_EPS","BEST_FPERIOD_OVERRIDE","28Y")</f>
        <v/>
      </c>
      <c r="AO109" s="15">
        <f t="array" ref="AO109">_xll.BDP($B109,"EQY_FISCAL_YR_END")</f>
        <v/>
      </c>
      <c r="AP109" s="93">
        <f>BDP("ANET US Equity","BEST_SALES","BEST_FPERIOD_OVERRIDE","24Y")</f>
        <v/>
      </c>
      <c r="AQ109" s="93">
        <f>BDP("ANET US Equity","BEST_SALES","BEST_FPERIOD_OVERRIDE","25Y")</f>
        <v/>
      </c>
      <c r="AR109" s="93">
        <f>BDP("ANET US Equity","BEST_SALES","BEST_FPERIOD_OVERRIDE","26Y")</f>
        <v/>
      </c>
      <c r="AS109" s="93">
        <f>BDP("ANET US Equity","BEST_SALES","BEST_FPERIOD_OVERRIDE","27Y")</f>
        <v/>
      </c>
      <c r="AT109" s="93">
        <f>BDP("ANET US Equity","BEST_SALES","BEST_FPERIOD_OVERRIDE","28Y")</f>
        <v/>
      </c>
      <c r="AV109" s="93">
        <f>BDP("ANET US Equity","BEST_EBIT","BEST_FPERIOD_OVERRIDE","24Y")</f>
        <v/>
      </c>
      <c r="AW109" s="93">
        <f>BDP("ANET US Equity","BEST_EBIT","BEST_FPERIOD_OVERRIDE","25Y")</f>
        <v/>
      </c>
      <c r="AX109" s="93">
        <f>BDP("ANET US Equity","BEST_EBIT","BEST_FPERIOD_OVERRIDE","26Y")</f>
        <v/>
      </c>
      <c r="AY109" s="93">
        <f>BDP("ANET US Equity","BEST_EBIT","BEST_FPERIOD_OVERRIDE","27Y")</f>
        <v/>
      </c>
      <c r="AZ109" s="93">
        <f>BDP("ANET US Equity","BEST_EBIT","BEST_FPERIOD_OVERRIDE","28Y")</f>
        <v/>
      </c>
      <c r="BB109" s="68">
        <f>D109+BC109</f>
        <v/>
      </c>
      <c r="BC109" s="68">
        <f>AC109-AE109</f>
        <v/>
      </c>
      <c r="BD109" s="15">
        <f>D109</f>
        <v/>
      </c>
      <c r="BE109" s="99">
        <f>BDP("ANET US Equity","TRAIL_12M_EBITDA")</f>
        <v/>
      </c>
    </row>
    <row r="110">
      <c r="A110" t="inlineStr">
        <is>
          <t>COHR</t>
        </is>
      </c>
      <c r="B110" t="inlineStr">
        <is>
          <t>COHR US Equity</t>
        </is>
      </c>
      <c r="C110" s="15" t="inlineStr">
        <is>
          <t>Jun</t>
        </is>
      </c>
      <c r="D110" s="93">
        <f>BDP("COHR US Equity","CUR_MKT_CAP")/1000000000</f>
        <v/>
      </c>
      <c r="E110" s="94">
        <f>BDP("COHR US Equity","PX_LAST")</f>
        <v/>
      </c>
      <c r="F110" s="95">
        <f>IF(BDP("COHR US Equity","BEST_EPS","BEST_FPERIOD_OVERRIDE","26Y")&lt;&gt;0,$E$110/BDP("COHR US Equity","BEST_EPS","BEST_FPERIOD_OVERRIDE","26Y"),"")</f>
        <v/>
      </c>
      <c r="G110" s="95">
        <f>IF(BDP("COHR US Equity","BEST_EPS","BEST_FPERIOD_OVERRIDE","27Y")&lt;&gt;0,$E$110/BDP("COHR US Equity","BEST_EPS","BEST_FPERIOD_OVERRIDE","27Y"),"")</f>
        <v/>
      </c>
      <c r="H110" s="95">
        <f>IF(BDP("COHR US Equity","BEST_EPS","BEST_FPERIOD_OVERRIDE","28Y")&lt;&gt;0,$E$110/BDP("COHR US Equity","BEST_EPS","BEST_FPERIOD_OVERRIDE","28Y"),"")</f>
        <v/>
      </c>
      <c r="I110" s="96">
        <f>BDP("COHR US Equity","NET_DEBT_TO_EBITDA")</f>
        <v/>
      </c>
      <c r="J110" s="93">
        <f>BDP("COHR US Equity","BEST_SALES","BEST_FPERIOD_OVERRIDE","26Y")/1000</f>
        <v/>
      </c>
      <c r="K110" s="97">
        <f>IF(BDP("COHR US Equity","BEST_SALES","BEST_FPERIOD_OVERRIDE","26Y")&lt;&gt;0,BDP("COHR US Equity","BEST_EBIT","BEST_FPERIOD_OVERRIDE","26Y")/BDP("COHR US Equity","BEST_SALES","BEST_FPERIOD_OVERRIDE","26Y"),"")</f>
        <v/>
      </c>
      <c r="L110" s="97">
        <f>BDP("COHR US Equity","RETURN_ON_INV_CAPITAL")/100</f>
        <v/>
      </c>
      <c r="M110" s="97">
        <f>IF(AND(BDP("COHR US Equity","BEST_SALES","BEST_FPERIOD_OVERRIDE","25Y")&gt;0,BDP("COHR US Equity","BEST_SALES","BEST_FPERIOD_OVERRIDE","28Y")&gt;0),(BDP("COHR US Equity","BEST_SALES","BEST_FPERIOD_OVERRIDE","28Y")/BDP("COHR US Equity","BEST_SALES","BEST_FPERIOD_OVERRIDE","25Y"))^(1/3)-1,"")</f>
        <v/>
      </c>
      <c r="N110" s="97">
        <f>IF(AND(BDP("COHR US Equity","BEST_EBIT","BEST_FPERIOD_OVERRIDE","25Y")&gt;0,BDP("COHR US Equity","BEST_EBIT","BEST_FPERIOD_OVERRIDE","28Y")&gt;0),(BDP("COHR US Equity","BEST_EBIT","BEST_FPERIOD_OVERRIDE","28Y")/BDP("COHR US Equity","BEST_EBIT","BEST_FPERIOD_OVERRIDE","25Y"))^(1/3)-1,"")</f>
        <v/>
      </c>
      <c r="O110" s="97">
        <f>IF(AND(BDP("COHR US Equity","BEST_EPS","BEST_FPERIOD_OVERRIDE","25Y")&gt;0,BDP("COHR US Equity","BEST_EPS","BEST_FPERIOD_OVERRIDE","28Y")&gt;0),(BDP("COHR US Equity","BEST_EPS","BEST_FPERIOD_OVERRIDE","28Y")/BDP("COHR US Equity","BEST_EPS","BEST_FPERIOD_OVERRIDE","25Y"))^(1/3)-1,"")</f>
        <v/>
      </c>
      <c r="Q110" s="97">
        <f>BDP("COHR US Equity","CHG_PCT_YTD")/100</f>
        <v/>
      </c>
      <c r="T110" s="68">
        <f>IF(AND(F110&lt;&gt;"",O110&lt;&gt;"",O110&lt;&gt;0),F110/(O110*100),"")</f>
        <v/>
      </c>
      <c r="AA110" s="72">
        <f t="array" ref="AA110">_xll.BDP(B110,"CHG_PCT_1YR")/100</f>
        <v/>
      </c>
      <c r="AB110" s="93">
        <f>BDP("COHR US Equity","TRAIL_12M_OPER_INC")</f>
        <v/>
      </c>
      <c r="AC110" s="93">
        <f>BDP("COHR US Equity","SHORT_AND_LONG_TERM_DEBT")</f>
        <v/>
      </c>
      <c r="AD110" s="93">
        <f>BDP("COHR US Equity","TOTAL_EQUITY")</f>
        <v/>
      </c>
      <c r="AE110" s="93">
        <f>BDP("COHR US Equity","BS_CASH_NEAR_CASH_ITEM")</f>
        <v/>
      </c>
      <c r="AF110" s="99">
        <f>BDP("COHR US Equity","BS_LT_INVEST")</f>
        <v/>
      </c>
      <c r="AG110" s="15">
        <f>AC110+AD110</f>
        <v/>
      </c>
      <c r="AH110" s="100">
        <f>BDP("COHR US Equity","RETURN_ON_INV_CAPITAL")/100</f>
        <v/>
      </c>
      <c r="AJ110" s="93">
        <f>BDP("COHR US Equity","BEST_EPS","BEST_FPERIOD_OVERRIDE","24Y")</f>
        <v/>
      </c>
      <c r="AK110" s="93">
        <f>BDP("COHR US Equity","BEST_EPS","BEST_FPERIOD_OVERRIDE","25Y")</f>
        <v/>
      </c>
      <c r="AL110" s="93">
        <f>BDP("COHR US Equity","BEST_EPS","BEST_FPERIOD_OVERRIDE","26Y")</f>
        <v/>
      </c>
      <c r="AM110" s="93">
        <f>BDP("COHR US Equity","BEST_EPS","BEST_FPERIOD_OVERRIDE","27Y")</f>
        <v/>
      </c>
      <c r="AN110" s="93">
        <f>BDP("COHR US Equity","BEST_EPS","BEST_FPERIOD_OVERRIDE","28Y")</f>
        <v/>
      </c>
      <c r="AO110" s="15">
        <f t="array" ref="AO110">_xll.BDP($B110,"EQY_FISCAL_YR_END")</f>
        <v/>
      </c>
      <c r="AP110" s="93">
        <f>BDP("COHR US Equity","BEST_SALES","BEST_FPERIOD_OVERRIDE","24Y")</f>
        <v/>
      </c>
      <c r="AQ110" s="93">
        <f>BDP("COHR US Equity","BEST_SALES","BEST_FPERIOD_OVERRIDE","25Y")</f>
        <v/>
      </c>
      <c r="AR110" s="93">
        <f>BDP("COHR US Equity","BEST_SALES","BEST_FPERIOD_OVERRIDE","26Y")</f>
        <v/>
      </c>
      <c r="AS110" s="93">
        <f>BDP("COHR US Equity","BEST_SALES","BEST_FPERIOD_OVERRIDE","27Y")</f>
        <v/>
      </c>
      <c r="AT110" s="93">
        <f>BDP("COHR US Equity","BEST_SALES","BEST_FPERIOD_OVERRIDE","28Y")</f>
        <v/>
      </c>
      <c r="AV110" s="93">
        <f>BDP("COHR US Equity","BEST_EBIT","BEST_FPERIOD_OVERRIDE","24Y")</f>
        <v/>
      </c>
      <c r="AW110" s="93">
        <f>BDP("COHR US Equity","BEST_EBIT","BEST_FPERIOD_OVERRIDE","25Y")</f>
        <v/>
      </c>
      <c r="AX110" s="93">
        <f>BDP("COHR US Equity","BEST_EBIT","BEST_FPERIOD_OVERRIDE","26Y")</f>
        <v/>
      </c>
      <c r="AY110" s="93">
        <f>BDP("COHR US Equity","BEST_EBIT","BEST_FPERIOD_OVERRIDE","27Y")</f>
        <v/>
      </c>
      <c r="AZ110" s="93">
        <f>BDP("COHR US Equity","BEST_EBIT","BEST_FPERIOD_OVERRIDE","28Y")</f>
        <v/>
      </c>
      <c r="BB110" s="68">
        <f>D110+BC110</f>
        <v/>
      </c>
      <c r="BC110" s="68">
        <f>AC110-AE110</f>
        <v/>
      </c>
      <c r="BD110" s="15">
        <f>D110</f>
        <v/>
      </c>
      <c r="BE110" s="99">
        <f>BDP("COHR US Equity","TRAIL_12M_EBITDA")</f>
        <v/>
      </c>
    </row>
    <row r="111">
      <c r="A111" t="inlineStr">
        <is>
          <t>CRDO</t>
        </is>
      </c>
      <c r="B111" t="inlineStr">
        <is>
          <t>CRDO US Equity</t>
        </is>
      </c>
      <c r="C111" s="15" t="inlineStr">
        <is>
          <t>Apr</t>
        </is>
      </c>
      <c r="D111" s="93">
        <f>BDP("CRDO US Equity","CUR_MKT_CAP")/1000000000</f>
        <v/>
      </c>
      <c r="E111" s="94">
        <f>BDP("CRDO US Equity","PX_LAST")</f>
        <v/>
      </c>
      <c r="F111" s="95">
        <f>IF(BDP("CRDO US Equity","BEST_EPS","BEST_FPERIOD_OVERRIDE","26Y")&lt;&gt;0,$E$111/BDP("CRDO US Equity","BEST_EPS","BEST_FPERIOD_OVERRIDE","26Y"),"")</f>
        <v/>
      </c>
      <c r="G111" s="95">
        <f>IF(BDP("CRDO US Equity","BEST_EPS","BEST_FPERIOD_OVERRIDE","27Y")&lt;&gt;0,$E$111/BDP("CRDO US Equity","BEST_EPS","BEST_FPERIOD_OVERRIDE","27Y"),"")</f>
        <v/>
      </c>
      <c r="H111" s="95">
        <f>IF(BDP("CRDO US Equity","BEST_EPS","BEST_FPERIOD_OVERRIDE","28Y")&lt;&gt;0,$E$111/BDP("CRDO US Equity","BEST_EPS","BEST_FPERIOD_OVERRIDE","28Y"),"")</f>
        <v/>
      </c>
      <c r="I111" s="96">
        <f>BDP("CRDO US Equity","NET_DEBT_TO_EBITDA")</f>
        <v/>
      </c>
      <c r="J111" s="93">
        <f>BDP("CRDO US Equity","BEST_SALES","BEST_FPERIOD_OVERRIDE","26Y")/1000</f>
        <v/>
      </c>
      <c r="K111" s="97">
        <f>IF(BDP("CRDO US Equity","BEST_SALES","BEST_FPERIOD_OVERRIDE","26Y")&lt;&gt;0,BDP("CRDO US Equity","BEST_EBIT","BEST_FPERIOD_OVERRIDE","26Y")/BDP("CRDO US Equity","BEST_SALES","BEST_FPERIOD_OVERRIDE","26Y"),"")</f>
        <v/>
      </c>
      <c r="L111" s="97">
        <f>BDP("CRDO US Equity","RETURN_ON_INV_CAPITAL")/100</f>
        <v/>
      </c>
      <c r="M111" s="97">
        <f>IF(AND(BDP("CRDO US Equity","BEST_SALES","BEST_FPERIOD_OVERRIDE","25Y")&gt;0,BDP("CRDO US Equity","BEST_SALES","BEST_FPERIOD_OVERRIDE","28Y")&gt;0),(BDP("CRDO US Equity","BEST_SALES","BEST_FPERIOD_OVERRIDE","28Y")/BDP("CRDO US Equity","BEST_SALES","BEST_FPERIOD_OVERRIDE","25Y"))^(1/3)-1,"")</f>
        <v/>
      </c>
      <c r="N111" s="97">
        <f>IF(AND(BDP("CRDO US Equity","BEST_EBIT","BEST_FPERIOD_OVERRIDE","25Y")&gt;0,BDP("CRDO US Equity","BEST_EBIT","BEST_FPERIOD_OVERRIDE","28Y")&gt;0),(BDP("CRDO US Equity","BEST_EBIT","BEST_FPERIOD_OVERRIDE","28Y")/BDP("CRDO US Equity","BEST_EBIT","BEST_FPERIOD_OVERRIDE","25Y"))^(1/3)-1,"")</f>
        <v/>
      </c>
      <c r="O111" s="97">
        <f>IF(AND(BDP("CRDO US Equity","BEST_EPS","BEST_FPERIOD_OVERRIDE","25Y")&gt;0,BDP("CRDO US Equity","BEST_EPS","BEST_FPERIOD_OVERRIDE","28Y")&gt;0),(BDP("CRDO US Equity","BEST_EPS","BEST_FPERIOD_OVERRIDE","28Y")/BDP("CRDO US Equity","BEST_EPS","BEST_FPERIOD_OVERRIDE","25Y"))^(1/3)-1,"")</f>
        <v/>
      </c>
      <c r="Q111" s="97">
        <f>BDP("CRDO US Equity","CHG_PCT_YTD")/100</f>
        <v/>
      </c>
      <c r="T111" s="68">
        <f>IF(AND(F111&lt;&gt;"",O111&lt;&gt;"",O111&lt;&gt;0),F111/(O111*100),"")</f>
        <v/>
      </c>
      <c r="AA111" s="72">
        <f t="array" ref="AA111">_xll.BDP(B111,"CHG_PCT_1YR")/100</f>
        <v/>
      </c>
      <c r="AB111" s="93">
        <f>BDP("CRDO US Equity","TRAIL_12M_OPER_INC")</f>
        <v/>
      </c>
      <c r="AC111" s="93">
        <f>BDP("CRDO US Equity","SHORT_AND_LONG_TERM_DEBT")</f>
        <v/>
      </c>
      <c r="AD111" s="93">
        <f>BDP("CRDO US Equity","TOTAL_EQUITY")</f>
        <v/>
      </c>
      <c r="AE111" s="93">
        <f>BDP("CRDO US Equity","BS_CASH_NEAR_CASH_ITEM")</f>
        <v/>
      </c>
      <c r="AF111" s="99">
        <f>BDP("CRDO US Equity","BS_LT_INVEST")</f>
        <v/>
      </c>
      <c r="AG111" s="15">
        <f>AC111+AD111</f>
        <v/>
      </c>
      <c r="AH111" s="100">
        <f>BDP("CRDO US Equity","RETURN_ON_INV_CAPITAL")/100</f>
        <v/>
      </c>
      <c r="AJ111" s="93">
        <f>BDP("CRDO US Equity","BEST_EPS","BEST_FPERIOD_OVERRIDE","24Y")</f>
        <v/>
      </c>
      <c r="AK111" s="93">
        <f>BDP("CRDO US Equity","BEST_EPS","BEST_FPERIOD_OVERRIDE","25Y")</f>
        <v/>
      </c>
      <c r="AL111" s="93">
        <f>BDP("CRDO US Equity","BEST_EPS","BEST_FPERIOD_OVERRIDE","26Y")</f>
        <v/>
      </c>
      <c r="AM111" s="93">
        <f>BDP("CRDO US Equity","BEST_EPS","BEST_FPERIOD_OVERRIDE","27Y")</f>
        <v/>
      </c>
      <c r="AN111" s="93">
        <f>BDP("CRDO US Equity","BEST_EPS","BEST_FPERIOD_OVERRIDE","28Y")</f>
        <v/>
      </c>
      <c r="AO111" s="15">
        <f t="array" ref="AO111">_xll.BDP($B111,"EQY_FISCAL_YR_END")</f>
        <v/>
      </c>
      <c r="AP111" s="93">
        <f>BDP("CRDO US Equity","BEST_SALES","BEST_FPERIOD_OVERRIDE","24Y")</f>
        <v/>
      </c>
      <c r="AQ111" s="93">
        <f>BDP("CRDO US Equity","BEST_SALES","BEST_FPERIOD_OVERRIDE","25Y")</f>
        <v/>
      </c>
      <c r="AR111" s="93">
        <f>BDP("CRDO US Equity","BEST_SALES","BEST_FPERIOD_OVERRIDE","26Y")</f>
        <v/>
      </c>
      <c r="AS111" s="93">
        <f>BDP("CRDO US Equity","BEST_SALES","BEST_FPERIOD_OVERRIDE","27Y")</f>
        <v/>
      </c>
      <c r="AT111" s="93">
        <f>BDP("CRDO US Equity","BEST_SALES","BEST_FPERIOD_OVERRIDE","28Y")</f>
        <v/>
      </c>
      <c r="AV111" s="93">
        <f>BDP("CRDO US Equity","BEST_EBIT","BEST_FPERIOD_OVERRIDE","24Y")</f>
        <v/>
      </c>
      <c r="AW111" s="93">
        <f>BDP("CRDO US Equity","BEST_EBIT","BEST_FPERIOD_OVERRIDE","25Y")</f>
        <v/>
      </c>
      <c r="AX111" s="93">
        <f>BDP("CRDO US Equity","BEST_EBIT","BEST_FPERIOD_OVERRIDE","26Y")</f>
        <v/>
      </c>
      <c r="AY111" s="93">
        <f>BDP("CRDO US Equity","BEST_EBIT","BEST_FPERIOD_OVERRIDE","27Y")</f>
        <v/>
      </c>
      <c r="AZ111" s="93">
        <f>BDP("CRDO US Equity","BEST_EBIT","BEST_FPERIOD_OVERRIDE","28Y")</f>
        <v/>
      </c>
      <c r="BB111" s="68">
        <f>D111+BC111</f>
        <v/>
      </c>
      <c r="BC111" s="68">
        <f>AC111-AE111</f>
        <v/>
      </c>
      <c r="BD111" s="15">
        <f>D111</f>
        <v/>
      </c>
      <c r="BE111" s="99">
        <f>BDP("CRDO US Equity","TRAIL_12M_EBITDA")</f>
        <v/>
      </c>
    </row>
    <row r="112">
      <c r="A112" t="inlineStr">
        <is>
          <t>ALAB</t>
        </is>
      </c>
      <c r="B112" t="inlineStr">
        <is>
          <t>ALAB US Equity</t>
        </is>
      </c>
      <c r="C112" s="15" t="inlineStr">
        <is>
          <t>Dec</t>
        </is>
      </c>
      <c r="D112" s="93">
        <f>BDP("ALAB US Equity","CUR_MKT_CAP")/1000000000</f>
        <v/>
      </c>
      <c r="E112" s="94">
        <f>BDP("ALAB US Equity","PX_LAST")</f>
        <v/>
      </c>
      <c r="F112" s="95">
        <f>IF(BDP("ALAB US Equity","BEST_EPS","BEST_FPERIOD_OVERRIDE","26Y")&lt;&gt;0,$E$112/BDP("ALAB US Equity","BEST_EPS","BEST_FPERIOD_OVERRIDE","26Y"),"")</f>
        <v/>
      </c>
      <c r="G112" s="95">
        <f>IF(BDP("ALAB US Equity","BEST_EPS","BEST_FPERIOD_OVERRIDE","27Y")&lt;&gt;0,$E$112/BDP("ALAB US Equity","BEST_EPS","BEST_FPERIOD_OVERRIDE","27Y"),"")</f>
        <v/>
      </c>
      <c r="H112" s="95">
        <f>IF(BDP("ALAB US Equity","BEST_EPS","BEST_FPERIOD_OVERRIDE","28Y")&lt;&gt;0,$E$112/BDP("ALAB US Equity","BEST_EPS","BEST_FPERIOD_OVERRIDE","28Y"),"")</f>
        <v/>
      </c>
      <c r="I112" s="96">
        <f>BDP("ALAB US Equity","NET_DEBT_TO_EBITDA")</f>
        <v/>
      </c>
      <c r="J112" s="93">
        <f>BDP("ALAB US Equity","BEST_SALES","BEST_FPERIOD_OVERRIDE","26Y")/1000</f>
        <v/>
      </c>
      <c r="K112" s="97">
        <f>IF(BDP("ALAB US Equity","BEST_SALES","BEST_FPERIOD_OVERRIDE","26Y")&lt;&gt;0,BDP("ALAB US Equity","BEST_EBIT","BEST_FPERIOD_OVERRIDE","26Y")/BDP("ALAB US Equity","BEST_SALES","BEST_FPERIOD_OVERRIDE","26Y"),"")</f>
        <v/>
      </c>
      <c r="L112" s="99">
        <f>BDP("ALAB US Equity","RETURN_ON_INV_CAPITAL")/100</f>
        <v/>
      </c>
      <c r="M112" s="97">
        <f>IF(AND(BDP("ALAB US Equity","BEST_SALES","BEST_FPERIOD_OVERRIDE","25Y")&gt;0,BDP("ALAB US Equity","BEST_SALES","BEST_FPERIOD_OVERRIDE","28Y")&gt;0),(BDP("ALAB US Equity","BEST_SALES","BEST_FPERIOD_OVERRIDE","28Y")/BDP("ALAB US Equity","BEST_SALES","BEST_FPERIOD_OVERRIDE","25Y"))^(1/3)-1,"")</f>
        <v/>
      </c>
      <c r="N112" s="97">
        <f>IF(AND(BDP("ALAB US Equity","BEST_EBIT","BEST_FPERIOD_OVERRIDE","25Y")&gt;0,BDP("ALAB US Equity","BEST_EBIT","BEST_FPERIOD_OVERRIDE","28Y")&gt;0),(BDP("ALAB US Equity","BEST_EBIT","BEST_FPERIOD_OVERRIDE","28Y")/BDP("ALAB US Equity","BEST_EBIT","BEST_FPERIOD_OVERRIDE","25Y"))^(1/3)-1,"")</f>
        <v/>
      </c>
      <c r="O112" s="97">
        <f>IF(AND(BDP("ALAB US Equity","BEST_EPS","BEST_FPERIOD_OVERRIDE","25Y")&gt;0,BDP("ALAB US Equity","BEST_EPS","BEST_FPERIOD_OVERRIDE","28Y")&gt;0),(BDP("ALAB US Equity","BEST_EPS","BEST_FPERIOD_OVERRIDE","28Y")/BDP("ALAB US Equity","BEST_EPS","BEST_FPERIOD_OVERRIDE","25Y"))^(1/3)-1,"")</f>
        <v/>
      </c>
      <c r="Q112" s="97">
        <f>BDP("ALAB US Equity","CHG_PCT_YTD")/100</f>
        <v/>
      </c>
      <c r="T112" s="68">
        <f>IF(AND(F112&lt;&gt;"",O112&lt;&gt;"",O112&lt;&gt;0),F112/(O112*100),"")</f>
        <v/>
      </c>
      <c r="AA112" s="72">
        <f>133/36-1</f>
        <v/>
      </c>
      <c r="AB112" s="93">
        <f>BDP("ALAB US Equity","TRAIL_12M_OPER_INC")</f>
        <v/>
      </c>
      <c r="AC112" s="93">
        <f>BDP("ALAB US Equity","SHORT_AND_LONG_TERM_DEBT")</f>
        <v/>
      </c>
      <c r="AD112" s="93">
        <f>BDP("ALAB US Equity","TOTAL_EQUITY")</f>
        <v/>
      </c>
      <c r="AE112" s="93">
        <f>BDP("ALAB US Equity","BS_CASH_NEAR_CASH_ITEM")</f>
        <v/>
      </c>
      <c r="AF112" s="99">
        <f>BDP("ALAB US Equity","BS_LT_INVEST")</f>
        <v/>
      </c>
      <c r="AG112" s="15">
        <f>AC112+AD112</f>
        <v/>
      </c>
      <c r="AH112" s="100">
        <f>BDP("ALAB US Equity","RETURN_ON_INV_CAPITAL")/100</f>
        <v/>
      </c>
      <c r="AJ112" s="93">
        <f>BDP("ALAB US Equity","BEST_EPS","BEST_FPERIOD_OVERRIDE","24Y")</f>
        <v/>
      </c>
      <c r="AK112" s="93">
        <f>BDP("ALAB US Equity","BEST_EPS","BEST_FPERIOD_OVERRIDE","25Y")</f>
        <v/>
      </c>
      <c r="AL112" s="93">
        <f>BDP("ALAB US Equity","BEST_EPS","BEST_FPERIOD_OVERRIDE","26Y")</f>
        <v/>
      </c>
      <c r="AM112" s="93">
        <f>BDP("ALAB US Equity","BEST_EPS","BEST_FPERIOD_OVERRIDE","27Y")</f>
        <v/>
      </c>
      <c r="AN112" s="93">
        <f>BDP("ALAB US Equity","BEST_EPS","BEST_FPERIOD_OVERRIDE","28Y")</f>
        <v/>
      </c>
      <c r="AO112" s="15">
        <f t="array" ref="AO112">_xll.BDP($B112,"EQY_FISCAL_YR_END")</f>
        <v/>
      </c>
      <c r="AP112" s="93">
        <f>BDP("ALAB US Equity","BEST_SALES","BEST_FPERIOD_OVERRIDE","24Y")</f>
        <v/>
      </c>
      <c r="AQ112" s="93">
        <f>BDP("ALAB US Equity","BEST_SALES","BEST_FPERIOD_OVERRIDE","25Y")</f>
        <v/>
      </c>
      <c r="AR112" s="93">
        <f>BDP("ALAB US Equity","BEST_SALES","BEST_FPERIOD_OVERRIDE","26Y")</f>
        <v/>
      </c>
      <c r="AS112" s="93">
        <f>BDP("ALAB US Equity","BEST_SALES","BEST_FPERIOD_OVERRIDE","27Y")</f>
        <v/>
      </c>
      <c r="AT112" s="93">
        <f>BDP("ALAB US Equity","BEST_SALES","BEST_FPERIOD_OVERRIDE","28Y")</f>
        <v/>
      </c>
      <c r="AV112" s="93">
        <f>BDP("ALAB US Equity","BEST_EBIT","BEST_FPERIOD_OVERRIDE","24Y")</f>
        <v/>
      </c>
      <c r="AW112" s="93">
        <f>BDP("ALAB US Equity","BEST_EBIT","BEST_FPERIOD_OVERRIDE","25Y")</f>
        <v/>
      </c>
      <c r="AX112" s="93">
        <f>BDP("ALAB US Equity","BEST_EBIT","BEST_FPERIOD_OVERRIDE","26Y")</f>
        <v/>
      </c>
      <c r="AY112" s="93">
        <f>BDP("ALAB US Equity","BEST_EBIT","BEST_FPERIOD_OVERRIDE","27Y")</f>
        <v/>
      </c>
      <c r="AZ112" s="93">
        <f>BDP("ALAB US Equity","BEST_EBIT","BEST_FPERIOD_OVERRIDE","28Y")</f>
        <v/>
      </c>
      <c r="BB112" s="68">
        <f>D112+BC112</f>
        <v/>
      </c>
      <c r="BC112" s="68">
        <f>AC112-AE112</f>
        <v/>
      </c>
      <c r="BD112" s="15">
        <f>D112</f>
        <v/>
      </c>
      <c r="BE112" s="99">
        <f>BDP("ALAB US Equity","TRAIL_12M_EBITDA")</f>
        <v/>
      </c>
    </row>
    <row r="113">
      <c r="D113" s="15" t="n"/>
      <c r="AA113" s="72" t="n"/>
    </row>
    <row r="114">
      <c r="A114" s="36" t="inlineStr">
        <is>
          <t xml:space="preserve">Compute </t>
        </is>
      </c>
      <c r="D114" s="15" t="n"/>
      <c r="AA114" s="72" t="n"/>
    </row>
    <row r="115">
      <c r="A115" t="inlineStr">
        <is>
          <t>NVDA</t>
        </is>
      </c>
      <c r="B115" t="inlineStr">
        <is>
          <t>NVDA UW Equity</t>
        </is>
      </c>
      <c r="C115" s="15" t="inlineStr">
        <is>
          <t>Jan</t>
        </is>
      </c>
      <c r="D115" s="93">
        <f>BDP("NVDA UW Equity","CUR_MKT_CAP")/1000000000</f>
        <v/>
      </c>
      <c r="E115" s="94">
        <f>BDP("NVDA UW Equity","PX_LAST")</f>
        <v/>
      </c>
      <c r="F115" s="95">
        <f>IF(BDP("NVDA UW Equity","BEST_EPS","BEST_FPERIOD_OVERRIDE","27Y")&lt;&gt;0,$E$115/BDP("NVDA UW Equity","BEST_EPS","BEST_FPERIOD_OVERRIDE","27Y"),"")</f>
        <v/>
      </c>
      <c r="G115" s="95">
        <f>IF(BDP("NVDA UW Equity","BEST_EPS","BEST_FPERIOD_OVERRIDE","28Y")&lt;&gt;0,$E$115/BDP("NVDA UW Equity","BEST_EPS","BEST_FPERIOD_OVERRIDE","28Y"),"")</f>
        <v/>
      </c>
      <c r="H115" s="95">
        <f>IF(BDP("NVDA UW Equity","BEST_EPS","BEST_FPERIOD_OVERRIDE","29Y")&lt;&gt;0,$E$115/BDP("NVDA UW Equity","BEST_EPS","BEST_FPERIOD_OVERRIDE","29Y"),"")</f>
        <v/>
      </c>
      <c r="I115" s="96">
        <f>BDP("NVDA UW Equity","NET_DEBT_TO_EBITDA")</f>
        <v/>
      </c>
      <c r="J115" s="93">
        <f>BDP("NVDA UW Equity","BEST_SALES","BEST_FPERIOD_OVERRIDE","27Y")/1000</f>
        <v/>
      </c>
      <c r="K115" s="97">
        <f>IF(BDP("NVDA UW Equity","BEST_SALES","BEST_FPERIOD_OVERRIDE","27Y")&lt;&gt;0,BDP("NVDA UW Equity","BEST_EBIT","BEST_FPERIOD_OVERRIDE","27Y")/BDP("NVDA UW Equity","BEST_SALES","BEST_FPERIOD_OVERRIDE","27Y"),"")</f>
        <v/>
      </c>
      <c r="L115" s="97">
        <f>BDP("NVDA UW Equity","RETURN_ON_INV_CAPITAL")/100</f>
        <v/>
      </c>
      <c r="M115" s="97">
        <f>IF(AND(BDP("NVDA UW Equity","BEST_SALES","BEST_FPERIOD_OVERRIDE","26Y")&gt;0,BDP("NVDA UW Equity","BEST_SALES","BEST_FPERIOD_OVERRIDE","29Y")&gt;0),(BDP("NVDA UW Equity","BEST_SALES","BEST_FPERIOD_OVERRIDE","29Y")/BDP("NVDA UW Equity","BEST_SALES","BEST_FPERIOD_OVERRIDE","26Y"))^(1/3)-1,"")</f>
        <v/>
      </c>
      <c r="N115" s="97">
        <f>IF(AND(BDP("NVDA UW Equity","BEST_EBIT","BEST_FPERIOD_OVERRIDE","26Y")&gt;0,BDP("NVDA UW Equity","BEST_EBIT","BEST_FPERIOD_OVERRIDE","29Y")&gt;0),(BDP("NVDA UW Equity","BEST_EBIT","BEST_FPERIOD_OVERRIDE","29Y")/BDP("NVDA UW Equity","BEST_EBIT","BEST_FPERIOD_OVERRIDE","26Y"))^(1/3)-1,"")</f>
        <v/>
      </c>
      <c r="O115" s="97">
        <f>IF(AND(BDP("NVDA UW Equity","BEST_EPS","BEST_FPERIOD_OVERRIDE","26Y")&gt;0,BDP("NVDA UW Equity","BEST_EPS","BEST_FPERIOD_OVERRIDE","29Y")&gt;0),(BDP("NVDA UW Equity","BEST_EPS","BEST_FPERIOD_OVERRIDE","29Y")/BDP("NVDA UW Equity","BEST_EPS","BEST_FPERIOD_OVERRIDE","26Y"))^(1/3)-1,"")</f>
        <v/>
      </c>
      <c r="Q115" s="97">
        <f>BDP("NVDA UW Equity","CHG_PCT_YTD")/100</f>
        <v/>
      </c>
      <c r="T115" s="68">
        <f>IF(AND(F115&lt;&gt;"",O115&lt;&gt;"",O115&lt;&gt;0),F115/(O115*100),"")</f>
        <v/>
      </c>
      <c r="AA115" s="72">
        <f t="array" ref="AA115">_xll.BDP(B115,"CHG_PCT_1YR")/100</f>
        <v/>
      </c>
      <c r="AB115" s="93">
        <f>BDP("NVDA UW Equity","TRAIL_12M_OPER_INC")</f>
        <v/>
      </c>
      <c r="AC115" s="93">
        <f>BDP("NVDA UW Equity","SHORT_AND_LONG_TERM_DEBT")</f>
        <v/>
      </c>
      <c r="AD115" s="93">
        <f>BDP("NVDA UW Equity","TOTAL_EQUITY")</f>
        <v/>
      </c>
      <c r="AE115" s="93">
        <f>BDP("NVDA UW Equity","BS_CASH_NEAR_CASH_ITEM")</f>
        <v/>
      </c>
      <c r="AF115" s="99">
        <f>BDP("NVDA UW Equity","BS_LT_INVEST")</f>
        <v/>
      </c>
      <c r="AG115" s="15">
        <f>AC115+AD115</f>
        <v/>
      </c>
      <c r="AH115" s="100">
        <f>BDP("NVDA UW Equity","RETURN_ON_INV_CAPITAL")/100</f>
        <v/>
      </c>
      <c r="AJ115" s="93">
        <f>BDP("NVDA UW Equity","BEST_EPS","BEST_FPERIOD_OVERRIDE","25Y")</f>
        <v/>
      </c>
      <c r="AK115" s="93">
        <f>BDP("NVDA UW Equity","BEST_EPS","BEST_FPERIOD_OVERRIDE","26Y")</f>
        <v/>
      </c>
      <c r="AL115" s="93">
        <f>BDP("NVDA UW Equity","BEST_EPS","BEST_FPERIOD_OVERRIDE","27Y")</f>
        <v/>
      </c>
      <c r="AM115" s="93">
        <f>BDP("NVDA UW Equity","BEST_EPS","BEST_FPERIOD_OVERRIDE","28Y")</f>
        <v/>
      </c>
      <c r="AN115" s="93">
        <f>BDP("NVDA UW Equity","BEST_EPS","BEST_FPERIOD_OVERRIDE","29Y")</f>
        <v/>
      </c>
      <c r="AO115" s="15">
        <f t="array" ref="AO115">_xll.BDP($B115,"EQY_FISCAL_YR_END")</f>
        <v/>
      </c>
      <c r="AP115" s="93">
        <f>BDP("NVDA UW Equity","BEST_SALES","BEST_FPERIOD_OVERRIDE","25Y")</f>
        <v/>
      </c>
      <c r="AQ115" s="93">
        <f>BDP("NVDA UW Equity","BEST_SALES","BEST_FPERIOD_OVERRIDE","26Y")</f>
        <v/>
      </c>
      <c r="AR115" s="93">
        <f>BDP("NVDA UW Equity","BEST_SALES","BEST_FPERIOD_OVERRIDE","27Y")</f>
        <v/>
      </c>
      <c r="AS115" s="93">
        <f>BDP("NVDA UW Equity","BEST_SALES","BEST_FPERIOD_OVERRIDE","28Y")</f>
        <v/>
      </c>
      <c r="AT115" s="93">
        <f>BDP("NVDA UW Equity","BEST_SALES","BEST_FPERIOD_OVERRIDE","29Y")</f>
        <v/>
      </c>
      <c r="AV115" s="93">
        <f>BDP("NVDA UW Equity","BEST_EBIT","BEST_FPERIOD_OVERRIDE","25Y")</f>
        <v/>
      </c>
      <c r="AW115" s="93">
        <f>BDP("NVDA UW Equity","BEST_EBIT","BEST_FPERIOD_OVERRIDE","26Y")</f>
        <v/>
      </c>
      <c r="AX115" s="93">
        <f>BDP("NVDA UW Equity","BEST_EBIT","BEST_FPERIOD_OVERRIDE","27Y")</f>
        <v/>
      </c>
      <c r="AY115" s="93">
        <f>BDP("NVDA UW Equity","BEST_EBIT","BEST_FPERIOD_OVERRIDE","28Y")</f>
        <v/>
      </c>
      <c r="AZ115" s="93">
        <f>BDP("NVDA UW Equity","BEST_EBIT","BEST_FPERIOD_OVERRIDE","29Y")</f>
        <v/>
      </c>
      <c r="BB115" s="68">
        <f>D115+BC115</f>
        <v/>
      </c>
      <c r="BC115" s="68">
        <f>AC115-AE115</f>
        <v/>
      </c>
      <c r="BD115" s="15">
        <f>D115</f>
        <v/>
      </c>
      <c r="BE115" s="99">
        <f>BDP("NVDA UW Equity","TRAIL_12M_EBITDA")</f>
        <v/>
      </c>
    </row>
    <row r="116">
      <c r="A116" t="inlineStr">
        <is>
          <t>AMD</t>
        </is>
      </c>
      <c r="B116" t="inlineStr">
        <is>
          <t>AMD UW Equity</t>
        </is>
      </c>
      <c r="C116" s="15" t="inlineStr">
        <is>
          <t>Dec</t>
        </is>
      </c>
      <c r="D116" s="93">
        <f>BDP("AMD UW Equity","CUR_MKT_CAP")/1000000000</f>
        <v/>
      </c>
      <c r="E116" s="94">
        <f>BDP("AMD UW Equity","PX_LAST")</f>
        <v/>
      </c>
      <c r="F116" s="95">
        <f>IF(BDP("AMD UW Equity","BEST_EPS","BEST_FPERIOD_OVERRIDE","26Y")&lt;&gt;0,$E$116/BDP("AMD UW Equity","BEST_EPS","BEST_FPERIOD_OVERRIDE","26Y"),"")</f>
        <v/>
      </c>
      <c r="G116" s="95">
        <f>IF(BDP("AMD UW Equity","BEST_EPS","BEST_FPERIOD_OVERRIDE","27Y")&lt;&gt;0,$E$116/BDP("AMD UW Equity","BEST_EPS","BEST_FPERIOD_OVERRIDE","27Y"),"")</f>
        <v/>
      </c>
      <c r="H116" s="95">
        <f>IF(BDP("AMD UW Equity","BEST_EPS","BEST_FPERIOD_OVERRIDE","28Y")&lt;&gt;0,$E$116/BDP("AMD UW Equity","BEST_EPS","BEST_FPERIOD_OVERRIDE","28Y"),"")</f>
        <v/>
      </c>
      <c r="I116" s="96">
        <f>BDP("AMD UW Equity","NET_DEBT_TO_EBITDA")</f>
        <v/>
      </c>
      <c r="J116" s="93">
        <f>BDP("AMD UW Equity","BEST_SALES","BEST_FPERIOD_OVERRIDE","26Y")/1000</f>
        <v/>
      </c>
      <c r="K116" s="97">
        <f>IF(BDP("AMD UW Equity","BEST_SALES","BEST_FPERIOD_OVERRIDE","26Y")&lt;&gt;0,BDP("AMD UW Equity","BEST_EBIT","BEST_FPERIOD_OVERRIDE","26Y")/BDP("AMD UW Equity","BEST_SALES","BEST_FPERIOD_OVERRIDE","26Y"),"")</f>
        <v/>
      </c>
      <c r="L116" s="97">
        <f>BDP("AMD UW Equity","RETURN_ON_INV_CAPITAL")/100</f>
        <v/>
      </c>
      <c r="M116" s="97">
        <f>IF(AND(BDP("AMD UW Equity","BEST_SALES","BEST_FPERIOD_OVERRIDE","25Y")&gt;0,BDP("AMD UW Equity","BEST_SALES","BEST_FPERIOD_OVERRIDE","28Y")&gt;0),(BDP("AMD UW Equity","BEST_SALES","BEST_FPERIOD_OVERRIDE","28Y")/BDP("AMD UW Equity","BEST_SALES","BEST_FPERIOD_OVERRIDE","25Y"))^(1/3)-1,"")</f>
        <v/>
      </c>
      <c r="N116" s="97">
        <f>IF(AND(BDP("AMD UW Equity","BEST_EBIT","BEST_FPERIOD_OVERRIDE","25Y")&gt;0,BDP("AMD UW Equity","BEST_EBIT","BEST_FPERIOD_OVERRIDE","28Y")&gt;0),(BDP("AMD UW Equity","BEST_EBIT","BEST_FPERIOD_OVERRIDE","28Y")/BDP("AMD UW Equity","BEST_EBIT","BEST_FPERIOD_OVERRIDE","25Y"))^(1/3)-1,"")</f>
        <v/>
      </c>
      <c r="O116" s="97">
        <f>IF(AND(BDP("AMD UW Equity","BEST_EPS","BEST_FPERIOD_OVERRIDE","25Y")&gt;0,BDP("AMD UW Equity","BEST_EPS","BEST_FPERIOD_OVERRIDE","28Y")&gt;0),(BDP("AMD UW Equity","BEST_EPS","BEST_FPERIOD_OVERRIDE","28Y")/BDP("AMD UW Equity","BEST_EPS","BEST_FPERIOD_OVERRIDE","25Y"))^(1/3)-1,"")</f>
        <v/>
      </c>
      <c r="Q116" s="97">
        <f>BDP("AMD UW Equity","CHG_PCT_YTD")/100</f>
        <v/>
      </c>
      <c r="T116" s="68">
        <f>IF(AND(F116&lt;&gt;"",O116&lt;&gt;"",O116&lt;&gt;0),F116/(O116*100),"")</f>
        <v/>
      </c>
      <c r="AA116" s="72">
        <f t="array" ref="AA116">_xll.BDP(B116,"CHG_PCT_1YR")/100</f>
        <v/>
      </c>
      <c r="AB116" s="93">
        <f>BDP("AMD UW Equity","TRAIL_12M_OPER_INC")</f>
        <v/>
      </c>
      <c r="AC116" s="93">
        <f>BDP("AMD UW Equity","SHORT_AND_LONG_TERM_DEBT")</f>
        <v/>
      </c>
      <c r="AD116" s="93">
        <f>BDP("AMD UW Equity","TOTAL_EQUITY")</f>
        <v/>
      </c>
      <c r="AE116" s="93">
        <f>BDP("AMD UW Equity","BS_CASH_NEAR_CASH_ITEM")</f>
        <v/>
      </c>
      <c r="AF116" s="99">
        <f>BDP("AMD UW Equity","BS_LT_INVEST")</f>
        <v/>
      </c>
      <c r="AG116" s="15">
        <f>AC116+AD116</f>
        <v/>
      </c>
      <c r="AH116" s="100">
        <f>BDP("AMD UW Equity","RETURN_ON_INV_CAPITAL")/100</f>
        <v/>
      </c>
      <c r="AJ116" s="93">
        <f>BDP("AMD UW Equity","BEST_EPS","BEST_FPERIOD_OVERRIDE","24Y")</f>
        <v/>
      </c>
      <c r="AK116" s="93">
        <f>BDP("AMD UW Equity","BEST_EPS","BEST_FPERIOD_OVERRIDE","25Y")</f>
        <v/>
      </c>
      <c r="AL116" s="93">
        <f>BDP("AMD UW Equity","BEST_EPS","BEST_FPERIOD_OVERRIDE","26Y")</f>
        <v/>
      </c>
      <c r="AM116" s="93">
        <f>BDP("AMD UW Equity","BEST_EPS","BEST_FPERIOD_OVERRIDE","27Y")</f>
        <v/>
      </c>
      <c r="AN116" s="93">
        <f>BDP("AMD UW Equity","BEST_EPS","BEST_FPERIOD_OVERRIDE","28Y")</f>
        <v/>
      </c>
      <c r="AO116" s="15">
        <f t="array" ref="AO116">_xll.BDP($B116,"EQY_FISCAL_YR_END")</f>
        <v/>
      </c>
      <c r="AP116" s="93">
        <f>BDP("AMD UW Equity","BEST_SALES","BEST_FPERIOD_OVERRIDE","24Y")</f>
        <v/>
      </c>
      <c r="AQ116" s="93">
        <f>BDP("AMD UW Equity","BEST_SALES","BEST_FPERIOD_OVERRIDE","25Y")</f>
        <v/>
      </c>
      <c r="AR116" s="93">
        <f>BDP("AMD UW Equity","BEST_SALES","BEST_FPERIOD_OVERRIDE","26Y")</f>
        <v/>
      </c>
      <c r="AS116" s="93">
        <f>BDP("AMD UW Equity","BEST_SALES","BEST_FPERIOD_OVERRIDE","27Y")</f>
        <v/>
      </c>
      <c r="AT116" s="93">
        <f>BDP("AMD UW Equity","BEST_SALES","BEST_FPERIOD_OVERRIDE","28Y")</f>
        <v/>
      </c>
      <c r="AV116" s="93">
        <f>BDP("AMD UW Equity","BEST_EBIT","BEST_FPERIOD_OVERRIDE","24Y")</f>
        <v/>
      </c>
      <c r="AW116" s="93">
        <f>BDP("AMD UW Equity","BEST_EBIT","BEST_FPERIOD_OVERRIDE","25Y")</f>
        <v/>
      </c>
      <c r="AX116" s="93">
        <f>BDP("AMD UW Equity","BEST_EBIT","BEST_FPERIOD_OVERRIDE","26Y")</f>
        <v/>
      </c>
      <c r="AY116" s="93">
        <f>BDP("AMD UW Equity","BEST_EBIT","BEST_FPERIOD_OVERRIDE","27Y")</f>
        <v/>
      </c>
      <c r="AZ116" s="93">
        <f>BDP("AMD UW Equity","BEST_EBIT","BEST_FPERIOD_OVERRIDE","28Y")</f>
        <v/>
      </c>
      <c r="BB116" s="68">
        <f>D116+BC116</f>
        <v/>
      </c>
      <c r="BC116" s="68">
        <f>AC116-AE116</f>
        <v/>
      </c>
      <c r="BD116" s="15">
        <f>D116</f>
        <v/>
      </c>
      <c r="BE116" s="99">
        <f>BDP("AMD UW Equity","TRAIL_12M_EBITDA")</f>
        <v/>
      </c>
    </row>
    <row r="117">
      <c r="A117" t="inlineStr">
        <is>
          <t>QCOM</t>
        </is>
      </c>
      <c r="B117" t="inlineStr">
        <is>
          <t>QCOM UW Equity</t>
        </is>
      </c>
      <c r="C117" s="15" t="inlineStr">
        <is>
          <t>Sep</t>
        </is>
      </c>
      <c r="D117" s="93">
        <f>BDP("QCOM UW Equity","CUR_MKT_CAP")/1000000000</f>
        <v/>
      </c>
      <c r="E117" s="94">
        <f>BDP("QCOM UW Equity","PX_LAST")</f>
        <v/>
      </c>
      <c r="F117" s="95">
        <f>IF(BDP("QCOM UW Equity","BEST_EPS","BEST_FPERIOD_OVERRIDE","26Y")&lt;&gt;0,$E$117/BDP("QCOM UW Equity","BEST_EPS","BEST_FPERIOD_OVERRIDE","26Y"),"")</f>
        <v/>
      </c>
      <c r="G117" s="95">
        <f>IF(BDP("QCOM UW Equity","BEST_EPS","BEST_FPERIOD_OVERRIDE","27Y")&lt;&gt;0,$E$117/BDP("QCOM UW Equity","BEST_EPS","BEST_FPERIOD_OVERRIDE","27Y"),"")</f>
        <v/>
      </c>
      <c r="H117" s="95">
        <f>IF(BDP("QCOM UW Equity","BEST_EPS","BEST_FPERIOD_OVERRIDE","28Y")&lt;&gt;0,$E$117/BDP("QCOM UW Equity","BEST_EPS","BEST_FPERIOD_OVERRIDE","28Y"),"")</f>
        <v/>
      </c>
      <c r="I117" s="96">
        <f>BDP("QCOM UW Equity","NET_DEBT_TO_EBITDA")</f>
        <v/>
      </c>
      <c r="J117" s="93">
        <f>BDP("QCOM UW Equity","BEST_SALES","BEST_FPERIOD_OVERRIDE","26Y")/1000</f>
        <v/>
      </c>
      <c r="K117" s="97">
        <f>IF(BDP("QCOM UW Equity","BEST_SALES","BEST_FPERIOD_OVERRIDE","26Y")&lt;&gt;0,BDP("QCOM UW Equity","BEST_EBIT","BEST_FPERIOD_OVERRIDE","26Y")/BDP("QCOM UW Equity","BEST_SALES","BEST_FPERIOD_OVERRIDE","26Y"),"")</f>
        <v/>
      </c>
      <c r="L117" s="97">
        <f>BDP("QCOM UW Equity","RETURN_ON_INV_CAPITAL")/100</f>
        <v/>
      </c>
      <c r="M117" s="97">
        <f>IF(AND(BDP("QCOM UW Equity","BEST_SALES","BEST_FPERIOD_OVERRIDE","25Y")&gt;0,BDP("QCOM UW Equity","BEST_SALES","BEST_FPERIOD_OVERRIDE","28Y")&gt;0),(BDP("QCOM UW Equity","BEST_SALES","BEST_FPERIOD_OVERRIDE","28Y")/BDP("QCOM UW Equity","BEST_SALES","BEST_FPERIOD_OVERRIDE","25Y"))^(1/3)-1,"")</f>
        <v/>
      </c>
      <c r="N117" s="97">
        <f>IF(AND(BDP("QCOM UW Equity","BEST_EBIT","BEST_FPERIOD_OVERRIDE","25Y")&gt;0,BDP("QCOM UW Equity","BEST_EBIT","BEST_FPERIOD_OVERRIDE","28Y")&gt;0),(BDP("QCOM UW Equity","BEST_EBIT","BEST_FPERIOD_OVERRIDE","28Y")/BDP("QCOM UW Equity","BEST_EBIT","BEST_FPERIOD_OVERRIDE","25Y"))^(1/3)-1,"")</f>
        <v/>
      </c>
      <c r="O117" s="97">
        <f>IF(AND(BDP("QCOM UW Equity","BEST_EPS","BEST_FPERIOD_OVERRIDE","25Y")&gt;0,BDP("QCOM UW Equity","BEST_EPS","BEST_FPERIOD_OVERRIDE","28Y")&gt;0),(BDP("QCOM UW Equity","BEST_EPS","BEST_FPERIOD_OVERRIDE","28Y")/BDP("QCOM UW Equity","BEST_EPS","BEST_FPERIOD_OVERRIDE","25Y"))^(1/3)-1,"")</f>
        <v/>
      </c>
      <c r="Q117" s="97">
        <f>BDP("QCOM UW Equity","CHG_PCT_YTD")/100</f>
        <v/>
      </c>
      <c r="T117" s="68">
        <f>IF(AND(F117&lt;&gt;"",O117&lt;&gt;"",O117&lt;&gt;0),F117/(O117*100),"")</f>
        <v/>
      </c>
      <c r="AA117" s="72">
        <f t="array" ref="AA117">_xll.BDP(B117,"CHG_PCT_1YR")/100</f>
        <v/>
      </c>
      <c r="AB117" s="93">
        <f>BDP("QCOM UW Equity","TRAIL_12M_OPER_INC")</f>
        <v/>
      </c>
      <c r="AC117" s="93">
        <f>BDP("QCOM UW Equity","SHORT_AND_LONG_TERM_DEBT")</f>
        <v/>
      </c>
      <c r="AD117" s="93">
        <f>BDP("QCOM UW Equity","TOTAL_EQUITY")</f>
        <v/>
      </c>
      <c r="AE117" s="93">
        <f>BDP("QCOM UW Equity","BS_CASH_NEAR_CASH_ITEM")</f>
        <v/>
      </c>
      <c r="AF117" s="99">
        <f>BDP("QCOM UW Equity","BS_LT_INVEST")</f>
        <v/>
      </c>
      <c r="AG117" s="15">
        <f>AC117+AD117</f>
        <v/>
      </c>
      <c r="AH117" s="100">
        <f>BDP("QCOM UW Equity","RETURN_ON_INV_CAPITAL")/100</f>
        <v/>
      </c>
      <c r="AJ117" s="93">
        <f>BDP("QCOM UW Equity","BEST_EPS","BEST_FPERIOD_OVERRIDE","24Y")</f>
        <v/>
      </c>
      <c r="AK117" s="93">
        <f>BDP("QCOM UW Equity","BEST_EPS","BEST_FPERIOD_OVERRIDE","25Y")</f>
        <v/>
      </c>
      <c r="AL117" s="93">
        <f>BDP("QCOM UW Equity","BEST_EPS","BEST_FPERIOD_OVERRIDE","26Y")</f>
        <v/>
      </c>
      <c r="AM117" s="93">
        <f>BDP("QCOM UW Equity","BEST_EPS","BEST_FPERIOD_OVERRIDE","27Y")</f>
        <v/>
      </c>
      <c r="AN117" s="93">
        <f>BDP("QCOM UW Equity","BEST_EPS","BEST_FPERIOD_OVERRIDE","28Y")</f>
        <v/>
      </c>
      <c r="AO117" s="15">
        <f t="array" ref="AO117">_xll.BDP($B117,"EQY_FISCAL_YR_END")</f>
        <v/>
      </c>
      <c r="AP117" s="93">
        <f>BDP("QCOM UW Equity","BEST_SALES","BEST_FPERIOD_OVERRIDE","24Y")</f>
        <v/>
      </c>
      <c r="AQ117" s="93">
        <f>BDP("QCOM UW Equity","BEST_SALES","BEST_FPERIOD_OVERRIDE","25Y")</f>
        <v/>
      </c>
      <c r="AR117" s="93">
        <f>BDP("QCOM UW Equity","BEST_SALES","BEST_FPERIOD_OVERRIDE","26Y")</f>
        <v/>
      </c>
      <c r="AS117" s="93">
        <f>BDP("QCOM UW Equity","BEST_SALES","BEST_FPERIOD_OVERRIDE","27Y")</f>
        <v/>
      </c>
      <c r="AT117" s="93">
        <f>BDP("QCOM UW Equity","BEST_SALES","BEST_FPERIOD_OVERRIDE","28Y")</f>
        <v/>
      </c>
      <c r="AV117" s="93">
        <f>BDP("QCOM UW Equity","BEST_EBIT","BEST_FPERIOD_OVERRIDE","24Y")</f>
        <v/>
      </c>
      <c r="AW117" s="93">
        <f>BDP("QCOM UW Equity","BEST_EBIT","BEST_FPERIOD_OVERRIDE","25Y")</f>
        <v/>
      </c>
      <c r="AX117" s="93">
        <f>BDP("QCOM UW Equity","BEST_EBIT","BEST_FPERIOD_OVERRIDE","26Y")</f>
        <v/>
      </c>
      <c r="AY117" s="93">
        <f>BDP("QCOM UW Equity","BEST_EBIT","BEST_FPERIOD_OVERRIDE","27Y")</f>
        <v/>
      </c>
      <c r="AZ117" s="93">
        <f>BDP("QCOM UW Equity","BEST_EBIT","BEST_FPERIOD_OVERRIDE","28Y")</f>
        <v/>
      </c>
      <c r="BB117" s="68">
        <f>D117+BC117</f>
        <v/>
      </c>
      <c r="BC117" s="68">
        <f>AC117-AE117</f>
        <v/>
      </c>
      <c r="BD117" s="15">
        <f>D117</f>
        <v/>
      </c>
      <c r="BE117" s="99">
        <f>BDP("QCOM UW Equity","TRAIL_12M_EBITDA")</f>
        <v/>
      </c>
    </row>
    <row r="118">
      <c r="A118" t="inlineStr">
        <is>
          <t>ARM</t>
        </is>
      </c>
      <c r="B118" t="inlineStr">
        <is>
          <t>ARM UW Equity</t>
        </is>
      </c>
      <c r="C118" s="15" t="inlineStr">
        <is>
          <t>Mar</t>
        </is>
      </c>
      <c r="D118" s="93">
        <f>BDP("ARM UW Equity","CUR_MKT_CAP")/1000000000</f>
        <v/>
      </c>
      <c r="E118" s="94">
        <f>BDP("ARM UW Equity","PX_LAST")</f>
        <v/>
      </c>
      <c r="F118" s="95">
        <f>IF(BDP("ARM UW Equity","BEST_EPS","BEST_FPERIOD_OVERRIDE","27Y")&lt;&gt;0,$E$118/BDP("ARM UW Equity","BEST_EPS","BEST_FPERIOD_OVERRIDE","27Y"),"")</f>
        <v/>
      </c>
      <c r="G118" s="95">
        <f>IF(BDP("ARM UW Equity","BEST_EPS","BEST_FPERIOD_OVERRIDE","28Y")&lt;&gt;0,$E$118/BDP("ARM UW Equity","BEST_EPS","BEST_FPERIOD_OVERRIDE","28Y"),"")</f>
        <v/>
      </c>
      <c r="H118" s="95">
        <f>IF(BDP("ARM UW Equity","BEST_EPS","BEST_FPERIOD_OVERRIDE","29Y")&lt;&gt;0,$E$118/BDP("ARM UW Equity","BEST_EPS","BEST_FPERIOD_OVERRIDE","29Y"),"")</f>
        <v/>
      </c>
      <c r="I118" s="96">
        <f>BDP("ARM UW Equity","NET_DEBT_TO_EBITDA")</f>
        <v/>
      </c>
      <c r="J118" s="93">
        <f>BDP("ARM UW Equity","BEST_SALES","BEST_FPERIOD_OVERRIDE","27Y")/1000</f>
        <v/>
      </c>
      <c r="K118" s="97">
        <f>IF(BDP("ARM UW Equity","BEST_SALES","BEST_FPERIOD_OVERRIDE","27Y")&lt;&gt;0,BDP("ARM UW Equity","BEST_EBIT","BEST_FPERIOD_OVERRIDE","27Y")/BDP("ARM UW Equity","BEST_SALES","BEST_FPERIOD_OVERRIDE","27Y"),"")</f>
        <v/>
      </c>
      <c r="L118" s="97">
        <f>BDP("ARM UW Equity","RETURN_ON_INV_CAPITAL")/100</f>
        <v/>
      </c>
      <c r="M118" s="97">
        <f>IF(AND(BDP("ARM UW Equity","BEST_SALES","BEST_FPERIOD_OVERRIDE","26Y")&gt;0,BDP("ARM UW Equity","BEST_SALES","BEST_FPERIOD_OVERRIDE","29Y")&gt;0),(BDP("ARM UW Equity","BEST_SALES","BEST_FPERIOD_OVERRIDE","29Y")/BDP("ARM UW Equity","BEST_SALES","BEST_FPERIOD_OVERRIDE","26Y"))^(1/3)-1,"")</f>
        <v/>
      </c>
      <c r="N118" s="97">
        <f>IF(AND(BDP("ARM UW Equity","BEST_EBIT","BEST_FPERIOD_OVERRIDE","26Y")&gt;0,BDP("ARM UW Equity","BEST_EBIT","BEST_FPERIOD_OVERRIDE","29Y")&gt;0),(BDP("ARM UW Equity","BEST_EBIT","BEST_FPERIOD_OVERRIDE","29Y")/BDP("ARM UW Equity","BEST_EBIT","BEST_FPERIOD_OVERRIDE","26Y"))^(1/3)-1,"")</f>
        <v/>
      </c>
      <c r="O118" s="97">
        <f>IF(AND(BDP("ARM UW Equity","BEST_EPS","BEST_FPERIOD_OVERRIDE","26Y")&gt;0,BDP("ARM UW Equity","BEST_EPS","BEST_FPERIOD_OVERRIDE","29Y")&gt;0),(BDP("ARM UW Equity","BEST_EPS","BEST_FPERIOD_OVERRIDE","29Y")/BDP("ARM UW Equity","BEST_EPS","BEST_FPERIOD_OVERRIDE","26Y"))^(1/3)-1,"")</f>
        <v/>
      </c>
      <c r="Q118" s="97">
        <f>BDP("ARM UW Equity","CHG_PCT_YTD")/100</f>
        <v/>
      </c>
      <c r="T118" s="68">
        <f>IF(AND(F118&lt;&gt;"",O118&lt;&gt;"",O118&lt;&gt;0),F118/(O118*100),"")</f>
        <v/>
      </c>
      <c r="AA118" s="72">
        <f t="array" ref="AA118">_xll.BDP(B118,"CHG_PCT_1YR")/100</f>
        <v/>
      </c>
      <c r="AB118" s="93">
        <f>BDP("ARM UW Equity","TRAIL_12M_OPER_INC")</f>
        <v/>
      </c>
      <c r="AC118" s="93">
        <f>BDP("ARM UW Equity","SHORT_AND_LONG_TERM_DEBT")</f>
        <v/>
      </c>
      <c r="AD118" s="93">
        <f>BDP("ARM UW Equity","TOTAL_EQUITY")</f>
        <v/>
      </c>
      <c r="AE118" s="93">
        <f>BDP("ARM UW Equity","BS_CASH_NEAR_CASH_ITEM")</f>
        <v/>
      </c>
      <c r="AF118" s="99">
        <f>BDP("ARM UW Equity","BS_LT_INVEST")</f>
        <v/>
      </c>
      <c r="AG118" s="15">
        <f>AC118+AD118</f>
        <v/>
      </c>
      <c r="AH118" s="100">
        <f>BDP("ARM UW Equity","RETURN_ON_INV_CAPITAL")/100</f>
        <v/>
      </c>
      <c r="AJ118" s="93">
        <f>BDP("ARM UW Equity","BEST_EPS","BEST_FPERIOD_OVERRIDE","25Y")</f>
        <v/>
      </c>
      <c r="AK118" s="93">
        <f>BDP("ARM UW Equity","BEST_EPS","BEST_FPERIOD_OVERRIDE","26Y")</f>
        <v/>
      </c>
      <c r="AL118" s="93">
        <f>BDP("ARM UW Equity","BEST_EPS","BEST_FPERIOD_OVERRIDE","27Y")</f>
        <v/>
      </c>
      <c r="AM118" s="93">
        <f>BDP("ARM UW Equity","BEST_EPS","BEST_FPERIOD_OVERRIDE","28Y")</f>
        <v/>
      </c>
      <c r="AN118" s="93">
        <f>BDP("ARM UW Equity","BEST_EPS","BEST_FPERIOD_OVERRIDE","29Y")</f>
        <v/>
      </c>
      <c r="AO118" s="15">
        <f t="array" ref="AO118">_xll.BDP($B118,"EQY_FISCAL_YR_END")</f>
        <v/>
      </c>
      <c r="AP118" s="93">
        <f>BDP("ARM UW Equity","BEST_SALES","BEST_FPERIOD_OVERRIDE","25Y")</f>
        <v/>
      </c>
      <c r="AQ118" s="93">
        <f>BDP("ARM UW Equity","BEST_SALES","BEST_FPERIOD_OVERRIDE","26Y")</f>
        <v/>
      </c>
      <c r="AR118" s="93">
        <f>BDP("ARM UW Equity","BEST_SALES","BEST_FPERIOD_OVERRIDE","27Y")</f>
        <v/>
      </c>
      <c r="AS118" s="93">
        <f>BDP("ARM UW Equity","BEST_SALES","BEST_FPERIOD_OVERRIDE","28Y")</f>
        <v/>
      </c>
      <c r="AT118" s="93">
        <f>BDP("ARM UW Equity","BEST_SALES","BEST_FPERIOD_OVERRIDE","29Y")</f>
        <v/>
      </c>
      <c r="AV118" s="93">
        <f>BDP("ARM UW Equity","BEST_EBIT","BEST_FPERIOD_OVERRIDE","25Y")</f>
        <v/>
      </c>
      <c r="AW118" s="93">
        <f>BDP("ARM UW Equity","BEST_EBIT","BEST_FPERIOD_OVERRIDE","26Y")</f>
        <v/>
      </c>
      <c r="AX118" s="93">
        <f>BDP("ARM UW Equity","BEST_EBIT","BEST_FPERIOD_OVERRIDE","27Y")</f>
        <v/>
      </c>
      <c r="AY118" s="93">
        <f>BDP("ARM UW Equity","BEST_EBIT","BEST_FPERIOD_OVERRIDE","28Y")</f>
        <v/>
      </c>
      <c r="AZ118" s="93">
        <f>BDP("ARM UW Equity","BEST_EBIT","BEST_FPERIOD_OVERRIDE","29Y")</f>
        <v/>
      </c>
      <c r="BB118" s="68">
        <f>D118+BC118</f>
        <v/>
      </c>
      <c r="BC118" s="68">
        <f>AC118-AE118</f>
        <v/>
      </c>
      <c r="BD118" s="15">
        <f>D118</f>
        <v/>
      </c>
      <c r="BE118" s="99">
        <f>BDP("ARM UW Equity","TRAIL_12M_EBITDA")</f>
        <v/>
      </c>
    </row>
    <row r="119">
      <c r="A119" t="inlineStr">
        <is>
          <t>INTC</t>
        </is>
      </c>
      <c r="B119" t="inlineStr">
        <is>
          <t>INTC UW Equity</t>
        </is>
      </c>
      <c r="C119" s="15" t="inlineStr">
        <is>
          <t>Dec</t>
        </is>
      </c>
      <c r="D119" s="93">
        <f>BDP("INTC UW Equity","CUR_MKT_CAP")/1000000000</f>
        <v/>
      </c>
      <c r="E119" s="94">
        <f>BDP("INTC UW Equity","PX_LAST")</f>
        <v/>
      </c>
      <c r="F119" s="95">
        <f>IF(BDP("INTC UW Equity","BEST_EPS","BEST_FPERIOD_OVERRIDE","26Y")&lt;&gt;0,$E$119/BDP("INTC UW Equity","BEST_EPS","BEST_FPERIOD_OVERRIDE","26Y"),"")</f>
        <v/>
      </c>
      <c r="G119" s="95">
        <f>IF(BDP("INTC UW Equity","BEST_EPS","BEST_FPERIOD_OVERRIDE","27Y")&lt;&gt;0,$E$119/BDP("INTC UW Equity","BEST_EPS","BEST_FPERIOD_OVERRIDE","27Y"),"")</f>
        <v/>
      </c>
      <c r="H119" s="95">
        <f>IF(BDP("INTC UW Equity","BEST_EPS","BEST_FPERIOD_OVERRIDE","28Y")&lt;&gt;0,$E$119/BDP("INTC UW Equity","BEST_EPS","BEST_FPERIOD_OVERRIDE","28Y"),"")</f>
        <v/>
      </c>
      <c r="I119" s="96">
        <f>BDP("INTC UW Equity","NET_DEBT_TO_EBITDA")</f>
        <v/>
      </c>
      <c r="J119" s="93">
        <f>BDP("INTC UW Equity","BEST_SALES","BEST_FPERIOD_OVERRIDE","26Y")/1000</f>
        <v/>
      </c>
      <c r="K119" s="97">
        <f>IF(BDP("INTC UW Equity","BEST_SALES","BEST_FPERIOD_OVERRIDE","26Y")&lt;&gt;0,BDP("INTC UW Equity","BEST_EBIT","BEST_FPERIOD_OVERRIDE","26Y")/BDP("INTC UW Equity","BEST_SALES","BEST_FPERIOD_OVERRIDE","26Y"),"")</f>
        <v/>
      </c>
      <c r="L119" s="97">
        <f>BDP("INTC UW Equity","RETURN_ON_INV_CAPITAL")/100</f>
        <v/>
      </c>
      <c r="M119" s="97">
        <f>IF(AND(BDP("INTC UW Equity","BEST_SALES","BEST_FPERIOD_OVERRIDE","25Y")&gt;0,BDP("INTC UW Equity","BEST_SALES","BEST_FPERIOD_OVERRIDE","28Y")&gt;0),(BDP("INTC UW Equity","BEST_SALES","BEST_FPERIOD_OVERRIDE","28Y")/BDP("INTC UW Equity","BEST_SALES","BEST_FPERIOD_OVERRIDE","25Y"))^(1/3)-1,"")</f>
        <v/>
      </c>
      <c r="N119" s="97">
        <f>IF(AND(BDP("INTC UW Equity","BEST_EBIT","BEST_FPERIOD_OVERRIDE","25Y")&gt;0,BDP("INTC UW Equity","BEST_EBIT","BEST_FPERIOD_OVERRIDE","28Y")&gt;0),(BDP("INTC UW Equity","BEST_EBIT","BEST_FPERIOD_OVERRIDE","28Y")/BDP("INTC UW Equity","BEST_EBIT","BEST_FPERIOD_OVERRIDE","25Y"))^(1/3)-1,"")</f>
        <v/>
      </c>
      <c r="O119" s="97">
        <f>IF(AND(BDP("INTC UW Equity","BEST_EPS","BEST_FPERIOD_OVERRIDE","25Y")&gt;0,BDP("INTC UW Equity","BEST_EPS","BEST_FPERIOD_OVERRIDE","28Y")&gt;0),(BDP("INTC UW Equity","BEST_EPS","BEST_FPERIOD_OVERRIDE","28Y")/BDP("INTC UW Equity","BEST_EPS","BEST_FPERIOD_OVERRIDE","25Y"))^(1/3)-1,"")</f>
        <v/>
      </c>
      <c r="Q119" s="97">
        <f>BDP("INTC UW Equity","CHG_PCT_YTD")/100</f>
        <v/>
      </c>
      <c r="T119" s="68">
        <f>IF(AND(F119&lt;&gt;"",O119&lt;&gt;"",O119&lt;&gt;0),F119/(O119*100),"")</f>
        <v/>
      </c>
      <c r="AA119" s="72">
        <f t="array" ref="AA119">_xll.BDP(B119,"CHG_PCT_1YR")/100</f>
        <v/>
      </c>
      <c r="AB119" s="93">
        <f>BDP("INTC UW Equity","TRAIL_12M_OPER_INC")</f>
        <v/>
      </c>
      <c r="AC119" s="93">
        <f>BDP("INTC UW Equity","SHORT_AND_LONG_TERM_DEBT")</f>
        <v/>
      </c>
      <c r="AD119" s="93">
        <f>BDP("INTC UW Equity","TOTAL_EQUITY")</f>
        <v/>
      </c>
      <c r="AE119" s="93">
        <f>BDP("INTC UW Equity","BS_CASH_NEAR_CASH_ITEM")</f>
        <v/>
      </c>
      <c r="AF119" s="99">
        <f>BDP("INTC UW Equity","BS_LT_INVEST")</f>
        <v/>
      </c>
      <c r="AG119" s="15">
        <f>AC119+AD119</f>
        <v/>
      </c>
      <c r="AH119" s="100">
        <f>BDP("INTC UW Equity","RETURN_ON_INV_CAPITAL")/100</f>
        <v/>
      </c>
      <c r="AJ119" s="93">
        <f>BDP("INTC UW Equity","BEST_EPS","BEST_FPERIOD_OVERRIDE","24Y")</f>
        <v/>
      </c>
      <c r="AK119" s="93">
        <f>BDP("INTC UW Equity","BEST_EPS","BEST_FPERIOD_OVERRIDE","25Y")</f>
        <v/>
      </c>
      <c r="AL119" s="93">
        <f>BDP("INTC UW Equity","BEST_EPS","BEST_FPERIOD_OVERRIDE","26Y")</f>
        <v/>
      </c>
      <c r="AM119" s="93">
        <f>BDP("INTC UW Equity","BEST_EPS","BEST_FPERIOD_OVERRIDE","27Y")</f>
        <v/>
      </c>
      <c r="AN119" s="93">
        <f>BDP("INTC UW Equity","BEST_EPS","BEST_FPERIOD_OVERRIDE","28Y")</f>
        <v/>
      </c>
      <c r="AO119" s="15">
        <f t="array" ref="AO119">_xll.BDP($B119,"EQY_FISCAL_YR_END")</f>
        <v/>
      </c>
      <c r="AP119" s="93">
        <f>BDP("INTC UW Equity","BEST_SALES","BEST_FPERIOD_OVERRIDE","24Y")</f>
        <v/>
      </c>
      <c r="AQ119" s="93">
        <f>BDP("INTC UW Equity","BEST_SALES","BEST_FPERIOD_OVERRIDE","25Y")</f>
        <v/>
      </c>
      <c r="AR119" s="93">
        <f>BDP("INTC UW Equity","BEST_SALES","BEST_FPERIOD_OVERRIDE","26Y")</f>
        <v/>
      </c>
      <c r="AS119" s="93">
        <f>BDP("INTC UW Equity","BEST_SALES","BEST_FPERIOD_OVERRIDE","27Y")</f>
        <v/>
      </c>
      <c r="AT119" s="93">
        <f>BDP("INTC UW Equity","BEST_SALES","BEST_FPERIOD_OVERRIDE","28Y")</f>
        <v/>
      </c>
      <c r="AV119" s="93">
        <f>BDP("INTC UW Equity","BEST_EBIT","BEST_FPERIOD_OVERRIDE","24Y")</f>
        <v/>
      </c>
      <c r="AW119" s="93">
        <f>BDP("INTC UW Equity","BEST_EBIT","BEST_FPERIOD_OVERRIDE","25Y")</f>
        <v/>
      </c>
      <c r="AX119" s="93">
        <f>BDP("INTC UW Equity","BEST_EBIT","BEST_FPERIOD_OVERRIDE","26Y")</f>
        <v/>
      </c>
      <c r="AY119" s="93">
        <f>BDP("INTC UW Equity","BEST_EBIT","BEST_FPERIOD_OVERRIDE","27Y")</f>
        <v/>
      </c>
      <c r="AZ119" s="93">
        <f>BDP("INTC UW Equity","BEST_EBIT","BEST_FPERIOD_OVERRIDE","28Y")</f>
        <v/>
      </c>
      <c r="BB119" s="68">
        <f>D119+BC119</f>
        <v/>
      </c>
      <c r="BC119" s="68">
        <f>AC119-AE119</f>
        <v/>
      </c>
      <c r="BD119" s="15">
        <f>D119</f>
        <v/>
      </c>
      <c r="BE119" s="99">
        <f>BDP("INTC UW Equity","TRAIL_12M_EBITDA")</f>
        <v/>
      </c>
    </row>
    <row r="120">
      <c r="D120" s="15" t="n"/>
      <c r="AA120" s="72" t="n"/>
    </row>
    <row r="121">
      <c r="A121" s="36" t="inlineStr">
        <is>
          <t>Foundries</t>
        </is>
      </c>
      <c r="D121" s="15" t="n"/>
      <c r="AA121" s="72" t="n"/>
    </row>
    <row r="122">
      <c r="A122" t="inlineStr">
        <is>
          <t>TSMC</t>
        </is>
      </c>
      <c r="B122" t="inlineStr">
        <is>
          <t>TSM UN Equity</t>
        </is>
      </c>
      <c r="C122" s="15" t="inlineStr">
        <is>
          <t>Dec</t>
        </is>
      </c>
      <c r="D122" s="93">
        <f>BDP("TSM UN Equity","CUR_MKT_CAP")/1000000000</f>
        <v/>
      </c>
      <c r="E122" s="94">
        <f>BDP("TSM UN Equity","PX_LAST")</f>
        <v/>
      </c>
      <c r="F122" s="95">
        <f>IF(BDP("TSM UN Equity","BEST_EPS","BEST_FPERIOD_OVERRIDE","26Y")&lt;&gt;0,$E$122/BDP("TSM UN Equity","BEST_EPS","BEST_FPERIOD_OVERRIDE","26Y"),"")</f>
        <v/>
      </c>
      <c r="G122" s="95">
        <f>IF(BDP("TSM UN Equity","BEST_EPS","BEST_FPERIOD_OVERRIDE","27Y")&lt;&gt;0,$E$122/BDP("TSM UN Equity","BEST_EPS","BEST_FPERIOD_OVERRIDE","27Y"),"")</f>
        <v/>
      </c>
      <c r="H122" s="95">
        <f>IF(BDP("TSM UN Equity","BEST_EPS","BEST_FPERIOD_OVERRIDE","28Y")&lt;&gt;0,$E$122/BDP("TSM UN Equity","BEST_EPS","BEST_FPERIOD_OVERRIDE","28Y"),"")</f>
        <v/>
      </c>
      <c r="I122" s="96">
        <f>BDP("TSM UN Equity","NET_DEBT_TO_EBITDA")</f>
        <v/>
      </c>
      <c r="J122" s="93">
        <f>BDP("TSM UN Equity","BEST_SALES","BEST_FPERIOD_OVERRIDE","26Y")/1000</f>
        <v/>
      </c>
      <c r="K122" s="97">
        <f>IF(BDP("TSM UN Equity","BEST_SALES","BEST_FPERIOD_OVERRIDE","26Y")&lt;&gt;0,BDP("TSM UN Equity","BEST_EBIT","BEST_FPERIOD_OVERRIDE","26Y")/BDP("TSM UN Equity","BEST_SALES","BEST_FPERIOD_OVERRIDE","26Y"),"")</f>
        <v/>
      </c>
      <c r="L122" s="97">
        <f>BDP("TSM UN Equity","RETURN_ON_INV_CAPITAL")/100</f>
        <v/>
      </c>
      <c r="M122" s="97">
        <f>IF(AND(BDP("TSM UN Equity","BEST_SALES","BEST_FPERIOD_OVERRIDE","25Y")&gt;0,BDP("TSM UN Equity","BEST_SALES","BEST_FPERIOD_OVERRIDE","28Y")&gt;0),(BDP("TSM UN Equity","BEST_SALES","BEST_FPERIOD_OVERRIDE","28Y")/BDP("TSM UN Equity","BEST_SALES","BEST_FPERIOD_OVERRIDE","25Y"))^(1/3)-1,"")</f>
        <v/>
      </c>
      <c r="N122" s="97">
        <f>IF(AND(BDP("TSM UN Equity","BEST_EBIT","BEST_FPERIOD_OVERRIDE","25Y")&gt;0,BDP("TSM UN Equity","BEST_EBIT","BEST_FPERIOD_OVERRIDE","28Y")&gt;0),(BDP("TSM UN Equity","BEST_EBIT","BEST_FPERIOD_OVERRIDE","28Y")/BDP("TSM UN Equity","BEST_EBIT","BEST_FPERIOD_OVERRIDE","25Y"))^(1/3)-1,"")</f>
        <v/>
      </c>
      <c r="O122" s="97">
        <f>IF(AND(BDP("TSM UN Equity","BEST_EPS","BEST_FPERIOD_OVERRIDE","25Y")&gt;0,BDP("TSM UN Equity","BEST_EPS","BEST_FPERIOD_OVERRIDE","28Y")&gt;0),(BDP("TSM UN Equity","BEST_EPS","BEST_FPERIOD_OVERRIDE","28Y")/BDP("TSM UN Equity","BEST_EPS","BEST_FPERIOD_OVERRIDE","25Y"))^(1/3)-1,"")</f>
        <v/>
      </c>
      <c r="Q122" s="97">
        <f>BDP("TSM UN Equity","CHG_PCT_YTD")/100</f>
        <v/>
      </c>
      <c r="T122" s="68">
        <f>IF(AND(F122&lt;&gt;"",O122&lt;&gt;"",O122&lt;&gt;0),F122/(O122*100),"")</f>
        <v/>
      </c>
      <c r="AA122" s="72">
        <f t="array" ref="AA122">_xll.BDP(B122,"CHG_PCT_1YR")/100</f>
        <v/>
      </c>
      <c r="AB122" s="93">
        <f>BDP("TSM UN Equity","TRAIL_12M_OPER_INC")</f>
        <v/>
      </c>
      <c r="AC122" s="93">
        <f>BDP("TSM UN Equity","SHORT_AND_LONG_TERM_DEBT")</f>
        <v/>
      </c>
      <c r="AD122" s="93">
        <f>BDP("TSM UN Equity","TOTAL_EQUITY")</f>
        <v/>
      </c>
      <c r="AE122" s="93">
        <f>BDP("TSM UN Equity","BS_CASH_NEAR_CASH_ITEM")</f>
        <v/>
      </c>
      <c r="AF122" s="99">
        <f>BDP("TSM UN Equity","BS_LT_INVEST")</f>
        <v/>
      </c>
      <c r="AG122" s="15">
        <f>AC122+AD122</f>
        <v/>
      </c>
      <c r="AH122" s="100">
        <f>BDP("TSM UN Equity","RETURN_ON_INV_CAPITAL")/100</f>
        <v/>
      </c>
      <c r="AJ122" s="93">
        <f>BDP("TSM UN Equity","BEST_EPS","BEST_FPERIOD_OVERRIDE","24Y")</f>
        <v/>
      </c>
      <c r="AK122" s="93">
        <f>BDP("TSM UN Equity","BEST_EPS","BEST_FPERIOD_OVERRIDE","25Y")</f>
        <v/>
      </c>
      <c r="AL122" s="93">
        <f>BDP("TSM UN Equity","BEST_EPS","BEST_FPERIOD_OVERRIDE","26Y")</f>
        <v/>
      </c>
      <c r="AM122" s="93">
        <f>BDP("TSM UN Equity","BEST_EPS","BEST_FPERIOD_OVERRIDE","27Y")</f>
        <v/>
      </c>
      <c r="AN122" s="93">
        <f>BDP("TSM UN Equity","BEST_EPS","BEST_FPERIOD_OVERRIDE","28Y")</f>
        <v/>
      </c>
      <c r="AO122" s="15">
        <f t="array" ref="AO122">_xll.BDP($B122,"EQY_FISCAL_YR_END")</f>
        <v/>
      </c>
      <c r="AP122" s="93">
        <f>BDP("TSM UN Equity","BEST_SALES","BEST_FPERIOD_OVERRIDE","24Y")</f>
        <v/>
      </c>
      <c r="AQ122" s="93">
        <f>BDP("TSM UN Equity","BEST_SALES","BEST_FPERIOD_OVERRIDE","25Y")</f>
        <v/>
      </c>
      <c r="AR122" s="93">
        <f>BDP("TSM UN Equity","BEST_SALES","BEST_FPERIOD_OVERRIDE","26Y")</f>
        <v/>
      </c>
      <c r="AS122" s="93">
        <f>BDP("TSM UN Equity","BEST_SALES","BEST_FPERIOD_OVERRIDE","27Y")</f>
        <v/>
      </c>
      <c r="AT122" s="93">
        <f>BDP("TSM UN Equity","BEST_SALES","BEST_FPERIOD_OVERRIDE","28Y")</f>
        <v/>
      </c>
      <c r="AV122" s="93">
        <f>BDP("TSM UN Equity","BEST_EBIT","BEST_FPERIOD_OVERRIDE","24Y")</f>
        <v/>
      </c>
      <c r="AW122" s="93">
        <f>BDP("TSM UN Equity","BEST_EBIT","BEST_FPERIOD_OVERRIDE","25Y")</f>
        <v/>
      </c>
      <c r="AX122" s="93">
        <f>BDP("TSM UN Equity","BEST_EBIT","BEST_FPERIOD_OVERRIDE","26Y")</f>
        <v/>
      </c>
      <c r="AY122" s="93">
        <f>BDP("TSM UN Equity","BEST_EBIT","BEST_FPERIOD_OVERRIDE","27Y")</f>
        <v/>
      </c>
      <c r="AZ122" s="93">
        <f>BDP("TSM UN Equity","BEST_EBIT","BEST_FPERIOD_OVERRIDE","28Y")</f>
        <v/>
      </c>
      <c r="BB122" s="68">
        <f>D122+BC122</f>
        <v/>
      </c>
      <c r="BC122" s="68">
        <f>AC122-AE122</f>
        <v/>
      </c>
      <c r="BD122" s="15">
        <f>D122</f>
        <v/>
      </c>
      <c r="BE122" s="99">
        <f>BDP("TSM UN Equity","TRAIL_12M_EBITDA")</f>
        <v/>
      </c>
    </row>
    <row r="123">
      <c r="A123" t="inlineStr">
        <is>
          <t>GFS</t>
        </is>
      </c>
      <c r="B123" t="inlineStr">
        <is>
          <t>GFS UW Equity</t>
        </is>
      </c>
      <c r="C123" s="15" t="inlineStr">
        <is>
          <t>Dec</t>
        </is>
      </c>
      <c r="D123" s="93">
        <f>BDP("GFS UW Equity","CUR_MKT_CAP")/1000000000</f>
        <v/>
      </c>
      <c r="E123" s="94">
        <f>BDP("GFS UW Equity","PX_LAST")</f>
        <v/>
      </c>
      <c r="F123" s="95">
        <f>IF(BDP("GFS UW Equity","BEST_EPS","BEST_FPERIOD_OVERRIDE","26Y")&lt;&gt;0,$E$123/BDP("GFS UW Equity","BEST_EPS","BEST_FPERIOD_OVERRIDE","26Y"),"")</f>
        <v/>
      </c>
      <c r="G123" s="95">
        <f>IF(BDP("GFS UW Equity","BEST_EPS","BEST_FPERIOD_OVERRIDE","27Y")&lt;&gt;0,$E$123/BDP("GFS UW Equity","BEST_EPS","BEST_FPERIOD_OVERRIDE","27Y"),"")</f>
        <v/>
      </c>
      <c r="H123" s="95">
        <f>IF(BDP("GFS UW Equity","BEST_EPS","BEST_FPERIOD_OVERRIDE","28Y")&lt;&gt;0,$E$123/BDP("GFS UW Equity","BEST_EPS","BEST_FPERIOD_OVERRIDE","28Y"),"")</f>
        <v/>
      </c>
      <c r="I123" s="96">
        <f>BDP("GFS UW Equity","NET_DEBT_TO_EBITDA")</f>
        <v/>
      </c>
      <c r="J123" s="93">
        <f>BDP("GFS UW Equity","BEST_SALES","BEST_FPERIOD_OVERRIDE","26Y")/1000</f>
        <v/>
      </c>
      <c r="K123" s="97">
        <f>IF(BDP("GFS UW Equity","BEST_SALES","BEST_FPERIOD_OVERRIDE","26Y")&lt;&gt;0,BDP("GFS UW Equity","BEST_EBIT","BEST_FPERIOD_OVERRIDE","26Y")/BDP("GFS UW Equity","BEST_SALES","BEST_FPERIOD_OVERRIDE","26Y"),"")</f>
        <v/>
      </c>
      <c r="L123" s="97">
        <f>BDP("GFS UW Equity","RETURN_ON_INV_CAPITAL")/100</f>
        <v/>
      </c>
      <c r="M123" s="97">
        <f>IF(AND(BDP("GFS UW Equity","BEST_SALES","BEST_FPERIOD_OVERRIDE","25Y")&gt;0,BDP("GFS UW Equity","BEST_SALES","BEST_FPERIOD_OVERRIDE","28Y")&gt;0),(BDP("GFS UW Equity","BEST_SALES","BEST_FPERIOD_OVERRIDE","28Y")/BDP("GFS UW Equity","BEST_SALES","BEST_FPERIOD_OVERRIDE","25Y"))^(1/3)-1,"")</f>
        <v/>
      </c>
      <c r="N123" s="97">
        <f>IF(AND(BDP("GFS UW Equity","BEST_EBIT","BEST_FPERIOD_OVERRIDE","25Y")&gt;0,BDP("GFS UW Equity","BEST_EBIT","BEST_FPERIOD_OVERRIDE","28Y")&gt;0),(BDP("GFS UW Equity","BEST_EBIT","BEST_FPERIOD_OVERRIDE","28Y")/BDP("GFS UW Equity","BEST_EBIT","BEST_FPERIOD_OVERRIDE","25Y"))^(1/3)-1,"")</f>
        <v/>
      </c>
      <c r="O123" s="97">
        <f>IF(AND(BDP("GFS UW Equity","BEST_EPS","BEST_FPERIOD_OVERRIDE","25Y")&gt;0,BDP("GFS UW Equity","BEST_EPS","BEST_FPERIOD_OVERRIDE","28Y")&gt;0),(BDP("GFS UW Equity","BEST_EPS","BEST_FPERIOD_OVERRIDE","28Y")/BDP("GFS UW Equity","BEST_EPS","BEST_FPERIOD_OVERRIDE","25Y"))^(1/3)-1,"")</f>
        <v/>
      </c>
      <c r="Q123" s="97">
        <f>BDP("GFS UW Equity","CHG_PCT_YTD")/100</f>
        <v/>
      </c>
      <c r="T123" s="68">
        <f>IF(AND(F123&lt;&gt;"",O123&lt;&gt;"",O123&lt;&gt;0),F123/(O123*100),"")</f>
        <v/>
      </c>
      <c r="AA123" s="72">
        <f t="array" ref="AA123">_xll.BDP(B123,"CHG_PCT_1YR")/100</f>
        <v/>
      </c>
      <c r="AB123" s="93">
        <f>BDP("GFS UW Equity","TRAIL_12M_OPER_INC")</f>
        <v/>
      </c>
      <c r="AC123" s="93">
        <f>BDP("GFS UW Equity","SHORT_AND_LONG_TERM_DEBT")</f>
        <v/>
      </c>
      <c r="AD123" s="93">
        <f>BDP("GFS UW Equity","TOTAL_EQUITY")</f>
        <v/>
      </c>
      <c r="AE123" s="93">
        <f>BDP("GFS UW Equity","BS_CASH_NEAR_CASH_ITEM")</f>
        <v/>
      </c>
      <c r="AF123" s="99">
        <f>BDP("GFS UW Equity","BS_LT_INVEST")</f>
        <v/>
      </c>
      <c r="AG123" s="15">
        <f>AC123+AD123</f>
        <v/>
      </c>
      <c r="AH123" s="100">
        <f>BDP("GFS UW Equity","RETURN_ON_INV_CAPITAL")/100</f>
        <v/>
      </c>
      <c r="AJ123" s="93">
        <f>BDP("GFS UW Equity","BEST_EPS","BEST_FPERIOD_OVERRIDE","24Y")</f>
        <v/>
      </c>
      <c r="AK123" s="93">
        <f>BDP("GFS UW Equity","BEST_EPS","BEST_FPERIOD_OVERRIDE","25Y")</f>
        <v/>
      </c>
      <c r="AL123" s="93">
        <f>BDP("GFS UW Equity","BEST_EPS","BEST_FPERIOD_OVERRIDE","26Y")</f>
        <v/>
      </c>
      <c r="AM123" s="93">
        <f>BDP("GFS UW Equity","BEST_EPS","BEST_FPERIOD_OVERRIDE","27Y")</f>
        <v/>
      </c>
      <c r="AN123" s="93">
        <f>BDP("GFS UW Equity","BEST_EPS","BEST_FPERIOD_OVERRIDE","28Y")</f>
        <v/>
      </c>
      <c r="AO123" s="15">
        <f t="array" ref="AO123">_xll.BDP($B123,"EQY_FISCAL_YR_END")</f>
        <v/>
      </c>
      <c r="AP123" s="93">
        <f>BDP("GFS UW Equity","BEST_SALES","BEST_FPERIOD_OVERRIDE","24Y")</f>
        <v/>
      </c>
      <c r="AQ123" s="93">
        <f>BDP("GFS UW Equity","BEST_SALES","BEST_FPERIOD_OVERRIDE","25Y")</f>
        <v/>
      </c>
      <c r="AR123" s="93">
        <f>BDP("GFS UW Equity","BEST_SALES","BEST_FPERIOD_OVERRIDE","26Y")</f>
        <v/>
      </c>
      <c r="AS123" s="93">
        <f>BDP("GFS UW Equity","BEST_SALES","BEST_FPERIOD_OVERRIDE","27Y")</f>
        <v/>
      </c>
      <c r="AT123" s="93">
        <f>BDP("GFS UW Equity","BEST_SALES","BEST_FPERIOD_OVERRIDE","28Y")</f>
        <v/>
      </c>
      <c r="AV123" s="93">
        <f>BDP("GFS UW Equity","BEST_EBIT","BEST_FPERIOD_OVERRIDE","24Y")</f>
        <v/>
      </c>
      <c r="AW123" s="93">
        <f>BDP("GFS UW Equity","BEST_EBIT","BEST_FPERIOD_OVERRIDE","25Y")</f>
        <v/>
      </c>
      <c r="AX123" s="93">
        <f>BDP("GFS UW Equity","BEST_EBIT","BEST_FPERIOD_OVERRIDE","26Y")</f>
        <v/>
      </c>
      <c r="AY123" s="93">
        <f>BDP("GFS UW Equity","BEST_EBIT","BEST_FPERIOD_OVERRIDE","27Y")</f>
        <v/>
      </c>
      <c r="AZ123" s="93">
        <f>BDP("GFS UW Equity","BEST_EBIT","BEST_FPERIOD_OVERRIDE","28Y")</f>
        <v/>
      </c>
      <c r="BB123" s="68">
        <f>D123+BC123</f>
        <v/>
      </c>
      <c r="BC123" s="68">
        <f>AC123-AE123</f>
        <v/>
      </c>
      <c r="BD123" s="15">
        <f>D123</f>
        <v/>
      </c>
      <c r="BE123" s="99">
        <f>BDP("GFS UW Equity","TRAIL_12M_EBITDA")</f>
        <v/>
      </c>
    </row>
    <row r="124">
      <c r="C124" s="15" t="n"/>
      <c r="D124" s="15" t="n"/>
      <c r="E124" s="69" t="n"/>
      <c r="F124" s="70" t="n"/>
      <c r="G124" s="70" t="n"/>
      <c r="H124" s="70" t="n"/>
      <c r="I124" s="71" t="n"/>
      <c r="J124" s="15" t="n"/>
      <c r="K124" s="72" t="n"/>
      <c r="L124" s="72" t="n"/>
      <c r="M124" s="72" t="n"/>
      <c r="N124" s="72" t="n"/>
      <c r="O124" s="72" t="n"/>
      <c r="T124" s="68" t="n"/>
      <c r="AA124" s="72" t="n"/>
      <c r="AB124" s="15" t="n"/>
      <c r="AC124" s="15" t="n"/>
      <c r="AD124" s="15" t="n"/>
      <c r="AE124" s="15" t="n"/>
      <c r="AF124" s="16" t="n"/>
      <c r="AG124" s="15" t="n"/>
      <c r="AH124" s="67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V124" s="15" t="n"/>
      <c r="AW124" s="15" t="n"/>
      <c r="AX124" s="15" t="n"/>
      <c r="AY124" s="15" t="n"/>
      <c r="AZ124" s="15" t="n"/>
      <c r="BB124" s="68" t="n"/>
      <c r="BC124" s="68" t="n"/>
      <c r="BD124" s="15" t="n"/>
      <c r="BE124" s="16" t="n"/>
    </row>
    <row r="125">
      <c r="A125" s="36" t="inlineStr">
        <is>
          <t>Semi-cap</t>
        </is>
      </c>
    </row>
    <row r="126">
      <c r="A126" t="inlineStr">
        <is>
          <t>ASML</t>
        </is>
      </c>
      <c r="B126" t="inlineStr">
        <is>
          <t>ASML UW Equity</t>
        </is>
      </c>
      <c r="C126" s="15" t="inlineStr">
        <is>
          <t>Dec</t>
        </is>
      </c>
      <c r="D126" s="93">
        <f>BDP("ASML UW Equity","CUR_MKT_CAP")/1000000000</f>
        <v/>
      </c>
      <c r="E126" s="94">
        <f>BDP("ASML UW Equity","PX_LAST")</f>
        <v/>
      </c>
      <c r="F126" s="95">
        <f>IF(BDP("ASML UW Equity","BEST_EPS","BEST_FPERIOD_OVERRIDE","26Y")&lt;&gt;0,$E$126/BDP("ASML UW Equity","BEST_EPS","BEST_FPERIOD_OVERRIDE","26Y"),"")</f>
        <v/>
      </c>
      <c r="G126" s="95">
        <f>IF(BDP("ASML UW Equity","BEST_EPS","BEST_FPERIOD_OVERRIDE","27Y")&lt;&gt;0,$E$126/BDP("ASML UW Equity","BEST_EPS","BEST_FPERIOD_OVERRIDE","27Y"),"")</f>
        <v/>
      </c>
      <c r="H126" s="95">
        <f>IF(BDP("ASML UW Equity","BEST_EPS","BEST_FPERIOD_OVERRIDE","28Y")&lt;&gt;0,$E$126/BDP("ASML UW Equity","BEST_EPS","BEST_FPERIOD_OVERRIDE","28Y"),"")</f>
        <v/>
      </c>
      <c r="I126" s="96">
        <f>BDP("ASML UW Equity","NET_DEBT_TO_EBITDA")</f>
        <v/>
      </c>
      <c r="J126" s="93">
        <f>BDP("ASML UW Equity","BEST_SALES","BEST_FPERIOD_OVERRIDE","26Y")/1000</f>
        <v/>
      </c>
      <c r="K126" s="97">
        <f>IF(BDP("ASML UW Equity","BEST_SALES","BEST_FPERIOD_OVERRIDE","26Y")&lt;&gt;0,BDP("ASML UW Equity","BEST_EBIT","BEST_FPERIOD_OVERRIDE","26Y")/BDP("ASML UW Equity","BEST_SALES","BEST_FPERIOD_OVERRIDE","26Y"),"")</f>
        <v/>
      </c>
      <c r="L126" s="97">
        <f>BDP("ASML UW Equity","RETURN_ON_INV_CAPITAL")/100</f>
        <v/>
      </c>
      <c r="M126" s="97">
        <f>IF(AND(BDP("ASML UW Equity","BEST_SALES","BEST_FPERIOD_OVERRIDE","25Y")&gt;0,BDP("ASML UW Equity","BEST_SALES","BEST_FPERIOD_OVERRIDE","28Y")&gt;0),(BDP("ASML UW Equity","BEST_SALES","BEST_FPERIOD_OVERRIDE","28Y")/BDP("ASML UW Equity","BEST_SALES","BEST_FPERIOD_OVERRIDE","25Y"))^(1/3)-1,"")</f>
        <v/>
      </c>
      <c r="N126" s="97">
        <f>IF(AND(BDP("ASML UW Equity","BEST_EBIT","BEST_FPERIOD_OVERRIDE","25Y")&gt;0,BDP("ASML UW Equity","BEST_EBIT","BEST_FPERIOD_OVERRIDE","28Y")&gt;0),(BDP("ASML UW Equity","BEST_EBIT","BEST_FPERIOD_OVERRIDE","28Y")/BDP("ASML UW Equity","BEST_EBIT","BEST_FPERIOD_OVERRIDE","25Y"))^(1/3)-1,"")</f>
        <v/>
      </c>
      <c r="O126" s="97">
        <f>IF(AND(BDP("ASML UW Equity","BEST_EPS","BEST_FPERIOD_OVERRIDE","25Y")&gt;0,BDP("ASML UW Equity","BEST_EPS","BEST_FPERIOD_OVERRIDE","28Y")&gt;0),(BDP("ASML UW Equity","BEST_EPS","BEST_FPERIOD_OVERRIDE","28Y")/BDP("ASML UW Equity","BEST_EPS","BEST_FPERIOD_OVERRIDE","25Y"))^(1/3)-1,"")</f>
        <v/>
      </c>
      <c r="Q126" s="97">
        <f>BDP("ASML UW Equity","CHG_PCT_YTD")/100</f>
        <v/>
      </c>
      <c r="T126" s="68">
        <f>IF(AND(F126&lt;&gt;"",O126&lt;&gt;"",O126&lt;&gt;0),F126/(O126*100),"")</f>
        <v/>
      </c>
      <c r="AA126" s="72">
        <f t="array" ref="AA126">_xll.BDP(B126,"CHG_PCT_1YR")/100</f>
        <v/>
      </c>
      <c r="AB126" s="93">
        <f>BDP("ASML UW Equity","TRAIL_12M_OPER_INC")</f>
        <v/>
      </c>
      <c r="AC126" s="93">
        <f>BDP("ASML UW Equity","SHORT_AND_LONG_TERM_DEBT")</f>
        <v/>
      </c>
      <c r="AD126" s="93">
        <f>BDP("ASML UW Equity","TOTAL_EQUITY")</f>
        <v/>
      </c>
      <c r="AE126" s="93">
        <f>BDP("ASML UW Equity","BS_CASH_NEAR_CASH_ITEM")</f>
        <v/>
      </c>
      <c r="AF126" s="99">
        <f>BDP("ASML UW Equity","BS_LT_INVEST")</f>
        <v/>
      </c>
      <c r="AG126" s="15">
        <f>AC126+AD126</f>
        <v/>
      </c>
      <c r="AH126" s="100">
        <f>BDP("ASML UW Equity","RETURN_ON_INV_CAPITAL")/100</f>
        <v/>
      </c>
      <c r="AJ126" s="93">
        <f>BDP("ASML UW Equity","BEST_EPS","BEST_FPERIOD_OVERRIDE","24Y")</f>
        <v/>
      </c>
      <c r="AK126" s="93">
        <f>BDP("ASML UW Equity","BEST_EPS","BEST_FPERIOD_OVERRIDE","25Y")</f>
        <v/>
      </c>
      <c r="AL126" s="93">
        <f>BDP("ASML UW Equity","BEST_EPS","BEST_FPERIOD_OVERRIDE","26Y")</f>
        <v/>
      </c>
      <c r="AM126" s="93">
        <f>BDP("ASML UW Equity","BEST_EPS","BEST_FPERIOD_OVERRIDE","27Y")</f>
        <v/>
      </c>
      <c r="AN126" s="93">
        <f>BDP("ASML UW Equity","BEST_EPS","BEST_FPERIOD_OVERRIDE","28Y")</f>
        <v/>
      </c>
      <c r="AO126" s="15">
        <f t="array" ref="AO126">_xll.BDP($B126,"EQY_FISCAL_YR_END")</f>
        <v/>
      </c>
      <c r="AP126" s="93">
        <f>BDP("ASML UW Equity","BEST_SALES","BEST_FPERIOD_OVERRIDE","24Y")</f>
        <v/>
      </c>
      <c r="AQ126" s="93">
        <f>BDP("ASML UW Equity","BEST_SALES","BEST_FPERIOD_OVERRIDE","25Y")</f>
        <v/>
      </c>
      <c r="AR126" s="93">
        <f>BDP("ASML UW Equity","BEST_SALES","BEST_FPERIOD_OVERRIDE","26Y")</f>
        <v/>
      </c>
      <c r="AS126" s="93">
        <f>BDP("ASML UW Equity","BEST_SALES","BEST_FPERIOD_OVERRIDE","27Y")</f>
        <v/>
      </c>
      <c r="AT126" s="93">
        <f>BDP("ASML UW Equity","BEST_SALES","BEST_FPERIOD_OVERRIDE","28Y")</f>
        <v/>
      </c>
      <c r="AV126" s="93">
        <f>BDP("ASML UW Equity","BEST_EBIT","BEST_FPERIOD_OVERRIDE","24Y")</f>
        <v/>
      </c>
      <c r="AW126" s="93">
        <f>BDP("ASML UW Equity","BEST_EBIT","BEST_FPERIOD_OVERRIDE","25Y")</f>
        <v/>
      </c>
      <c r="AX126" s="93">
        <f>BDP("ASML UW Equity","BEST_EBIT","BEST_FPERIOD_OVERRIDE","26Y")</f>
        <v/>
      </c>
      <c r="AY126" s="93">
        <f>BDP("ASML UW Equity","BEST_EBIT","BEST_FPERIOD_OVERRIDE","27Y")</f>
        <v/>
      </c>
      <c r="AZ126" s="93">
        <f>BDP("ASML UW Equity","BEST_EBIT","BEST_FPERIOD_OVERRIDE","28Y")</f>
        <v/>
      </c>
      <c r="BB126" s="68">
        <f>D126+BC126</f>
        <v/>
      </c>
      <c r="BC126" s="68">
        <f>AC126-AE126</f>
        <v/>
      </c>
      <c r="BD126" s="15">
        <f>D126</f>
        <v/>
      </c>
      <c r="BE126" s="99">
        <f>BDP("ASML UW Equity","TRAIL_12M_EBITDA")</f>
        <v/>
      </c>
    </row>
    <row r="127">
      <c r="A127" t="inlineStr">
        <is>
          <t>AMAT</t>
        </is>
      </c>
      <c r="B127" t="inlineStr">
        <is>
          <t>AMAT UW Equity</t>
        </is>
      </c>
      <c r="C127" s="15" t="inlineStr">
        <is>
          <t>Oct</t>
        </is>
      </c>
      <c r="D127" s="93">
        <f>BDP("AMAT UW Equity","CUR_MKT_CAP")/1000000000</f>
        <v/>
      </c>
      <c r="E127" s="94">
        <f>BDP("AMAT UW Equity","PX_LAST")</f>
        <v/>
      </c>
      <c r="F127" s="95">
        <f>IF(BDP("AMAT UW Equity","BEST_EPS","BEST_FPERIOD_OVERRIDE","26Y")&lt;&gt;0,$E$127/BDP("AMAT UW Equity","BEST_EPS","BEST_FPERIOD_OVERRIDE","26Y"),"")</f>
        <v/>
      </c>
      <c r="G127" s="95">
        <f>IF(BDP("AMAT UW Equity","BEST_EPS","BEST_FPERIOD_OVERRIDE","27Y")&lt;&gt;0,$E$127/BDP("AMAT UW Equity","BEST_EPS","BEST_FPERIOD_OVERRIDE","27Y"),"")</f>
        <v/>
      </c>
      <c r="H127" s="95">
        <f>IF(BDP("AMAT UW Equity","BEST_EPS","BEST_FPERIOD_OVERRIDE","28Y")&lt;&gt;0,$E$127/BDP("AMAT UW Equity","BEST_EPS","BEST_FPERIOD_OVERRIDE","28Y"),"")</f>
        <v/>
      </c>
      <c r="I127" s="96">
        <f>BDP("AMAT UW Equity","NET_DEBT_TO_EBITDA")</f>
        <v/>
      </c>
      <c r="J127" s="93">
        <f>BDP("AMAT UW Equity","BEST_SALES","BEST_FPERIOD_OVERRIDE","26Y")/1000</f>
        <v/>
      </c>
      <c r="K127" s="97">
        <f>IF(BDP("AMAT UW Equity","BEST_SALES","BEST_FPERIOD_OVERRIDE","26Y")&lt;&gt;0,BDP("AMAT UW Equity","BEST_EBIT","BEST_FPERIOD_OVERRIDE","26Y")/BDP("AMAT UW Equity","BEST_SALES","BEST_FPERIOD_OVERRIDE","26Y"),"")</f>
        <v/>
      </c>
      <c r="L127" s="97">
        <f>BDP("AMAT UW Equity","RETURN_ON_INV_CAPITAL")/100</f>
        <v/>
      </c>
      <c r="M127" s="97">
        <f>IF(AND(BDP("AMAT UW Equity","BEST_SALES","BEST_FPERIOD_OVERRIDE","25Y")&gt;0,BDP("AMAT UW Equity","BEST_SALES","BEST_FPERIOD_OVERRIDE","28Y")&gt;0),(BDP("AMAT UW Equity","BEST_SALES","BEST_FPERIOD_OVERRIDE","28Y")/BDP("AMAT UW Equity","BEST_SALES","BEST_FPERIOD_OVERRIDE","25Y"))^(1/3)-1,"")</f>
        <v/>
      </c>
      <c r="N127" s="97">
        <f>IF(AND(BDP("AMAT UW Equity","BEST_EBIT","BEST_FPERIOD_OVERRIDE","25Y")&gt;0,BDP("AMAT UW Equity","BEST_EBIT","BEST_FPERIOD_OVERRIDE","28Y")&gt;0),(BDP("AMAT UW Equity","BEST_EBIT","BEST_FPERIOD_OVERRIDE","28Y")/BDP("AMAT UW Equity","BEST_EBIT","BEST_FPERIOD_OVERRIDE","25Y"))^(1/3)-1,"")</f>
        <v/>
      </c>
      <c r="O127" s="97">
        <f>IF(AND(BDP("AMAT UW Equity","BEST_EPS","BEST_FPERIOD_OVERRIDE","25Y")&gt;0,BDP("AMAT UW Equity","BEST_EPS","BEST_FPERIOD_OVERRIDE","28Y")&gt;0),(BDP("AMAT UW Equity","BEST_EPS","BEST_FPERIOD_OVERRIDE","28Y")/BDP("AMAT UW Equity","BEST_EPS","BEST_FPERIOD_OVERRIDE","25Y"))^(1/3)-1,"")</f>
        <v/>
      </c>
      <c r="Q127" s="97">
        <f>BDP("AMAT UW Equity","CHG_PCT_YTD")/100</f>
        <v/>
      </c>
      <c r="T127" s="68">
        <f>IF(AND(F127&lt;&gt;"",O127&lt;&gt;"",O127&lt;&gt;0),F127/(O127*100),"")</f>
        <v/>
      </c>
      <c r="AA127" s="72">
        <f t="array" ref="AA127">_xll.BDP(B127,"CHG_PCT_1YR")/100</f>
        <v/>
      </c>
      <c r="AB127" s="93">
        <f>BDP("AMAT UW Equity","TRAIL_12M_OPER_INC")</f>
        <v/>
      </c>
      <c r="AC127" s="93">
        <f>BDP("AMAT UW Equity","SHORT_AND_LONG_TERM_DEBT")</f>
        <v/>
      </c>
      <c r="AD127" s="93">
        <f>BDP("AMAT UW Equity","TOTAL_EQUITY")</f>
        <v/>
      </c>
      <c r="AE127" s="93">
        <f>BDP("AMAT UW Equity","BS_CASH_NEAR_CASH_ITEM")</f>
        <v/>
      </c>
      <c r="AF127" s="99">
        <f>BDP("AMAT UW Equity","BS_LT_INVEST")</f>
        <v/>
      </c>
      <c r="AG127" s="15">
        <f>AC127+AD127</f>
        <v/>
      </c>
      <c r="AH127" s="100">
        <f>BDP("AMAT UW Equity","RETURN_ON_INV_CAPITAL")/100</f>
        <v/>
      </c>
      <c r="AJ127" s="93">
        <f>BDP("AMAT UW Equity","BEST_EPS","BEST_FPERIOD_OVERRIDE","24Y")</f>
        <v/>
      </c>
      <c r="AK127" s="93">
        <f>BDP("AMAT UW Equity","BEST_EPS","BEST_FPERIOD_OVERRIDE","25Y")</f>
        <v/>
      </c>
      <c r="AL127" s="93">
        <f>BDP("AMAT UW Equity","BEST_EPS","BEST_FPERIOD_OVERRIDE","26Y")</f>
        <v/>
      </c>
      <c r="AM127" s="93">
        <f>BDP("AMAT UW Equity","BEST_EPS","BEST_FPERIOD_OVERRIDE","27Y")</f>
        <v/>
      </c>
      <c r="AN127" s="93">
        <f>BDP("AMAT UW Equity","BEST_EPS","BEST_FPERIOD_OVERRIDE","28Y")</f>
        <v/>
      </c>
      <c r="AO127" s="15">
        <f t="array" ref="AO127">_xll.BDP($B127,"EQY_FISCAL_YR_END")</f>
        <v/>
      </c>
      <c r="AP127" s="93">
        <f>BDP("AMAT UW Equity","BEST_SALES","BEST_FPERIOD_OVERRIDE","24Y")</f>
        <v/>
      </c>
      <c r="AQ127" s="93">
        <f>BDP("AMAT UW Equity","BEST_SALES","BEST_FPERIOD_OVERRIDE","25Y")</f>
        <v/>
      </c>
      <c r="AR127" s="93">
        <f>BDP("AMAT UW Equity","BEST_SALES","BEST_FPERIOD_OVERRIDE","26Y")</f>
        <v/>
      </c>
      <c r="AS127" s="93">
        <f>BDP("AMAT UW Equity","BEST_SALES","BEST_FPERIOD_OVERRIDE","27Y")</f>
        <v/>
      </c>
      <c r="AT127" s="93">
        <f>BDP("AMAT UW Equity","BEST_SALES","BEST_FPERIOD_OVERRIDE","28Y")</f>
        <v/>
      </c>
      <c r="AV127" s="93">
        <f>BDP("AMAT UW Equity","BEST_EBIT","BEST_FPERIOD_OVERRIDE","24Y")</f>
        <v/>
      </c>
      <c r="AW127" s="93">
        <f>BDP("AMAT UW Equity","BEST_EBIT","BEST_FPERIOD_OVERRIDE","25Y")</f>
        <v/>
      </c>
      <c r="AX127" s="93">
        <f>BDP("AMAT UW Equity","BEST_EBIT","BEST_FPERIOD_OVERRIDE","26Y")</f>
        <v/>
      </c>
      <c r="AY127" s="93">
        <f>BDP("AMAT UW Equity","BEST_EBIT","BEST_FPERIOD_OVERRIDE","27Y")</f>
        <v/>
      </c>
      <c r="AZ127" s="93">
        <f>BDP("AMAT UW Equity","BEST_EBIT","BEST_FPERIOD_OVERRIDE","28Y")</f>
        <v/>
      </c>
      <c r="BB127" s="68">
        <f>D127+BC127</f>
        <v/>
      </c>
      <c r="BC127" s="68">
        <f>AC127-AE127</f>
        <v/>
      </c>
      <c r="BD127" s="15">
        <f>D127</f>
        <v/>
      </c>
      <c r="BE127" s="99">
        <f>BDP("AMAT UW Equity","TRAIL_12M_EBITDA")</f>
        <v/>
      </c>
    </row>
    <row r="128">
      <c r="A128" t="inlineStr">
        <is>
          <t>KLAC</t>
        </is>
      </c>
      <c r="B128" t="inlineStr">
        <is>
          <t>KLAC UW Equity</t>
        </is>
      </c>
      <c r="C128" s="15" t="inlineStr">
        <is>
          <t>Jun</t>
        </is>
      </c>
      <c r="D128" s="93">
        <f>BDP("KLAC UW Equity","CUR_MKT_CAP")/1000000000</f>
        <v/>
      </c>
      <c r="E128" s="94">
        <f>BDP("KLAC UW Equity","PX_LAST")</f>
        <v/>
      </c>
      <c r="F128" s="95">
        <f>IF(BDP("KLAC UW Equity","BEST_EPS","BEST_FPERIOD_OVERRIDE","26Y")&lt;&gt;0,$E$128/BDP("KLAC UW Equity","BEST_EPS","BEST_FPERIOD_OVERRIDE","26Y"),"")</f>
        <v/>
      </c>
      <c r="G128" s="95">
        <f>IF(BDP("KLAC UW Equity","BEST_EPS","BEST_FPERIOD_OVERRIDE","27Y")&lt;&gt;0,$E$128/BDP("KLAC UW Equity","BEST_EPS","BEST_FPERIOD_OVERRIDE","27Y"),"")</f>
        <v/>
      </c>
      <c r="H128" s="95">
        <f>IF(BDP("KLAC UW Equity","BEST_EPS","BEST_FPERIOD_OVERRIDE","28Y")&lt;&gt;0,$E$128/BDP("KLAC UW Equity","BEST_EPS","BEST_FPERIOD_OVERRIDE","28Y"),"")</f>
        <v/>
      </c>
      <c r="I128" s="96">
        <f>BDP("KLAC UW Equity","NET_DEBT_TO_EBITDA")</f>
        <v/>
      </c>
      <c r="J128" s="93">
        <f>BDP("KLAC UW Equity","BEST_SALES","BEST_FPERIOD_OVERRIDE","26Y")/1000</f>
        <v/>
      </c>
      <c r="K128" s="97">
        <f>IF(BDP("KLAC UW Equity","BEST_SALES","BEST_FPERIOD_OVERRIDE","26Y")&lt;&gt;0,BDP("KLAC UW Equity","BEST_EBIT","BEST_FPERIOD_OVERRIDE","26Y")/BDP("KLAC UW Equity","BEST_SALES","BEST_FPERIOD_OVERRIDE","26Y"),"")</f>
        <v/>
      </c>
      <c r="L128" s="97">
        <f>BDP("KLAC UW Equity","RETURN_ON_INV_CAPITAL")/100</f>
        <v/>
      </c>
      <c r="M128" s="97">
        <f>IF(AND(BDP("KLAC UW Equity","BEST_SALES","BEST_FPERIOD_OVERRIDE","25Y")&gt;0,BDP("KLAC UW Equity","BEST_SALES","BEST_FPERIOD_OVERRIDE","28Y")&gt;0),(BDP("KLAC UW Equity","BEST_SALES","BEST_FPERIOD_OVERRIDE","28Y")/BDP("KLAC UW Equity","BEST_SALES","BEST_FPERIOD_OVERRIDE","25Y"))^(1/3)-1,"")</f>
        <v/>
      </c>
      <c r="N128" s="97">
        <f>IF(AND(BDP("KLAC UW Equity","BEST_EBIT","BEST_FPERIOD_OVERRIDE","25Y")&gt;0,BDP("KLAC UW Equity","BEST_EBIT","BEST_FPERIOD_OVERRIDE","28Y")&gt;0),(BDP("KLAC UW Equity","BEST_EBIT","BEST_FPERIOD_OVERRIDE","28Y")/BDP("KLAC UW Equity","BEST_EBIT","BEST_FPERIOD_OVERRIDE","25Y"))^(1/3)-1,"")</f>
        <v/>
      </c>
      <c r="O128" s="97">
        <f>IF(AND(BDP("KLAC UW Equity","BEST_EPS","BEST_FPERIOD_OVERRIDE","25Y")&gt;0,BDP("KLAC UW Equity","BEST_EPS","BEST_FPERIOD_OVERRIDE","28Y")&gt;0),(BDP("KLAC UW Equity","BEST_EPS","BEST_FPERIOD_OVERRIDE","28Y")/BDP("KLAC UW Equity","BEST_EPS","BEST_FPERIOD_OVERRIDE","25Y"))^(1/3)-1,"")</f>
        <v/>
      </c>
      <c r="Q128" s="97">
        <f>BDP("KLAC UW Equity","CHG_PCT_YTD")/100</f>
        <v/>
      </c>
      <c r="T128" s="68">
        <f>IF(AND(F128&lt;&gt;"",O128&lt;&gt;"",O128&lt;&gt;0),F128/(O128*100),"")</f>
        <v/>
      </c>
      <c r="AA128" s="72">
        <f t="array" ref="AA128">_xll.BDP(B128,"CHG_PCT_1YR")/100</f>
        <v/>
      </c>
      <c r="AB128" s="93">
        <f>BDP("KLAC UW Equity","TRAIL_12M_OPER_INC")</f>
        <v/>
      </c>
      <c r="AC128" s="93">
        <f>BDP("KLAC UW Equity","SHORT_AND_LONG_TERM_DEBT")</f>
        <v/>
      </c>
      <c r="AD128" s="93">
        <f>BDP("KLAC UW Equity","TOTAL_EQUITY")</f>
        <v/>
      </c>
      <c r="AE128" s="93">
        <f>BDP("KLAC UW Equity","BS_CASH_NEAR_CASH_ITEM")</f>
        <v/>
      </c>
      <c r="AF128" s="99">
        <f>BDP("KLAC UW Equity","BS_LT_INVEST")</f>
        <v/>
      </c>
      <c r="AG128" s="15">
        <f>AC128+AD128</f>
        <v/>
      </c>
      <c r="AH128" s="100">
        <f>BDP("KLAC UW Equity","RETURN_ON_INV_CAPITAL")/100</f>
        <v/>
      </c>
      <c r="AJ128" s="93">
        <f>BDP("KLAC UW Equity","BEST_EPS","BEST_FPERIOD_OVERRIDE","24Y")</f>
        <v/>
      </c>
      <c r="AK128" s="93">
        <f>BDP("KLAC UW Equity","BEST_EPS","BEST_FPERIOD_OVERRIDE","25Y")</f>
        <v/>
      </c>
      <c r="AL128" s="93">
        <f>BDP("KLAC UW Equity","BEST_EPS","BEST_FPERIOD_OVERRIDE","26Y")</f>
        <v/>
      </c>
      <c r="AM128" s="93">
        <f>BDP("KLAC UW Equity","BEST_EPS","BEST_FPERIOD_OVERRIDE","27Y")</f>
        <v/>
      </c>
      <c r="AN128" s="93">
        <f>BDP("KLAC UW Equity","BEST_EPS","BEST_FPERIOD_OVERRIDE","28Y")</f>
        <v/>
      </c>
      <c r="AO128" s="15">
        <f t="array" ref="AO128">_xll.BDP($B128,"EQY_FISCAL_YR_END")</f>
        <v/>
      </c>
      <c r="AP128" s="93">
        <f>BDP("KLAC UW Equity","BEST_SALES","BEST_FPERIOD_OVERRIDE","24Y")</f>
        <v/>
      </c>
      <c r="AQ128" s="93">
        <f>BDP("KLAC UW Equity","BEST_SALES","BEST_FPERIOD_OVERRIDE","25Y")</f>
        <v/>
      </c>
      <c r="AR128" s="93">
        <f>BDP("KLAC UW Equity","BEST_SALES","BEST_FPERIOD_OVERRIDE","26Y")</f>
        <v/>
      </c>
      <c r="AS128" s="93">
        <f>BDP("KLAC UW Equity","BEST_SALES","BEST_FPERIOD_OVERRIDE","27Y")</f>
        <v/>
      </c>
      <c r="AT128" s="93">
        <f>BDP("KLAC UW Equity","BEST_SALES","BEST_FPERIOD_OVERRIDE","28Y")</f>
        <v/>
      </c>
      <c r="AV128" s="93">
        <f>BDP("KLAC UW Equity","BEST_EBIT","BEST_FPERIOD_OVERRIDE","24Y")</f>
        <v/>
      </c>
      <c r="AW128" s="93">
        <f>BDP("KLAC UW Equity","BEST_EBIT","BEST_FPERIOD_OVERRIDE","25Y")</f>
        <v/>
      </c>
      <c r="AX128" s="93">
        <f>BDP("KLAC UW Equity","BEST_EBIT","BEST_FPERIOD_OVERRIDE","26Y")</f>
        <v/>
      </c>
      <c r="AY128" s="93">
        <f>BDP("KLAC UW Equity","BEST_EBIT","BEST_FPERIOD_OVERRIDE","27Y")</f>
        <v/>
      </c>
      <c r="AZ128" s="93">
        <f>BDP("KLAC UW Equity","BEST_EBIT","BEST_FPERIOD_OVERRIDE","28Y")</f>
        <v/>
      </c>
      <c r="BB128" s="68">
        <f>D128+BC128</f>
        <v/>
      </c>
      <c r="BC128" s="68">
        <f>AC128-AE128</f>
        <v/>
      </c>
      <c r="BD128" s="15">
        <f>D128</f>
        <v/>
      </c>
      <c r="BE128" s="99">
        <f>BDP("KLAC UW Equity","TRAIL_12M_EBITDA")</f>
        <v/>
      </c>
    </row>
    <row r="129">
      <c r="A129" t="inlineStr">
        <is>
          <t>LRCX</t>
        </is>
      </c>
      <c r="B129" t="inlineStr">
        <is>
          <t>LRCX UW Equity</t>
        </is>
      </c>
      <c r="C129" s="15" t="inlineStr">
        <is>
          <t>Jun</t>
        </is>
      </c>
      <c r="D129" s="93">
        <f>BDP("LRCX UW Equity","CUR_MKT_CAP")/1000000000</f>
        <v/>
      </c>
      <c r="E129" s="94">
        <f>BDP("LRCX UW Equity","PX_LAST")</f>
        <v/>
      </c>
      <c r="F129" s="95">
        <f>IF(BDP("LRCX UW Equity","BEST_EPS","BEST_FPERIOD_OVERRIDE","26Y")&lt;&gt;0,$E$129/BDP("LRCX UW Equity","BEST_EPS","BEST_FPERIOD_OVERRIDE","26Y"),"")</f>
        <v/>
      </c>
      <c r="G129" s="95">
        <f>IF(BDP("LRCX UW Equity","BEST_EPS","BEST_FPERIOD_OVERRIDE","27Y")&lt;&gt;0,$E$129/BDP("LRCX UW Equity","BEST_EPS","BEST_FPERIOD_OVERRIDE","27Y"),"")</f>
        <v/>
      </c>
      <c r="H129" s="95">
        <f>IF(BDP("LRCX UW Equity","BEST_EPS","BEST_FPERIOD_OVERRIDE","28Y")&lt;&gt;0,$E$129/BDP("LRCX UW Equity","BEST_EPS","BEST_FPERIOD_OVERRIDE","28Y"),"")</f>
        <v/>
      </c>
      <c r="I129" s="96">
        <f>BDP("LRCX UW Equity","NET_DEBT_TO_EBITDA")</f>
        <v/>
      </c>
      <c r="J129" s="93">
        <f>BDP("LRCX UW Equity","BEST_SALES","BEST_FPERIOD_OVERRIDE","26Y")/1000</f>
        <v/>
      </c>
      <c r="K129" s="97">
        <f>IF(BDP("LRCX UW Equity","BEST_SALES","BEST_FPERIOD_OVERRIDE","26Y")&lt;&gt;0,BDP("LRCX UW Equity","BEST_EBIT","BEST_FPERIOD_OVERRIDE","26Y")/BDP("LRCX UW Equity","BEST_SALES","BEST_FPERIOD_OVERRIDE","26Y"),"")</f>
        <v/>
      </c>
      <c r="L129" s="97">
        <f>BDP("LRCX UW Equity","RETURN_ON_INV_CAPITAL")/100</f>
        <v/>
      </c>
      <c r="M129" s="97">
        <f>IF(AND(BDP("LRCX UW Equity","BEST_SALES","BEST_FPERIOD_OVERRIDE","25Y")&gt;0,BDP("LRCX UW Equity","BEST_SALES","BEST_FPERIOD_OVERRIDE","28Y")&gt;0),(BDP("LRCX UW Equity","BEST_SALES","BEST_FPERIOD_OVERRIDE","28Y")/BDP("LRCX UW Equity","BEST_SALES","BEST_FPERIOD_OVERRIDE","25Y"))^(1/3)-1,"")</f>
        <v/>
      </c>
      <c r="N129" s="97">
        <f>IF(AND(BDP("LRCX UW Equity","BEST_EBIT","BEST_FPERIOD_OVERRIDE","25Y")&gt;0,BDP("LRCX UW Equity","BEST_EBIT","BEST_FPERIOD_OVERRIDE","28Y")&gt;0),(BDP("LRCX UW Equity","BEST_EBIT","BEST_FPERIOD_OVERRIDE","28Y")/BDP("LRCX UW Equity","BEST_EBIT","BEST_FPERIOD_OVERRIDE","25Y"))^(1/3)-1,"")</f>
        <v/>
      </c>
      <c r="O129" s="97">
        <f>IF(AND(BDP("LRCX UW Equity","BEST_EPS","BEST_FPERIOD_OVERRIDE","25Y")&gt;0,BDP("LRCX UW Equity","BEST_EPS","BEST_FPERIOD_OVERRIDE","28Y")&gt;0),(BDP("LRCX UW Equity","BEST_EPS","BEST_FPERIOD_OVERRIDE","28Y")/BDP("LRCX UW Equity","BEST_EPS","BEST_FPERIOD_OVERRIDE","25Y"))^(1/3)-1,"")</f>
        <v/>
      </c>
      <c r="Q129" s="97">
        <f>BDP("LRCX UW Equity","CHG_PCT_YTD")/100</f>
        <v/>
      </c>
      <c r="T129" s="68">
        <f>IF(AND(F129&lt;&gt;"",O129&lt;&gt;"",O129&lt;&gt;0),F129/(O129*100),"")</f>
        <v/>
      </c>
      <c r="AA129" s="72">
        <f t="array" ref="AA129">_xll.BDP(B129,"CHG_PCT_1YR")/100</f>
        <v/>
      </c>
      <c r="AB129" s="93">
        <f>BDP("LRCX UW Equity","TRAIL_12M_OPER_INC")</f>
        <v/>
      </c>
      <c r="AC129" s="93">
        <f>BDP("LRCX UW Equity","SHORT_AND_LONG_TERM_DEBT")</f>
        <v/>
      </c>
      <c r="AD129" s="93">
        <f>BDP("LRCX UW Equity","TOTAL_EQUITY")</f>
        <v/>
      </c>
      <c r="AE129" s="93">
        <f>BDP("LRCX UW Equity","BS_CASH_NEAR_CASH_ITEM")</f>
        <v/>
      </c>
      <c r="AF129" s="99">
        <f>BDP("LRCX UW Equity","BS_LT_INVEST")</f>
        <v/>
      </c>
      <c r="AG129" s="15">
        <f>AC129+AD129</f>
        <v/>
      </c>
      <c r="AH129" s="100">
        <f>BDP("LRCX UW Equity","RETURN_ON_INV_CAPITAL")/100</f>
        <v/>
      </c>
      <c r="AJ129" s="93">
        <f>BDP("LRCX UW Equity","BEST_EPS","BEST_FPERIOD_OVERRIDE","24Y")</f>
        <v/>
      </c>
      <c r="AK129" s="93">
        <f>BDP("LRCX UW Equity","BEST_EPS","BEST_FPERIOD_OVERRIDE","25Y")</f>
        <v/>
      </c>
      <c r="AL129" s="93">
        <f>BDP("LRCX UW Equity","BEST_EPS","BEST_FPERIOD_OVERRIDE","26Y")</f>
        <v/>
      </c>
      <c r="AM129" s="93">
        <f>BDP("LRCX UW Equity","BEST_EPS","BEST_FPERIOD_OVERRIDE","27Y")</f>
        <v/>
      </c>
      <c r="AN129" s="93">
        <f>BDP("LRCX UW Equity","BEST_EPS","BEST_FPERIOD_OVERRIDE","28Y")</f>
        <v/>
      </c>
      <c r="AO129" s="15">
        <f t="array" ref="AO129">_xll.BDP($B129,"EQY_FISCAL_YR_END")</f>
        <v/>
      </c>
      <c r="AP129" s="93">
        <f>BDP("LRCX UW Equity","BEST_SALES","BEST_FPERIOD_OVERRIDE","24Y")</f>
        <v/>
      </c>
      <c r="AQ129" s="93">
        <f>BDP("LRCX UW Equity","BEST_SALES","BEST_FPERIOD_OVERRIDE","25Y")</f>
        <v/>
      </c>
      <c r="AR129" s="93">
        <f>BDP("LRCX UW Equity","BEST_SALES","BEST_FPERIOD_OVERRIDE","26Y")</f>
        <v/>
      </c>
      <c r="AS129" s="93">
        <f>BDP("LRCX UW Equity","BEST_SALES","BEST_FPERIOD_OVERRIDE","27Y")</f>
        <v/>
      </c>
      <c r="AT129" s="93">
        <f>BDP("LRCX UW Equity","BEST_SALES","BEST_FPERIOD_OVERRIDE","28Y")</f>
        <v/>
      </c>
      <c r="AV129" s="93">
        <f>BDP("LRCX UW Equity","BEST_EBIT","BEST_FPERIOD_OVERRIDE","24Y")</f>
        <v/>
      </c>
      <c r="AW129" s="93">
        <f>BDP("LRCX UW Equity","BEST_EBIT","BEST_FPERIOD_OVERRIDE","25Y")</f>
        <v/>
      </c>
      <c r="AX129" s="93">
        <f>BDP("LRCX UW Equity","BEST_EBIT","BEST_FPERIOD_OVERRIDE","26Y")</f>
        <v/>
      </c>
      <c r="AY129" s="93">
        <f>BDP("LRCX UW Equity","BEST_EBIT","BEST_FPERIOD_OVERRIDE","27Y")</f>
        <v/>
      </c>
      <c r="AZ129" s="93">
        <f>BDP("LRCX UW Equity","BEST_EBIT","BEST_FPERIOD_OVERRIDE","28Y")</f>
        <v/>
      </c>
      <c r="BB129" s="68">
        <f>D129+BC129</f>
        <v/>
      </c>
      <c r="BC129" s="68">
        <f>AC129-AE129</f>
        <v/>
      </c>
      <c r="BD129" s="15">
        <f>D129</f>
        <v/>
      </c>
      <c r="BE129" s="99">
        <f>BDP("LRCX UW Equity","TRAIL_12M_EBITDA")</f>
        <v/>
      </c>
    </row>
    <row r="130">
      <c r="A130" t="inlineStr">
        <is>
          <t>ONTO</t>
        </is>
      </c>
      <c r="B130" t="inlineStr">
        <is>
          <t>ONTO UN Equity</t>
        </is>
      </c>
      <c r="C130" s="15" t="inlineStr">
        <is>
          <t>Dec</t>
        </is>
      </c>
      <c r="D130" s="93">
        <f>BDP("ONTO UN Equity","CUR_MKT_CAP")/1000000000</f>
        <v/>
      </c>
      <c r="E130" s="94">
        <f>BDP("ONTO UN Equity","PX_LAST")</f>
        <v/>
      </c>
      <c r="F130" s="95">
        <f>IF(BDP("ONTO UN Equity","BEST_EPS","BEST_FPERIOD_OVERRIDE","26Y")&lt;&gt;0,$E$130/BDP("ONTO UN Equity","BEST_EPS","BEST_FPERIOD_OVERRIDE","26Y"),"")</f>
        <v/>
      </c>
      <c r="G130" s="95">
        <f>IF(BDP("ONTO UN Equity","BEST_EPS","BEST_FPERIOD_OVERRIDE","27Y")&lt;&gt;0,$E$130/BDP("ONTO UN Equity","BEST_EPS","BEST_FPERIOD_OVERRIDE","27Y"),"")</f>
        <v/>
      </c>
      <c r="H130" s="95">
        <f>IF(BDP("ONTO UN Equity","BEST_EPS","BEST_FPERIOD_OVERRIDE","28Y")&lt;&gt;0,$E$130/BDP("ONTO UN Equity","BEST_EPS","BEST_FPERIOD_OVERRIDE","28Y"),"")</f>
        <v/>
      </c>
      <c r="I130" s="96">
        <f>BDP("ONTO UN Equity","NET_DEBT_TO_EBITDA")</f>
        <v/>
      </c>
      <c r="J130" s="93">
        <f>BDP("ONTO UN Equity","BEST_SALES","BEST_FPERIOD_OVERRIDE","26Y")/1000</f>
        <v/>
      </c>
      <c r="K130" s="97">
        <f>IF(BDP("ONTO UN Equity","BEST_SALES","BEST_FPERIOD_OVERRIDE","26Y")&lt;&gt;0,BDP("ONTO UN Equity","BEST_EBIT","BEST_FPERIOD_OVERRIDE","26Y")/BDP("ONTO UN Equity","BEST_SALES","BEST_FPERIOD_OVERRIDE","26Y"),"")</f>
        <v/>
      </c>
      <c r="L130" s="97">
        <f>BDP("ONTO UN Equity","RETURN_ON_INV_CAPITAL")/100</f>
        <v/>
      </c>
      <c r="M130" s="97">
        <f>IF(AND(BDP("ONTO UN Equity","BEST_SALES","BEST_FPERIOD_OVERRIDE","25Y")&gt;0,BDP("ONTO UN Equity","BEST_SALES","BEST_FPERIOD_OVERRIDE","28Y")&gt;0),(BDP("ONTO UN Equity","BEST_SALES","BEST_FPERIOD_OVERRIDE","28Y")/BDP("ONTO UN Equity","BEST_SALES","BEST_FPERIOD_OVERRIDE","25Y"))^(1/3)-1,"")</f>
        <v/>
      </c>
      <c r="N130" s="97">
        <f>IF(AND(BDP("ONTO UN Equity","BEST_EBIT","BEST_FPERIOD_OVERRIDE","25Y")&gt;0,BDP("ONTO UN Equity","BEST_EBIT","BEST_FPERIOD_OVERRIDE","28Y")&gt;0),(BDP("ONTO UN Equity","BEST_EBIT","BEST_FPERIOD_OVERRIDE","28Y")/BDP("ONTO UN Equity","BEST_EBIT","BEST_FPERIOD_OVERRIDE","25Y"))^(1/3)-1,"")</f>
        <v/>
      </c>
      <c r="O130" s="97">
        <f>IF(AND(BDP("ONTO UN Equity","BEST_EPS","BEST_FPERIOD_OVERRIDE","25Y")&gt;0,BDP("ONTO UN Equity","BEST_EPS","BEST_FPERIOD_OVERRIDE","28Y")&gt;0),(BDP("ONTO UN Equity","BEST_EPS","BEST_FPERIOD_OVERRIDE","28Y")/BDP("ONTO UN Equity","BEST_EPS","BEST_FPERIOD_OVERRIDE","25Y"))^(1/3)-1,"")</f>
        <v/>
      </c>
      <c r="Q130" s="97">
        <f>BDP("ONTO UN Equity","CHG_PCT_YTD")/100</f>
        <v/>
      </c>
      <c r="T130" s="68">
        <f>IF(AND(F130&lt;&gt;"",O130&lt;&gt;"",O130&lt;&gt;0),F130/(O130*100),"")</f>
        <v/>
      </c>
      <c r="AA130" s="72">
        <f t="array" ref="AA130">_xll.BDP(B130,"CHG_PCT_1YR")/100</f>
        <v/>
      </c>
      <c r="AB130" s="93">
        <f>BDP("ONTO UN Equity","TRAIL_12M_OPER_INC")</f>
        <v/>
      </c>
      <c r="AC130" s="93">
        <f>BDP("ONTO UN Equity","SHORT_AND_LONG_TERM_DEBT")</f>
        <v/>
      </c>
      <c r="AD130" s="93">
        <f>BDP("ONTO UN Equity","TOTAL_EQUITY")</f>
        <v/>
      </c>
      <c r="AE130" s="93">
        <f>BDP("ONTO UN Equity","BS_CASH_NEAR_CASH_ITEM")</f>
        <v/>
      </c>
      <c r="AF130" s="99">
        <f>BDP("ONTO UN Equity","BS_LT_INVEST")</f>
        <v/>
      </c>
      <c r="AG130" s="15">
        <f>AC130+AD130</f>
        <v/>
      </c>
      <c r="AH130" s="100">
        <f>BDP("ONTO UN Equity","RETURN_ON_INV_CAPITAL")/100</f>
        <v/>
      </c>
      <c r="AJ130" s="93">
        <f>BDP("ONTO UN Equity","BEST_EPS","BEST_FPERIOD_OVERRIDE","24Y")</f>
        <v/>
      </c>
      <c r="AK130" s="93">
        <f>BDP("ONTO UN Equity","BEST_EPS","BEST_FPERIOD_OVERRIDE","25Y")</f>
        <v/>
      </c>
      <c r="AL130" s="93">
        <f>BDP("ONTO UN Equity","BEST_EPS","BEST_FPERIOD_OVERRIDE","26Y")</f>
        <v/>
      </c>
      <c r="AM130" s="93">
        <f>BDP("ONTO UN Equity","BEST_EPS","BEST_FPERIOD_OVERRIDE","27Y")</f>
        <v/>
      </c>
      <c r="AN130" s="93">
        <f>BDP("ONTO UN Equity","BEST_EPS","BEST_FPERIOD_OVERRIDE","28Y")</f>
        <v/>
      </c>
      <c r="AO130" s="15">
        <f t="array" ref="AO130">_xll.BDP($B130,"EQY_FISCAL_YR_END")</f>
        <v/>
      </c>
      <c r="AP130" s="93">
        <f>BDP("ONTO UN Equity","BEST_SALES","BEST_FPERIOD_OVERRIDE","24Y")</f>
        <v/>
      </c>
      <c r="AQ130" s="93">
        <f>BDP("ONTO UN Equity","BEST_SALES","BEST_FPERIOD_OVERRIDE","25Y")</f>
        <v/>
      </c>
      <c r="AR130" s="93">
        <f>BDP("ONTO UN Equity","BEST_SALES","BEST_FPERIOD_OVERRIDE","26Y")</f>
        <v/>
      </c>
      <c r="AS130" s="93">
        <f>BDP("ONTO UN Equity","BEST_SALES","BEST_FPERIOD_OVERRIDE","27Y")</f>
        <v/>
      </c>
      <c r="AT130" s="93">
        <f>BDP("ONTO UN Equity","BEST_SALES","BEST_FPERIOD_OVERRIDE","28Y")</f>
        <v/>
      </c>
      <c r="AV130" s="93">
        <f>BDP("ONTO UN Equity","BEST_EBIT","BEST_FPERIOD_OVERRIDE","24Y")</f>
        <v/>
      </c>
      <c r="AW130" s="93">
        <f>BDP("ONTO UN Equity","BEST_EBIT","BEST_FPERIOD_OVERRIDE","25Y")</f>
        <v/>
      </c>
      <c r="AX130" s="93">
        <f>BDP("ONTO UN Equity","BEST_EBIT","BEST_FPERIOD_OVERRIDE","26Y")</f>
        <v/>
      </c>
      <c r="AY130" s="93">
        <f>BDP("ONTO UN Equity","BEST_EBIT","BEST_FPERIOD_OVERRIDE","27Y")</f>
        <v/>
      </c>
      <c r="AZ130" s="93">
        <f>BDP("ONTO UN Equity","BEST_EBIT","BEST_FPERIOD_OVERRIDE","28Y")</f>
        <v/>
      </c>
      <c r="BB130" s="68">
        <f>D130+BC130</f>
        <v/>
      </c>
      <c r="BC130" s="68">
        <f>AC130-AE130</f>
        <v/>
      </c>
      <c r="BD130" s="15">
        <f>D130</f>
        <v/>
      </c>
      <c r="BE130" s="99">
        <f>BDP("ONTO UN Equity","TRAIL_12M_EBITDA")</f>
        <v/>
      </c>
    </row>
    <row r="131">
      <c r="AA131" s="72" t="n"/>
    </row>
    <row r="132">
      <c r="A132" s="36" t="inlineStr">
        <is>
          <t>Analog</t>
        </is>
      </c>
      <c r="AA132" s="72" t="n"/>
    </row>
    <row r="133">
      <c r="A133" t="inlineStr">
        <is>
          <t>TXN</t>
        </is>
      </c>
      <c r="B133" t="inlineStr">
        <is>
          <t>TXN UW Equity</t>
        </is>
      </c>
      <c r="C133" s="15" t="inlineStr">
        <is>
          <t>Dec</t>
        </is>
      </c>
      <c r="D133" s="93">
        <f>BDP("TXN UW Equity","CUR_MKT_CAP")/1000000000</f>
        <v/>
      </c>
      <c r="E133" s="94">
        <f>BDP("TXN UW Equity","PX_LAST")</f>
        <v/>
      </c>
      <c r="F133" s="95">
        <f>IF(BDP("TXN UW Equity","BEST_EPS","BEST_FPERIOD_OVERRIDE","26Y")&lt;&gt;0,$E$133/BDP("TXN UW Equity","BEST_EPS","BEST_FPERIOD_OVERRIDE","26Y"),"")</f>
        <v/>
      </c>
      <c r="G133" s="95">
        <f>IF(BDP("TXN UW Equity","BEST_EPS","BEST_FPERIOD_OVERRIDE","27Y")&lt;&gt;0,$E$133/BDP("TXN UW Equity","BEST_EPS","BEST_FPERIOD_OVERRIDE","27Y"),"")</f>
        <v/>
      </c>
      <c r="H133" s="95">
        <f>IF(BDP("TXN UW Equity","BEST_EPS","BEST_FPERIOD_OVERRIDE","28Y")&lt;&gt;0,$E$133/BDP("TXN UW Equity","BEST_EPS","BEST_FPERIOD_OVERRIDE","28Y"),"")</f>
        <v/>
      </c>
      <c r="I133" s="96">
        <f>BDP("TXN UW Equity","NET_DEBT_TO_EBITDA")</f>
        <v/>
      </c>
      <c r="J133" s="93">
        <f>BDP("TXN UW Equity","BEST_SALES","BEST_FPERIOD_OVERRIDE","26Y")/1000</f>
        <v/>
      </c>
      <c r="K133" s="97">
        <f>IF(BDP("TXN UW Equity","BEST_SALES","BEST_FPERIOD_OVERRIDE","26Y")&lt;&gt;0,BDP("TXN UW Equity","BEST_EBIT","BEST_FPERIOD_OVERRIDE","26Y")/BDP("TXN UW Equity","BEST_SALES","BEST_FPERIOD_OVERRIDE","26Y"),"")</f>
        <v/>
      </c>
      <c r="L133" s="97">
        <f>BDP("TXN UW Equity","RETURN_ON_INV_CAPITAL")/100</f>
        <v/>
      </c>
      <c r="M133" s="97">
        <f>IF(AND(BDP("TXN UW Equity","BEST_SALES","BEST_FPERIOD_OVERRIDE","25Y")&gt;0,BDP("TXN UW Equity","BEST_SALES","BEST_FPERIOD_OVERRIDE","28Y")&gt;0),(BDP("TXN UW Equity","BEST_SALES","BEST_FPERIOD_OVERRIDE","28Y")/BDP("TXN UW Equity","BEST_SALES","BEST_FPERIOD_OVERRIDE","25Y"))^(1/3)-1,"")</f>
        <v/>
      </c>
      <c r="N133" s="97">
        <f>IF(AND(BDP("TXN UW Equity","BEST_EBIT","BEST_FPERIOD_OVERRIDE","25Y")&gt;0,BDP("TXN UW Equity","BEST_EBIT","BEST_FPERIOD_OVERRIDE","28Y")&gt;0),(BDP("TXN UW Equity","BEST_EBIT","BEST_FPERIOD_OVERRIDE","28Y")/BDP("TXN UW Equity","BEST_EBIT","BEST_FPERIOD_OVERRIDE","25Y"))^(1/3)-1,"")</f>
        <v/>
      </c>
      <c r="O133" s="97">
        <f>IF(AND(BDP("TXN UW Equity","BEST_EPS","BEST_FPERIOD_OVERRIDE","25Y")&gt;0,BDP("TXN UW Equity","BEST_EPS","BEST_FPERIOD_OVERRIDE","28Y")&gt;0),(BDP("TXN UW Equity","BEST_EPS","BEST_FPERIOD_OVERRIDE","28Y")/BDP("TXN UW Equity","BEST_EPS","BEST_FPERIOD_OVERRIDE","25Y"))^(1/3)-1,"")</f>
        <v/>
      </c>
      <c r="Q133" s="97">
        <f>BDP("TXN UW Equity","CHG_PCT_YTD")/100</f>
        <v/>
      </c>
      <c r="T133" s="68">
        <f>IF(AND(F133&lt;&gt;"",O133&lt;&gt;"",O133&lt;&gt;0),F133/(O133*100),"")</f>
        <v/>
      </c>
      <c r="AA133" s="72">
        <f t="array" ref="AA133">_xll.BDP(B133,"CHG_PCT_1YR")/100</f>
        <v/>
      </c>
      <c r="AB133" s="93">
        <f>BDP("TXN UW Equity","TRAIL_12M_OPER_INC")</f>
        <v/>
      </c>
      <c r="AC133" s="93">
        <f>BDP("TXN UW Equity","SHORT_AND_LONG_TERM_DEBT")</f>
        <v/>
      </c>
      <c r="AD133" s="93">
        <f>BDP("TXN UW Equity","TOTAL_EQUITY")</f>
        <v/>
      </c>
      <c r="AE133" s="93">
        <f>BDP("TXN UW Equity","BS_CASH_NEAR_CASH_ITEM")</f>
        <v/>
      </c>
      <c r="AF133" s="99">
        <f>BDP("TXN UW Equity","BS_LT_INVEST")</f>
        <v/>
      </c>
      <c r="AG133" s="15">
        <f>AC133+AD133</f>
        <v/>
      </c>
      <c r="AH133" s="100">
        <f>BDP("TXN UW Equity","RETURN_ON_INV_CAPITAL")/100</f>
        <v/>
      </c>
      <c r="AJ133" s="93">
        <f>BDP("TXN UW Equity","BEST_EPS","BEST_FPERIOD_OVERRIDE","24Y")</f>
        <v/>
      </c>
      <c r="AK133" s="93">
        <f>BDP("TXN UW Equity","BEST_EPS","BEST_FPERIOD_OVERRIDE","25Y")</f>
        <v/>
      </c>
      <c r="AL133" s="93">
        <f>BDP("TXN UW Equity","BEST_EPS","BEST_FPERIOD_OVERRIDE","26Y")</f>
        <v/>
      </c>
      <c r="AM133" s="93">
        <f>BDP("TXN UW Equity","BEST_EPS","BEST_FPERIOD_OVERRIDE","27Y")</f>
        <v/>
      </c>
      <c r="AN133" s="93">
        <f>BDP("TXN UW Equity","BEST_EPS","BEST_FPERIOD_OVERRIDE","28Y")</f>
        <v/>
      </c>
      <c r="AO133" s="15">
        <f t="array" ref="AO133">_xll.BDP($B133,"EQY_FISCAL_YR_END")</f>
        <v/>
      </c>
      <c r="AP133" s="93">
        <f>BDP("TXN UW Equity","BEST_SALES","BEST_FPERIOD_OVERRIDE","24Y")</f>
        <v/>
      </c>
      <c r="AQ133" s="93">
        <f>BDP("TXN UW Equity","BEST_SALES","BEST_FPERIOD_OVERRIDE","25Y")</f>
        <v/>
      </c>
      <c r="AR133" s="93">
        <f>BDP("TXN UW Equity","BEST_SALES","BEST_FPERIOD_OVERRIDE","26Y")</f>
        <v/>
      </c>
      <c r="AS133" s="93">
        <f>BDP("TXN UW Equity","BEST_SALES","BEST_FPERIOD_OVERRIDE","27Y")</f>
        <v/>
      </c>
      <c r="AT133" s="93">
        <f>BDP("TXN UW Equity","BEST_SALES","BEST_FPERIOD_OVERRIDE","28Y")</f>
        <v/>
      </c>
      <c r="AV133" s="93">
        <f>BDP("TXN UW Equity","BEST_EBIT","BEST_FPERIOD_OVERRIDE","24Y")</f>
        <v/>
      </c>
      <c r="AW133" s="93">
        <f>BDP("TXN UW Equity","BEST_EBIT","BEST_FPERIOD_OVERRIDE","25Y")</f>
        <v/>
      </c>
      <c r="AX133" s="93">
        <f>BDP("TXN UW Equity","BEST_EBIT","BEST_FPERIOD_OVERRIDE","26Y")</f>
        <v/>
      </c>
      <c r="AY133" s="93">
        <f>BDP("TXN UW Equity","BEST_EBIT","BEST_FPERIOD_OVERRIDE","27Y")</f>
        <v/>
      </c>
      <c r="AZ133" s="93">
        <f>BDP("TXN UW Equity","BEST_EBIT","BEST_FPERIOD_OVERRIDE","28Y")</f>
        <v/>
      </c>
      <c r="BB133" s="68">
        <f>D133+BC133</f>
        <v/>
      </c>
      <c r="BC133" s="68">
        <f>AC133-AE133</f>
        <v/>
      </c>
      <c r="BD133" s="15">
        <f>D133</f>
        <v/>
      </c>
      <c r="BE133" s="99">
        <f>BDP("TXN UW Equity","TRAIL_12M_EBITDA")</f>
        <v/>
      </c>
    </row>
    <row r="134">
      <c r="A134" t="inlineStr">
        <is>
          <t>ADI</t>
        </is>
      </c>
      <c r="B134" t="inlineStr">
        <is>
          <t>ADI UW Equity</t>
        </is>
      </c>
      <c r="C134" s="15" t="inlineStr">
        <is>
          <t>Oct</t>
        </is>
      </c>
      <c r="D134" s="93">
        <f>BDP("ADI UW Equity","CUR_MKT_CAP")/1000000000</f>
        <v/>
      </c>
      <c r="E134" s="94">
        <f>BDP("ADI UW Equity","PX_LAST")</f>
        <v/>
      </c>
      <c r="F134" s="95">
        <f>IF(BDP("ADI UW Equity","BEST_EPS","BEST_FPERIOD_OVERRIDE","26Y")&lt;&gt;0,$E$134/BDP("ADI UW Equity","BEST_EPS","BEST_FPERIOD_OVERRIDE","26Y"),"")</f>
        <v/>
      </c>
      <c r="G134" s="95">
        <f>IF(BDP("ADI UW Equity","BEST_EPS","BEST_FPERIOD_OVERRIDE","27Y")&lt;&gt;0,$E$134/BDP("ADI UW Equity","BEST_EPS","BEST_FPERIOD_OVERRIDE","27Y"),"")</f>
        <v/>
      </c>
      <c r="H134" s="95">
        <f>IF(BDP("ADI UW Equity","BEST_EPS","BEST_FPERIOD_OVERRIDE","28Y")&lt;&gt;0,$E$134/BDP("ADI UW Equity","BEST_EPS","BEST_FPERIOD_OVERRIDE","28Y"),"")</f>
        <v/>
      </c>
      <c r="I134" s="96">
        <f>BDP("ADI UW Equity","NET_DEBT_TO_EBITDA")</f>
        <v/>
      </c>
      <c r="J134" s="93">
        <f>BDP("ADI UW Equity","BEST_SALES","BEST_FPERIOD_OVERRIDE","26Y")/1000</f>
        <v/>
      </c>
      <c r="K134" s="97">
        <f>IF(BDP("ADI UW Equity","BEST_SALES","BEST_FPERIOD_OVERRIDE","26Y")&lt;&gt;0,BDP("ADI UW Equity","BEST_EBIT","BEST_FPERIOD_OVERRIDE","26Y")/BDP("ADI UW Equity","BEST_SALES","BEST_FPERIOD_OVERRIDE","26Y"),"")</f>
        <v/>
      </c>
      <c r="L134" s="97">
        <f>BDP("ADI UW Equity","RETURN_ON_INV_CAPITAL")/100</f>
        <v/>
      </c>
      <c r="M134" s="97">
        <f>IF(AND(BDP("ADI UW Equity","BEST_SALES","BEST_FPERIOD_OVERRIDE","25Y")&gt;0,BDP("ADI UW Equity","BEST_SALES","BEST_FPERIOD_OVERRIDE","28Y")&gt;0),(BDP("ADI UW Equity","BEST_SALES","BEST_FPERIOD_OVERRIDE","28Y")/BDP("ADI UW Equity","BEST_SALES","BEST_FPERIOD_OVERRIDE","25Y"))^(1/3)-1,"")</f>
        <v/>
      </c>
      <c r="N134" s="97">
        <f>IF(AND(BDP("ADI UW Equity","BEST_EBIT","BEST_FPERIOD_OVERRIDE","25Y")&gt;0,BDP("ADI UW Equity","BEST_EBIT","BEST_FPERIOD_OVERRIDE","28Y")&gt;0),(BDP("ADI UW Equity","BEST_EBIT","BEST_FPERIOD_OVERRIDE","28Y")/BDP("ADI UW Equity","BEST_EBIT","BEST_FPERIOD_OVERRIDE","25Y"))^(1/3)-1,"")</f>
        <v/>
      </c>
      <c r="O134" s="97">
        <f>IF(AND(BDP("ADI UW Equity","BEST_EPS","BEST_FPERIOD_OVERRIDE","25Y")&gt;0,BDP("ADI UW Equity","BEST_EPS","BEST_FPERIOD_OVERRIDE","28Y")&gt;0),(BDP("ADI UW Equity","BEST_EPS","BEST_FPERIOD_OVERRIDE","28Y")/BDP("ADI UW Equity","BEST_EPS","BEST_FPERIOD_OVERRIDE","25Y"))^(1/3)-1,"")</f>
        <v/>
      </c>
      <c r="Q134" s="97">
        <f>BDP("ADI UW Equity","CHG_PCT_YTD")/100</f>
        <v/>
      </c>
      <c r="T134" s="68">
        <f>IF(AND(F134&lt;&gt;"",O134&lt;&gt;"",O134&lt;&gt;0),F134/(O134*100),"")</f>
        <v/>
      </c>
      <c r="AA134" s="72">
        <f t="array" ref="AA134">_xll.BDP(B134,"CHG_PCT_1YR")/100</f>
        <v/>
      </c>
      <c r="AB134" s="93">
        <f>BDP("ADI UW Equity","TRAIL_12M_OPER_INC")</f>
        <v/>
      </c>
      <c r="AC134" s="93">
        <f>BDP("ADI UW Equity","SHORT_AND_LONG_TERM_DEBT")</f>
        <v/>
      </c>
      <c r="AD134" s="93">
        <f>BDP("ADI UW Equity","TOTAL_EQUITY")</f>
        <v/>
      </c>
      <c r="AE134" s="93">
        <f>BDP("ADI UW Equity","BS_CASH_NEAR_CASH_ITEM")</f>
        <v/>
      </c>
      <c r="AF134" s="99">
        <f>BDP("ADI UW Equity","BS_LT_INVEST")</f>
        <v/>
      </c>
      <c r="AG134" s="15">
        <f>AC134+AD134</f>
        <v/>
      </c>
      <c r="AH134" s="100">
        <f>BDP("ADI UW Equity","RETURN_ON_INV_CAPITAL")/100</f>
        <v/>
      </c>
      <c r="AJ134" s="93">
        <f>BDP("ADI UW Equity","BEST_EPS","BEST_FPERIOD_OVERRIDE","24Y")</f>
        <v/>
      </c>
      <c r="AK134" s="93">
        <f>BDP("ADI UW Equity","BEST_EPS","BEST_FPERIOD_OVERRIDE","25Y")</f>
        <v/>
      </c>
      <c r="AL134" s="93">
        <f>BDP("ADI UW Equity","BEST_EPS","BEST_FPERIOD_OVERRIDE","26Y")</f>
        <v/>
      </c>
      <c r="AM134" s="93">
        <f>BDP("ADI UW Equity","BEST_EPS","BEST_FPERIOD_OVERRIDE","27Y")</f>
        <v/>
      </c>
      <c r="AN134" s="93">
        <f>BDP("ADI UW Equity","BEST_EPS","BEST_FPERIOD_OVERRIDE","28Y")</f>
        <v/>
      </c>
      <c r="AO134" s="15">
        <f t="array" ref="AO134">_xll.BDP($B134,"EQY_FISCAL_YR_END")</f>
        <v/>
      </c>
      <c r="AP134" s="93">
        <f>BDP("ADI UW Equity","BEST_SALES","BEST_FPERIOD_OVERRIDE","24Y")</f>
        <v/>
      </c>
      <c r="AQ134" s="93">
        <f>BDP("ADI UW Equity","BEST_SALES","BEST_FPERIOD_OVERRIDE","25Y")</f>
        <v/>
      </c>
      <c r="AR134" s="93">
        <f>BDP("ADI UW Equity","BEST_SALES","BEST_FPERIOD_OVERRIDE","26Y")</f>
        <v/>
      </c>
      <c r="AS134" s="93">
        <f>BDP("ADI UW Equity","BEST_SALES","BEST_FPERIOD_OVERRIDE","27Y")</f>
        <v/>
      </c>
      <c r="AT134" s="93">
        <f>BDP("ADI UW Equity","BEST_SALES","BEST_FPERIOD_OVERRIDE","28Y")</f>
        <v/>
      </c>
      <c r="AV134" s="93">
        <f>BDP("ADI UW Equity","BEST_EBIT","BEST_FPERIOD_OVERRIDE","24Y")</f>
        <v/>
      </c>
      <c r="AW134" s="93">
        <f>BDP("ADI UW Equity","BEST_EBIT","BEST_FPERIOD_OVERRIDE","25Y")</f>
        <v/>
      </c>
      <c r="AX134" s="93">
        <f>BDP("ADI UW Equity","BEST_EBIT","BEST_FPERIOD_OVERRIDE","26Y")</f>
        <v/>
      </c>
      <c r="AY134" s="93">
        <f>BDP("ADI UW Equity","BEST_EBIT","BEST_FPERIOD_OVERRIDE","27Y")</f>
        <v/>
      </c>
      <c r="AZ134" s="93">
        <f>BDP("ADI UW Equity","BEST_EBIT","BEST_FPERIOD_OVERRIDE","28Y")</f>
        <v/>
      </c>
      <c r="BB134" s="68">
        <f>D134+BC134</f>
        <v/>
      </c>
      <c r="BC134" s="68">
        <f>AC134-AE134</f>
        <v/>
      </c>
      <c r="BD134" s="15">
        <f>D134</f>
        <v/>
      </c>
      <c r="BE134" s="99">
        <f>BDP("ADI UW Equity","TRAIL_12M_EBITDA")</f>
        <v/>
      </c>
    </row>
    <row r="135">
      <c r="A135" t="inlineStr">
        <is>
          <t>MPWR</t>
        </is>
      </c>
      <c r="B135" t="inlineStr">
        <is>
          <t>MPWR UW Equity</t>
        </is>
      </c>
      <c r="C135" s="15" t="inlineStr">
        <is>
          <t>Dec</t>
        </is>
      </c>
      <c r="D135" s="93">
        <f>BDP("MPWR UW Equity","CUR_MKT_CAP")/1000000000</f>
        <v/>
      </c>
      <c r="E135" s="94">
        <f>BDP("MPWR UW Equity","PX_LAST")</f>
        <v/>
      </c>
      <c r="F135" s="95">
        <f>IF(BDP("MPWR UW Equity","BEST_EPS","BEST_FPERIOD_OVERRIDE","26Y")&lt;&gt;0,$E$135/BDP("MPWR UW Equity","BEST_EPS","BEST_FPERIOD_OVERRIDE","26Y"),"")</f>
        <v/>
      </c>
      <c r="G135" s="95">
        <f>IF(BDP("MPWR UW Equity","BEST_EPS","BEST_FPERIOD_OVERRIDE","27Y")&lt;&gt;0,$E$135/BDP("MPWR UW Equity","BEST_EPS","BEST_FPERIOD_OVERRIDE","27Y"),"")</f>
        <v/>
      </c>
      <c r="H135" s="95">
        <f>IF(BDP("MPWR UW Equity","BEST_EPS","BEST_FPERIOD_OVERRIDE","28Y")&lt;&gt;0,$E$135/BDP("MPWR UW Equity","BEST_EPS","BEST_FPERIOD_OVERRIDE","28Y"),"")</f>
        <v/>
      </c>
      <c r="I135" s="96">
        <f>BDP("MPWR UW Equity","NET_DEBT_TO_EBITDA")</f>
        <v/>
      </c>
      <c r="J135" s="93">
        <f>BDP("MPWR UW Equity","BEST_SALES","BEST_FPERIOD_OVERRIDE","26Y")/1000</f>
        <v/>
      </c>
      <c r="K135" s="97">
        <f>IF(BDP("MPWR UW Equity","BEST_SALES","BEST_FPERIOD_OVERRIDE","26Y")&lt;&gt;0,BDP("MPWR UW Equity","BEST_EBIT","BEST_FPERIOD_OVERRIDE","26Y")/BDP("MPWR UW Equity","BEST_SALES","BEST_FPERIOD_OVERRIDE","26Y"),"")</f>
        <v/>
      </c>
      <c r="L135" s="97">
        <f>BDP("MPWR UW Equity","RETURN_ON_INV_CAPITAL")/100</f>
        <v/>
      </c>
      <c r="M135" s="97">
        <f>IF(AND(BDP("MPWR UW Equity","BEST_SALES","BEST_FPERIOD_OVERRIDE","25Y")&gt;0,BDP("MPWR UW Equity","BEST_SALES","BEST_FPERIOD_OVERRIDE","28Y")&gt;0),(BDP("MPWR UW Equity","BEST_SALES","BEST_FPERIOD_OVERRIDE","28Y")/BDP("MPWR UW Equity","BEST_SALES","BEST_FPERIOD_OVERRIDE","25Y"))^(1/3)-1,"")</f>
        <v/>
      </c>
      <c r="N135" s="97">
        <f>IF(AND(BDP("MPWR UW Equity","BEST_EBIT","BEST_FPERIOD_OVERRIDE","25Y")&gt;0,BDP("MPWR UW Equity","BEST_EBIT","BEST_FPERIOD_OVERRIDE","28Y")&gt;0),(BDP("MPWR UW Equity","BEST_EBIT","BEST_FPERIOD_OVERRIDE","28Y")/BDP("MPWR UW Equity","BEST_EBIT","BEST_FPERIOD_OVERRIDE","25Y"))^(1/3)-1,"")</f>
        <v/>
      </c>
      <c r="O135" s="97">
        <f>IF(AND(BDP("MPWR UW Equity","BEST_EPS","BEST_FPERIOD_OVERRIDE","25Y")&gt;0,BDP("MPWR UW Equity","BEST_EPS","BEST_FPERIOD_OVERRIDE","28Y")&gt;0),(BDP("MPWR UW Equity","BEST_EPS","BEST_FPERIOD_OVERRIDE","28Y")/BDP("MPWR UW Equity","BEST_EPS","BEST_FPERIOD_OVERRIDE","25Y"))^(1/3)-1,"")</f>
        <v/>
      </c>
      <c r="Q135" s="97">
        <f>BDP("MPWR UW Equity","CHG_PCT_YTD")/100</f>
        <v/>
      </c>
      <c r="T135" s="68">
        <f>IF(AND(F135&lt;&gt;"",O135&lt;&gt;"",O135&lt;&gt;0),F135/(O135*100),"")</f>
        <v/>
      </c>
      <c r="AA135" s="72">
        <f t="array" ref="AA135">_xll.BDP(B135,"CHG_PCT_1YR")/100</f>
        <v/>
      </c>
      <c r="AB135" s="93">
        <f>BDP("MPWR UW Equity","TRAIL_12M_OPER_INC")</f>
        <v/>
      </c>
      <c r="AC135" s="93">
        <f>BDP("MPWR UW Equity","SHORT_AND_LONG_TERM_DEBT")</f>
        <v/>
      </c>
      <c r="AD135" s="93">
        <f>BDP("MPWR UW Equity","TOTAL_EQUITY")</f>
        <v/>
      </c>
      <c r="AE135" s="93">
        <f>BDP("MPWR UW Equity","BS_CASH_NEAR_CASH_ITEM")</f>
        <v/>
      </c>
      <c r="AF135" s="99">
        <f>BDP("MPWR UW Equity","BS_LT_INVEST")</f>
        <v/>
      </c>
      <c r="AG135" s="15">
        <f>AC135+AD135</f>
        <v/>
      </c>
      <c r="AH135" s="100">
        <f>BDP("MPWR UW Equity","RETURN_ON_INV_CAPITAL")/100</f>
        <v/>
      </c>
      <c r="AJ135" s="93">
        <f>BDP("MPWR UW Equity","BEST_EPS","BEST_FPERIOD_OVERRIDE","24Y")</f>
        <v/>
      </c>
      <c r="AK135" s="93">
        <f>BDP("MPWR UW Equity","BEST_EPS","BEST_FPERIOD_OVERRIDE","25Y")</f>
        <v/>
      </c>
      <c r="AL135" s="93">
        <f>BDP("MPWR UW Equity","BEST_EPS","BEST_FPERIOD_OVERRIDE","26Y")</f>
        <v/>
      </c>
      <c r="AM135" s="93">
        <f>BDP("MPWR UW Equity","BEST_EPS","BEST_FPERIOD_OVERRIDE","27Y")</f>
        <v/>
      </c>
      <c r="AN135" s="93">
        <f>BDP("MPWR UW Equity","BEST_EPS","BEST_FPERIOD_OVERRIDE","28Y")</f>
        <v/>
      </c>
      <c r="AO135" s="15">
        <f t="array" ref="AO135">_xll.BDP($B135,"EQY_FISCAL_YR_END")</f>
        <v/>
      </c>
      <c r="AP135" s="93">
        <f>BDP("MPWR UW Equity","BEST_SALES","BEST_FPERIOD_OVERRIDE","24Y")</f>
        <v/>
      </c>
      <c r="AQ135" s="93">
        <f>BDP("MPWR UW Equity","BEST_SALES","BEST_FPERIOD_OVERRIDE","25Y")</f>
        <v/>
      </c>
      <c r="AR135" s="93">
        <f>BDP("MPWR UW Equity","BEST_SALES","BEST_FPERIOD_OVERRIDE","26Y")</f>
        <v/>
      </c>
      <c r="AS135" s="93">
        <f>BDP("MPWR UW Equity","BEST_SALES","BEST_FPERIOD_OVERRIDE","27Y")</f>
        <v/>
      </c>
      <c r="AT135" s="93">
        <f>BDP("MPWR UW Equity","BEST_SALES","BEST_FPERIOD_OVERRIDE","28Y")</f>
        <v/>
      </c>
      <c r="AV135" s="93">
        <f>BDP("MPWR UW Equity","BEST_EBIT","BEST_FPERIOD_OVERRIDE","24Y")</f>
        <v/>
      </c>
      <c r="AW135" s="93">
        <f>BDP("MPWR UW Equity","BEST_EBIT","BEST_FPERIOD_OVERRIDE","25Y")</f>
        <v/>
      </c>
      <c r="AX135" s="93">
        <f>BDP("MPWR UW Equity","BEST_EBIT","BEST_FPERIOD_OVERRIDE","26Y")</f>
        <v/>
      </c>
      <c r="AY135" s="93">
        <f>BDP("MPWR UW Equity","BEST_EBIT","BEST_FPERIOD_OVERRIDE","27Y")</f>
        <v/>
      </c>
      <c r="AZ135" s="93">
        <f>BDP("MPWR UW Equity","BEST_EBIT","BEST_FPERIOD_OVERRIDE","28Y")</f>
        <v/>
      </c>
      <c r="BB135" s="68">
        <f>D135+BC135</f>
        <v/>
      </c>
      <c r="BC135" s="68">
        <f>AC135-AE135</f>
        <v/>
      </c>
      <c r="BD135" s="15">
        <f>D135</f>
        <v/>
      </c>
      <c r="BE135" s="99">
        <f>BDP("MPWR UW Equity","TRAIL_12M_EBITDA")</f>
        <v/>
      </c>
    </row>
    <row r="136">
      <c r="D136" s="15" t="n"/>
      <c r="AA136" s="72" t="n"/>
    </row>
    <row r="137">
      <c r="A137" s="36" t="inlineStr">
        <is>
          <t>Memory</t>
        </is>
      </c>
      <c r="C137" s="15" t="n"/>
      <c r="D137" s="15" t="n"/>
      <c r="E137" s="69" t="n"/>
      <c r="F137" s="70" t="n"/>
      <c r="G137" s="70" t="n"/>
      <c r="H137" s="70" t="n"/>
      <c r="I137" s="71" t="n"/>
      <c r="J137" s="15" t="n"/>
      <c r="K137" s="72" t="n"/>
      <c r="L137" s="72" t="n"/>
      <c r="M137" s="72" t="n"/>
      <c r="N137" s="72" t="n"/>
      <c r="O137" s="72" t="n"/>
      <c r="T137" s="68" t="n"/>
      <c r="AA137" s="72" t="n"/>
      <c r="AB137" s="15" t="n"/>
      <c r="AC137" s="15" t="n"/>
      <c r="AD137" s="15" t="n"/>
      <c r="AE137" s="15" t="n"/>
      <c r="AF137" s="16" t="n"/>
      <c r="AG137" s="15" t="n"/>
      <c r="AH137" s="67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V137" s="15" t="n"/>
      <c r="AW137" s="15" t="n"/>
      <c r="AX137" s="15" t="n"/>
      <c r="AY137" s="15" t="n"/>
      <c r="AZ137" s="15" t="n"/>
      <c r="BB137" s="68" t="n"/>
      <c r="BC137" s="68" t="n"/>
      <c r="BD137" s="15" t="n"/>
      <c r="BE137" s="16" t="n"/>
    </row>
    <row r="138">
      <c r="A138" t="inlineStr">
        <is>
          <t>MU</t>
        </is>
      </c>
      <c r="B138" t="inlineStr">
        <is>
          <t>MU UW Equity</t>
        </is>
      </c>
      <c r="C138" s="15" t="inlineStr">
        <is>
          <t>Aug</t>
        </is>
      </c>
      <c r="D138" s="93">
        <f>BDP("MU UW Equity","CUR_MKT_CAP")/1000000000</f>
        <v/>
      </c>
      <c r="E138" s="94">
        <f>BDP("MU UW Equity","PX_LAST")</f>
        <v/>
      </c>
      <c r="F138" s="95">
        <f>IF(BDP("MU UW Equity","BEST_EPS","BEST_FPERIOD_OVERRIDE","26Y")&lt;&gt;0,$E$138/BDP("MU UW Equity","BEST_EPS","BEST_FPERIOD_OVERRIDE","26Y"),"")</f>
        <v/>
      </c>
      <c r="G138" s="95">
        <f>IF(BDP("MU UW Equity","BEST_EPS","BEST_FPERIOD_OVERRIDE","27Y")&lt;&gt;0,$E$138/BDP("MU UW Equity","BEST_EPS","BEST_FPERIOD_OVERRIDE","27Y"),"")</f>
        <v/>
      </c>
      <c r="H138" s="95">
        <f>IF(BDP("MU UW Equity","BEST_EPS","BEST_FPERIOD_OVERRIDE","28Y")&lt;&gt;0,$E$138/BDP("MU UW Equity","BEST_EPS","BEST_FPERIOD_OVERRIDE","28Y"),"")</f>
        <v/>
      </c>
      <c r="I138" s="96">
        <f>BDP("MU UW Equity","NET_DEBT_TO_EBITDA")</f>
        <v/>
      </c>
      <c r="J138" s="93">
        <f>BDP("MU UW Equity","BEST_SALES","BEST_FPERIOD_OVERRIDE","26Y")/1000</f>
        <v/>
      </c>
      <c r="K138" s="97">
        <f>IF(BDP("MU UW Equity","BEST_SALES","BEST_FPERIOD_OVERRIDE","26Y")&lt;&gt;0,BDP("MU UW Equity","BEST_EBIT","BEST_FPERIOD_OVERRIDE","26Y")/BDP("MU UW Equity","BEST_SALES","BEST_FPERIOD_OVERRIDE","26Y"),"")</f>
        <v/>
      </c>
      <c r="L138" s="97">
        <f>BDP("MU UW Equity","RETURN_ON_INV_CAPITAL")/100</f>
        <v/>
      </c>
      <c r="M138" s="97">
        <f>IF(AND(BDP("MU UW Equity","BEST_SALES","BEST_FPERIOD_OVERRIDE","25Y")&gt;0,BDP("MU UW Equity","BEST_SALES","BEST_FPERIOD_OVERRIDE","28Y")&gt;0),(BDP("MU UW Equity","BEST_SALES","BEST_FPERIOD_OVERRIDE","28Y")/BDP("MU UW Equity","BEST_SALES","BEST_FPERIOD_OVERRIDE","25Y"))^(1/3)-1,"")</f>
        <v/>
      </c>
      <c r="N138" s="97">
        <f>IF(AND(BDP("MU UW Equity","BEST_EBIT","BEST_FPERIOD_OVERRIDE","25Y")&gt;0,BDP("MU UW Equity","BEST_EBIT","BEST_FPERIOD_OVERRIDE","28Y")&gt;0),(BDP("MU UW Equity","BEST_EBIT","BEST_FPERIOD_OVERRIDE","28Y")/BDP("MU UW Equity","BEST_EBIT","BEST_FPERIOD_OVERRIDE","25Y"))^(1/3)-1,"")</f>
        <v/>
      </c>
      <c r="O138" s="97">
        <f>IF(AND(BDP("MU UW Equity","BEST_EPS","BEST_FPERIOD_OVERRIDE","25Y")&gt;0,BDP("MU UW Equity","BEST_EPS","BEST_FPERIOD_OVERRIDE","28Y")&gt;0),(BDP("MU UW Equity","BEST_EPS","BEST_FPERIOD_OVERRIDE","28Y")/BDP("MU UW Equity","BEST_EPS","BEST_FPERIOD_OVERRIDE","25Y"))^(1/3)-1,"")</f>
        <v/>
      </c>
      <c r="Q138" s="97">
        <f>BDP("MU UW Equity","CHG_PCT_YTD")/100</f>
        <v/>
      </c>
      <c r="T138" s="68">
        <f>IF(AND(F138&lt;&gt;"",O138&lt;&gt;"",O138&lt;&gt;0),F138/(O138*100),"")</f>
        <v/>
      </c>
      <c r="AA138" s="72">
        <f t="array" ref="AA138">_xll.BDP(B138,"CHG_PCT_1YR")/100</f>
        <v/>
      </c>
      <c r="AB138" s="93">
        <f>BDP("MU UW Equity","TRAIL_12M_OPER_INC")</f>
        <v/>
      </c>
      <c r="AC138" s="93">
        <f>BDP("MU UW Equity","SHORT_AND_LONG_TERM_DEBT")</f>
        <v/>
      </c>
      <c r="AD138" s="93">
        <f>BDP("MU UW Equity","TOTAL_EQUITY")</f>
        <v/>
      </c>
      <c r="AE138" s="93">
        <f>BDP("MU UW Equity","BS_CASH_NEAR_CASH_ITEM")</f>
        <v/>
      </c>
      <c r="AF138" s="99">
        <f>BDP("MU UW Equity","BS_LT_INVEST")</f>
        <v/>
      </c>
      <c r="AG138" s="15">
        <f>AC138+AD138</f>
        <v/>
      </c>
      <c r="AH138" s="100">
        <f>BDP("MU UW Equity","RETURN_ON_INV_CAPITAL")/100</f>
        <v/>
      </c>
      <c r="AJ138" s="93">
        <f>BDP("MU UW Equity","BEST_EPS","BEST_FPERIOD_OVERRIDE","24Y")</f>
        <v/>
      </c>
      <c r="AK138" s="93">
        <f>BDP("MU UW Equity","BEST_EPS","BEST_FPERIOD_OVERRIDE","25Y")</f>
        <v/>
      </c>
      <c r="AL138" s="93">
        <f>BDP("MU UW Equity","BEST_EPS","BEST_FPERIOD_OVERRIDE","26Y")</f>
        <v/>
      </c>
      <c r="AM138" s="93">
        <f>BDP("MU UW Equity","BEST_EPS","BEST_FPERIOD_OVERRIDE","27Y")</f>
        <v/>
      </c>
      <c r="AN138" s="93">
        <f>BDP("MU UW Equity","BEST_EPS","BEST_FPERIOD_OVERRIDE","28Y")</f>
        <v/>
      </c>
      <c r="AO138" s="15">
        <f t="array" ref="AO138">_xll.BDP($B138,"EQY_FISCAL_YR_END")</f>
        <v/>
      </c>
      <c r="AP138" s="93">
        <f>BDP("MU UW Equity","BEST_SALES","BEST_FPERIOD_OVERRIDE","24Y")</f>
        <v/>
      </c>
      <c r="AQ138" s="93">
        <f>BDP("MU UW Equity","BEST_SALES","BEST_FPERIOD_OVERRIDE","25Y")</f>
        <v/>
      </c>
      <c r="AR138" s="93">
        <f>BDP("MU UW Equity","BEST_SALES","BEST_FPERIOD_OVERRIDE","26Y")</f>
        <v/>
      </c>
      <c r="AS138" s="93">
        <f>BDP("MU UW Equity","BEST_SALES","BEST_FPERIOD_OVERRIDE","27Y")</f>
        <v/>
      </c>
      <c r="AT138" s="93">
        <f>BDP("MU UW Equity","BEST_SALES","BEST_FPERIOD_OVERRIDE","28Y")</f>
        <v/>
      </c>
      <c r="AV138" s="93">
        <f>BDP("MU UW Equity","BEST_EBIT","BEST_FPERIOD_OVERRIDE","24Y")</f>
        <v/>
      </c>
      <c r="AW138" s="93">
        <f>BDP("MU UW Equity","BEST_EBIT","BEST_FPERIOD_OVERRIDE","25Y")</f>
        <v/>
      </c>
      <c r="AX138" s="93">
        <f>BDP("MU UW Equity","BEST_EBIT","BEST_FPERIOD_OVERRIDE","26Y")</f>
        <v/>
      </c>
      <c r="AY138" s="93">
        <f>BDP("MU UW Equity","BEST_EBIT","BEST_FPERIOD_OVERRIDE","27Y")</f>
        <v/>
      </c>
      <c r="AZ138" s="93">
        <f>BDP("MU UW Equity","BEST_EBIT","BEST_FPERIOD_OVERRIDE","28Y")</f>
        <v/>
      </c>
      <c r="BB138" s="68">
        <f>D138+BC138</f>
        <v/>
      </c>
      <c r="BC138" s="68">
        <f>AC138-AE138</f>
        <v/>
      </c>
      <c r="BD138" s="15">
        <f>D138</f>
        <v/>
      </c>
      <c r="BE138" s="99">
        <f>BDP("MU UW Equity","TRAIL_12M_EBITDA")</f>
        <v/>
      </c>
    </row>
    <row r="139">
      <c r="C139" s="15" t="n"/>
      <c r="D139" s="15" t="n"/>
      <c r="E139" s="69" t="n"/>
      <c r="F139" s="70" t="n"/>
      <c r="G139" s="70" t="n"/>
      <c r="H139" s="70" t="n"/>
      <c r="I139" s="71" t="n"/>
      <c r="J139" s="15" t="n"/>
      <c r="K139" s="72" t="n"/>
      <c r="L139" s="72" t="n"/>
      <c r="M139" s="72" t="n"/>
      <c r="N139" s="72" t="n"/>
      <c r="O139" s="72" t="n"/>
      <c r="T139" s="68" t="n"/>
      <c r="AA139" s="72" t="n"/>
      <c r="AB139" s="15" t="n"/>
      <c r="AC139" s="15" t="n"/>
      <c r="AD139" s="15" t="n"/>
      <c r="AE139" s="15" t="n"/>
      <c r="AF139" s="16" t="n"/>
      <c r="AG139" s="15" t="n"/>
      <c r="AH139" s="67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V139" s="15" t="n"/>
      <c r="AW139" s="15" t="n"/>
      <c r="AX139" s="15" t="n"/>
      <c r="AY139" s="15" t="n"/>
      <c r="AZ139" s="15" t="n"/>
      <c r="BB139" s="68" t="n"/>
      <c r="BC139" s="68" t="n"/>
      <c r="BD139" s="15" t="n"/>
      <c r="BE139" s="16" t="n"/>
    </row>
    <row r="140">
      <c r="A140" s="36" t="inlineStr">
        <is>
          <t>Other</t>
        </is>
      </c>
      <c r="C140" s="15" t="n"/>
      <c r="D140" s="15" t="n"/>
      <c r="E140" s="69" t="n"/>
      <c r="F140" s="70" t="n"/>
      <c r="G140" s="70" t="n"/>
      <c r="H140" s="70" t="n"/>
      <c r="I140" s="71" t="n"/>
      <c r="J140" s="15" t="n"/>
      <c r="K140" s="72" t="n"/>
      <c r="L140" s="72" t="n"/>
      <c r="M140" s="72" t="n"/>
      <c r="N140" s="72" t="n"/>
      <c r="O140" s="72" t="n"/>
      <c r="T140" s="68" t="n"/>
      <c r="AA140" s="72" t="n"/>
      <c r="AB140" s="15" t="n"/>
      <c r="AC140" s="15" t="n"/>
      <c r="AD140" s="15" t="n"/>
      <c r="AE140" s="15" t="n"/>
      <c r="AF140" s="16" t="n"/>
      <c r="AG140" s="15" t="n"/>
      <c r="AH140" s="67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V140" s="15" t="n"/>
      <c r="AW140" s="15" t="n"/>
      <c r="AX140" s="15" t="n"/>
      <c r="AY140" s="15" t="n"/>
      <c r="AZ140" s="15" t="n"/>
      <c r="BB140" s="68" t="n"/>
      <c r="BC140" s="68" t="n"/>
      <c r="BD140" s="15" t="n"/>
      <c r="BE140" s="16" t="n"/>
    </row>
    <row r="141">
      <c r="A141" t="inlineStr">
        <is>
          <t>NXPI</t>
        </is>
      </c>
      <c r="B141" t="inlineStr">
        <is>
          <t>NXPI UW Equity</t>
        </is>
      </c>
      <c r="C141" s="15" t="inlineStr">
        <is>
          <t>Dec</t>
        </is>
      </c>
      <c r="D141" s="93">
        <f>BDP("NXPI UW Equity","CUR_MKT_CAP")/1000000000</f>
        <v/>
      </c>
      <c r="E141" s="94">
        <f>BDP("NXPI UW Equity","PX_LAST")</f>
        <v/>
      </c>
      <c r="F141" s="95">
        <f>IF(BDP("NXPI UW Equity","BEST_EPS","BEST_FPERIOD_OVERRIDE","26Y")&lt;&gt;0,$E$141/BDP("NXPI UW Equity","BEST_EPS","BEST_FPERIOD_OVERRIDE","26Y"),"")</f>
        <v/>
      </c>
      <c r="G141" s="95">
        <f>IF(BDP("NXPI UW Equity","BEST_EPS","BEST_FPERIOD_OVERRIDE","27Y")&lt;&gt;0,$E$141/BDP("NXPI UW Equity","BEST_EPS","BEST_FPERIOD_OVERRIDE","27Y"),"")</f>
        <v/>
      </c>
      <c r="H141" s="95">
        <f>IF(BDP("NXPI UW Equity","BEST_EPS","BEST_FPERIOD_OVERRIDE","28Y")&lt;&gt;0,$E$141/BDP("NXPI UW Equity","BEST_EPS","BEST_FPERIOD_OVERRIDE","28Y"),"")</f>
        <v/>
      </c>
      <c r="I141" s="96">
        <f>BDP("NXPI UW Equity","NET_DEBT_TO_EBITDA")</f>
        <v/>
      </c>
      <c r="J141" s="93">
        <f>BDP("NXPI UW Equity","BEST_SALES","BEST_FPERIOD_OVERRIDE","26Y")/1000</f>
        <v/>
      </c>
      <c r="K141" s="97">
        <f>IF(BDP("NXPI UW Equity","BEST_SALES","BEST_FPERIOD_OVERRIDE","26Y")&lt;&gt;0,BDP("NXPI UW Equity","BEST_EBIT","BEST_FPERIOD_OVERRIDE","26Y")/BDP("NXPI UW Equity","BEST_SALES","BEST_FPERIOD_OVERRIDE","26Y"),"")</f>
        <v/>
      </c>
      <c r="L141" s="97">
        <f>BDP("NXPI UW Equity","RETURN_ON_INV_CAPITAL")/100</f>
        <v/>
      </c>
      <c r="M141" s="97">
        <f>IF(AND(BDP("NXPI UW Equity","BEST_SALES","BEST_FPERIOD_OVERRIDE","25Y")&gt;0,BDP("NXPI UW Equity","BEST_SALES","BEST_FPERIOD_OVERRIDE","28Y")&gt;0),(BDP("NXPI UW Equity","BEST_SALES","BEST_FPERIOD_OVERRIDE","28Y")/BDP("NXPI UW Equity","BEST_SALES","BEST_FPERIOD_OVERRIDE","25Y"))^(1/3)-1,"")</f>
        <v/>
      </c>
      <c r="N141" s="97">
        <f>IF(AND(BDP("NXPI UW Equity","BEST_EBIT","BEST_FPERIOD_OVERRIDE","25Y")&gt;0,BDP("NXPI UW Equity","BEST_EBIT","BEST_FPERIOD_OVERRIDE","28Y")&gt;0),(BDP("NXPI UW Equity","BEST_EBIT","BEST_FPERIOD_OVERRIDE","28Y")/BDP("NXPI UW Equity","BEST_EBIT","BEST_FPERIOD_OVERRIDE","25Y"))^(1/3)-1,"")</f>
        <v/>
      </c>
      <c r="O141" s="97">
        <f>IF(AND(BDP("NXPI UW Equity","BEST_EPS","BEST_FPERIOD_OVERRIDE","25Y")&gt;0,BDP("NXPI UW Equity","BEST_EPS","BEST_FPERIOD_OVERRIDE","28Y")&gt;0),(BDP("NXPI UW Equity","BEST_EPS","BEST_FPERIOD_OVERRIDE","28Y")/BDP("NXPI UW Equity","BEST_EPS","BEST_FPERIOD_OVERRIDE","25Y"))^(1/3)-1,"")</f>
        <v/>
      </c>
      <c r="Q141" s="97">
        <f>BDP("NXPI UW Equity","CHG_PCT_YTD")/100</f>
        <v/>
      </c>
      <c r="T141" s="68">
        <f>IF(AND(F141&lt;&gt;"",O141&lt;&gt;"",O141&lt;&gt;0),F141/(O141*100),"")</f>
        <v/>
      </c>
      <c r="AA141" s="72">
        <f t="array" ref="AA141">_xll.BDP(B141,"CHG_PCT_1YR")/100</f>
        <v/>
      </c>
      <c r="AB141" s="93">
        <f>BDP("NXPI UW Equity","TRAIL_12M_OPER_INC")</f>
        <v/>
      </c>
      <c r="AC141" s="93">
        <f>BDP("NXPI UW Equity","SHORT_AND_LONG_TERM_DEBT")</f>
        <v/>
      </c>
      <c r="AD141" s="93">
        <f>BDP("NXPI UW Equity","TOTAL_EQUITY")</f>
        <v/>
      </c>
      <c r="AE141" s="93">
        <f>BDP("NXPI UW Equity","BS_CASH_NEAR_CASH_ITEM")</f>
        <v/>
      </c>
      <c r="AF141" s="99">
        <f>BDP("NXPI UW Equity","BS_LT_INVEST")</f>
        <v/>
      </c>
      <c r="AG141" s="15">
        <f>AC141+AD141</f>
        <v/>
      </c>
      <c r="AH141" s="100">
        <f>BDP("NXPI UW Equity","RETURN_ON_INV_CAPITAL")/100</f>
        <v/>
      </c>
      <c r="AJ141" s="93">
        <f>BDP("NXPI UW Equity","BEST_EPS","BEST_FPERIOD_OVERRIDE","24Y")</f>
        <v/>
      </c>
      <c r="AK141" s="93">
        <f>BDP("NXPI UW Equity","BEST_EPS","BEST_FPERIOD_OVERRIDE","25Y")</f>
        <v/>
      </c>
      <c r="AL141" s="93">
        <f>BDP("NXPI UW Equity","BEST_EPS","BEST_FPERIOD_OVERRIDE","26Y")</f>
        <v/>
      </c>
      <c r="AM141" s="93">
        <f>BDP("NXPI UW Equity","BEST_EPS","BEST_FPERIOD_OVERRIDE","27Y")</f>
        <v/>
      </c>
      <c r="AN141" s="93">
        <f>BDP("NXPI UW Equity","BEST_EPS","BEST_FPERIOD_OVERRIDE","28Y")</f>
        <v/>
      </c>
      <c r="AO141" s="15">
        <f t="array" ref="AO141">_xll.BDP($B141,"EQY_FISCAL_YR_END")</f>
        <v/>
      </c>
      <c r="AP141" s="93">
        <f>BDP("NXPI UW Equity","BEST_SALES","BEST_FPERIOD_OVERRIDE","24Y")</f>
        <v/>
      </c>
      <c r="AQ141" s="93">
        <f>BDP("NXPI UW Equity","BEST_SALES","BEST_FPERIOD_OVERRIDE","25Y")</f>
        <v/>
      </c>
      <c r="AR141" s="93">
        <f>BDP("NXPI UW Equity","BEST_SALES","BEST_FPERIOD_OVERRIDE","26Y")</f>
        <v/>
      </c>
      <c r="AS141" s="93">
        <f>BDP("NXPI UW Equity","BEST_SALES","BEST_FPERIOD_OVERRIDE","27Y")</f>
        <v/>
      </c>
      <c r="AT141" s="93">
        <f>BDP("NXPI UW Equity","BEST_SALES","BEST_FPERIOD_OVERRIDE","28Y")</f>
        <v/>
      </c>
      <c r="AV141" s="93">
        <f>BDP("NXPI UW Equity","BEST_EBIT","BEST_FPERIOD_OVERRIDE","24Y")</f>
        <v/>
      </c>
      <c r="AW141" s="93">
        <f>BDP("NXPI UW Equity","BEST_EBIT","BEST_FPERIOD_OVERRIDE","25Y")</f>
        <v/>
      </c>
      <c r="AX141" s="93">
        <f>BDP("NXPI UW Equity","BEST_EBIT","BEST_FPERIOD_OVERRIDE","26Y")</f>
        <v/>
      </c>
      <c r="AY141" s="93">
        <f>BDP("NXPI UW Equity","BEST_EBIT","BEST_FPERIOD_OVERRIDE","27Y")</f>
        <v/>
      </c>
      <c r="AZ141" s="93">
        <f>BDP("NXPI UW Equity","BEST_EBIT","BEST_FPERIOD_OVERRIDE","28Y")</f>
        <v/>
      </c>
      <c r="BB141" s="68">
        <f>D141+BC141</f>
        <v/>
      </c>
      <c r="BC141" s="68">
        <f>AC141-AE141</f>
        <v/>
      </c>
      <c r="BD141" s="15">
        <f>D141</f>
        <v/>
      </c>
      <c r="BE141" s="99">
        <f>BDP("NXPI UW Equity","TRAIL_12M_EBITDA")</f>
        <v/>
      </c>
    </row>
    <row r="142">
      <c r="A142" t="inlineStr">
        <is>
          <t>ON</t>
        </is>
      </c>
      <c r="B142" t="inlineStr">
        <is>
          <t>ON UW Equity</t>
        </is>
      </c>
      <c r="C142" s="15" t="inlineStr">
        <is>
          <t>Dec</t>
        </is>
      </c>
      <c r="D142" s="93">
        <f>BDP("ON UW Equity","CUR_MKT_CAP")/1000000000</f>
        <v/>
      </c>
      <c r="E142" s="94">
        <f>BDP("ON UW Equity","PX_LAST")</f>
        <v/>
      </c>
      <c r="F142" s="95">
        <f>IF(BDP("ON UW Equity","BEST_EPS","BEST_FPERIOD_OVERRIDE","26Y")&lt;&gt;0,$E$142/BDP("ON UW Equity","BEST_EPS","BEST_FPERIOD_OVERRIDE","26Y"),"")</f>
        <v/>
      </c>
      <c r="G142" s="95">
        <f>IF(BDP("ON UW Equity","BEST_EPS","BEST_FPERIOD_OVERRIDE","27Y")&lt;&gt;0,$E$142/BDP("ON UW Equity","BEST_EPS","BEST_FPERIOD_OVERRIDE","27Y"),"")</f>
        <v/>
      </c>
      <c r="H142" s="95">
        <f>IF(BDP("ON UW Equity","BEST_EPS","BEST_FPERIOD_OVERRIDE","28Y")&lt;&gt;0,$E$142/BDP("ON UW Equity","BEST_EPS","BEST_FPERIOD_OVERRIDE","28Y"),"")</f>
        <v/>
      </c>
      <c r="I142" s="96">
        <f>BDP("ON UW Equity","NET_DEBT_TO_EBITDA")</f>
        <v/>
      </c>
      <c r="J142" s="93">
        <f>BDP("ON UW Equity","BEST_SALES","BEST_FPERIOD_OVERRIDE","26Y")/1000</f>
        <v/>
      </c>
      <c r="K142" s="97">
        <f>IF(BDP("ON UW Equity","BEST_SALES","BEST_FPERIOD_OVERRIDE","26Y")&lt;&gt;0,BDP("ON UW Equity","BEST_EBIT","BEST_FPERIOD_OVERRIDE","26Y")/BDP("ON UW Equity","BEST_SALES","BEST_FPERIOD_OVERRIDE","26Y"),"")</f>
        <v/>
      </c>
      <c r="L142" s="97">
        <f>BDP("ON UW Equity","RETURN_ON_INV_CAPITAL")/100</f>
        <v/>
      </c>
      <c r="M142" s="97">
        <f>IF(AND(BDP("ON UW Equity","BEST_SALES","BEST_FPERIOD_OVERRIDE","25Y")&gt;0,BDP("ON UW Equity","BEST_SALES","BEST_FPERIOD_OVERRIDE","28Y")&gt;0),(BDP("ON UW Equity","BEST_SALES","BEST_FPERIOD_OVERRIDE","28Y")/BDP("ON UW Equity","BEST_SALES","BEST_FPERIOD_OVERRIDE","25Y"))^(1/3)-1,"")</f>
        <v/>
      </c>
      <c r="N142" s="97">
        <f>IF(AND(BDP("ON UW Equity","BEST_EBIT","BEST_FPERIOD_OVERRIDE","25Y")&gt;0,BDP("ON UW Equity","BEST_EBIT","BEST_FPERIOD_OVERRIDE","28Y")&gt;0),(BDP("ON UW Equity","BEST_EBIT","BEST_FPERIOD_OVERRIDE","28Y")/BDP("ON UW Equity","BEST_EBIT","BEST_FPERIOD_OVERRIDE","25Y"))^(1/3)-1,"")</f>
        <v/>
      </c>
      <c r="O142" s="97">
        <f>IF(AND(BDP("ON UW Equity","BEST_EPS","BEST_FPERIOD_OVERRIDE","25Y")&gt;0,BDP("ON UW Equity","BEST_EPS","BEST_FPERIOD_OVERRIDE","28Y")&gt;0),(BDP("ON UW Equity","BEST_EPS","BEST_FPERIOD_OVERRIDE","28Y")/BDP("ON UW Equity","BEST_EPS","BEST_FPERIOD_OVERRIDE","25Y"))^(1/3)-1,"")</f>
        <v/>
      </c>
      <c r="Q142" s="97">
        <f>BDP("ON UW Equity","CHG_PCT_YTD")/100</f>
        <v/>
      </c>
      <c r="T142" s="68">
        <f>IF(AND(F142&lt;&gt;"",O142&lt;&gt;"",O142&lt;&gt;0),F142/(O142*100),"")</f>
        <v/>
      </c>
      <c r="AA142" s="72">
        <f t="array" ref="AA142">_xll.BDP(B142,"CHG_PCT_1YR")/100</f>
        <v/>
      </c>
      <c r="AB142" s="93">
        <f>BDP("ON UW Equity","TRAIL_12M_OPER_INC")</f>
        <v/>
      </c>
      <c r="AC142" s="93">
        <f>BDP("ON UW Equity","SHORT_AND_LONG_TERM_DEBT")</f>
        <v/>
      </c>
      <c r="AD142" s="93">
        <f>BDP("ON UW Equity","TOTAL_EQUITY")</f>
        <v/>
      </c>
      <c r="AE142" s="93">
        <f>BDP("ON UW Equity","BS_CASH_NEAR_CASH_ITEM")</f>
        <v/>
      </c>
      <c r="AF142" s="99">
        <f>BDP("ON UW Equity","BS_LT_INVEST")</f>
        <v/>
      </c>
      <c r="AG142" s="15">
        <f>AC142+AD142</f>
        <v/>
      </c>
      <c r="AH142" s="100">
        <f>BDP("ON UW Equity","RETURN_ON_INV_CAPITAL")/100</f>
        <v/>
      </c>
      <c r="AJ142" s="93">
        <f>BDP("ON UW Equity","BEST_EPS","BEST_FPERIOD_OVERRIDE","24Y")</f>
        <v/>
      </c>
      <c r="AK142" s="93">
        <f>BDP("ON UW Equity","BEST_EPS","BEST_FPERIOD_OVERRIDE","25Y")</f>
        <v/>
      </c>
      <c r="AL142" s="93">
        <f>BDP("ON UW Equity","BEST_EPS","BEST_FPERIOD_OVERRIDE","26Y")</f>
        <v/>
      </c>
      <c r="AM142" s="93">
        <f>BDP("ON UW Equity","BEST_EPS","BEST_FPERIOD_OVERRIDE","27Y")</f>
        <v/>
      </c>
      <c r="AN142" s="93">
        <f>BDP("ON UW Equity","BEST_EPS","BEST_FPERIOD_OVERRIDE","28Y")</f>
        <v/>
      </c>
      <c r="AO142" s="15">
        <f t="array" ref="AO142">_xll.BDP($B142,"EQY_FISCAL_YR_END")</f>
        <v/>
      </c>
      <c r="AP142" s="93">
        <f>BDP("ON UW Equity","BEST_SALES","BEST_FPERIOD_OVERRIDE","24Y")</f>
        <v/>
      </c>
      <c r="AQ142" s="93">
        <f>BDP("ON UW Equity","BEST_SALES","BEST_FPERIOD_OVERRIDE","25Y")</f>
        <v/>
      </c>
      <c r="AR142" s="93">
        <f>BDP("ON UW Equity","BEST_SALES","BEST_FPERIOD_OVERRIDE","26Y")</f>
        <v/>
      </c>
      <c r="AS142" s="93">
        <f>BDP("ON UW Equity","BEST_SALES","BEST_FPERIOD_OVERRIDE","27Y")</f>
        <v/>
      </c>
      <c r="AT142" s="93">
        <f>BDP("ON UW Equity","BEST_SALES","BEST_FPERIOD_OVERRIDE","28Y")</f>
        <v/>
      </c>
      <c r="AV142" s="93">
        <f>BDP("ON UW Equity","BEST_EBIT","BEST_FPERIOD_OVERRIDE","24Y")</f>
        <v/>
      </c>
      <c r="AW142" s="93">
        <f>BDP("ON UW Equity","BEST_EBIT","BEST_FPERIOD_OVERRIDE","25Y")</f>
        <v/>
      </c>
      <c r="AX142" s="93">
        <f>BDP("ON UW Equity","BEST_EBIT","BEST_FPERIOD_OVERRIDE","26Y")</f>
        <v/>
      </c>
      <c r="AY142" s="93">
        <f>BDP("ON UW Equity","BEST_EBIT","BEST_FPERIOD_OVERRIDE","27Y")</f>
        <v/>
      </c>
      <c r="AZ142" s="93">
        <f>BDP("ON UW Equity","BEST_EBIT","BEST_FPERIOD_OVERRIDE","28Y")</f>
        <v/>
      </c>
      <c r="BB142" s="68">
        <f>D142+BC142</f>
        <v/>
      </c>
      <c r="BC142" s="68">
        <f>AC142-AE142</f>
        <v/>
      </c>
      <c r="BD142" s="15">
        <f>D142</f>
        <v/>
      </c>
      <c r="BE142" s="99">
        <f>BDP("ON UW Equity","TRAIL_12M_EBITDA")</f>
        <v/>
      </c>
    </row>
    <row r="143">
      <c r="A143" t="inlineStr">
        <is>
          <t>QRVO</t>
        </is>
      </c>
      <c r="B143" t="inlineStr">
        <is>
          <t>QRVO UW Equity</t>
        </is>
      </c>
      <c r="C143" s="15" t="inlineStr">
        <is>
          <t>Mar</t>
        </is>
      </c>
      <c r="D143" s="93">
        <f>BDP("QRVO UW Equity","CUR_MKT_CAP")/1000000000</f>
        <v/>
      </c>
      <c r="E143" s="94">
        <f>BDP("QRVO UW Equity","PX_LAST")</f>
        <v/>
      </c>
      <c r="F143" s="95">
        <f>IF(BDP("QRVO UW Equity","BEST_EPS","BEST_FPERIOD_OVERRIDE","27Y")&lt;&gt;0,$E$143/BDP("QRVO UW Equity","BEST_EPS","BEST_FPERIOD_OVERRIDE","27Y"),"")</f>
        <v/>
      </c>
      <c r="G143" s="95">
        <f>IF(BDP("QRVO UW Equity","BEST_EPS","BEST_FPERIOD_OVERRIDE","28Y")&lt;&gt;0,$E$143/BDP("QRVO UW Equity","BEST_EPS","BEST_FPERIOD_OVERRIDE","28Y"),"")</f>
        <v/>
      </c>
      <c r="H143" s="95">
        <f>IF(BDP("QRVO UW Equity","BEST_EPS","BEST_FPERIOD_OVERRIDE","29Y")&lt;&gt;0,$E$143/BDP("QRVO UW Equity","BEST_EPS","BEST_FPERIOD_OVERRIDE","29Y"),"")</f>
        <v/>
      </c>
      <c r="I143" s="96">
        <f>BDP("QRVO UW Equity","NET_DEBT_TO_EBITDA")</f>
        <v/>
      </c>
      <c r="J143" s="93">
        <f>BDP("QRVO UW Equity","BEST_SALES","BEST_FPERIOD_OVERRIDE","27Y")/1000</f>
        <v/>
      </c>
      <c r="K143" s="97">
        <f>IF(BDP("QRVO UW Equity","BEST_SALES","BEST_FPERIOD_OVERRIDE","27Y")&lt;&gt;0,BDP("QRVO UW Equity","BEST_EBIT","BEST_FPERIOD_OVERRIDE","27Y")/BDP("QRVO UW Equity","BEST_SALES","BEST_FPERIOD_OVERRIDE","27Y"),"")</f>
        <v/>
      </c>
      <c r="L143" s="97">
        <f>BDP("QRVO UW Equity","RETURN_ON_INV_CAPITAL")/100</f>
        <v/>
      </c>
      <c r="M143" s="97">
        <f>IF(AND(BDP("QRVO UW Equity","BEST_SALES","BEST_FPERIOD_OVERRIDE","26Y")&gt;0,BDP("QRVO UW Equity","BEST_SALES","BEST_FPERIOD_OVERRIDE","29Y")&gt;0),(BDP("QRVO UW Equity","BEST_SALES","BEST_FPERIOD_OVERRIDE","29Y")/BDP("QRVO UW Equity","BEST_SALES","BEST_FPERIOD_OVERRIDE","26Y"))^(1/3)-1,"")</f>
        <v/>
      </c>
      <c r="N143" s="97">
        <f>IF(AND(BDP("QRVO UW Equity","BEST_EBIT","BEST_FPERIOD_OVERRIDE","26Y")&gt;0,BDP("QRVO UW Equity","BEST_EBIT","BEST_FPERIOD_OVERRIDE","29Y")&gt;0),(BDP("QRVO UW Equity","BEST_EBIT","BEST_FPERIOD_OVERRIDE","29Y")/BDP("QRVO UW Equity","BEST_EBIT","BEST_FPERIOD_OVERRIDE","26Y"))^(1/3)-1,"")</f>
        <v/>
      </c>
      <c r="O143" s="97">
        <f>IF(AND(BDP("QRVO UW Equity","BEST_EPS","BEST_FPERIOD_OVERRIDE","26Y")&gt;0,BDP("QRVO UW Equity","BEST_EPS","BEST_FPERIOD_OVERRIDE","29Y")&gt;0),(BDP("QRVO UW Equity","BEST_EPS","BEST_FPERIOD_OVERRIDE","29Y")/BDP("QRVO UW Equity","BEST_EPS","BEST_FPERIOD_OVERRIDE","26Y"))^(1/3)-1,"")</f>
        <v/>
      </c>
      <c r="Q143" s="97">
        <f>BDP("QRVO UW Equity","CHG_PCT_YTD")/100</f>
        <v/>
      </c>
      <c r="T143" s="68">
        <f>IF(AND(F143&lt;&gt;"",O143&lt;&gt;"",O143&lt;&gt;0),F143/(O143*100),"")</f>
        <v/>
      </c>
      <c r="AA143" s="72">
        <f t="array" ref="AA143">_xll.BDP(B143,"CHG_PCT_1YR")/100</f>
        <v/>
      </c>
      <c r="AB143" s="93">
        <f>BDP("QRVO UW Equity","TRAIL_12M_OPER_INC")</f>
        <v/>
      </c>
      <c r="AC143" s="93">
        <f>BDP("QRVO UW Equity","SHORT_AND_LONG_TERM_DEBT")</f>
        <v/>
      </c>
      <c r="AD143" s="93">
        <f>BDP("QRVO UW Equity","TOTAL_EQUITY")</f>
        <v/>
      </c>
      <c r="AE143" s="93">
        <f>BDP("QRVO UW Equity","BS_CASH_NEAR_CASH_ITEM")</f>
        <v/>
      </c>
      <c r="AF143" s="99">
        <f>BDP("QRVO UW Equity","BS_LT_INVEST")</f>
        <v/>
      </c>
      <c r="AG143" s="15">
        <f>AC143+AD143</f>
        <v/>
      </c>
      <c r="AH143" s="100">
        <f>BDP("QRVO UW Equity","RETURN_ON_INV_CAPITAL")/100</f>
        <v/>
      </c>
      <c r="AJ143" s="93">
        <f>BDP("QRVO UW Equity","BEST_EPS","BEST_FPERIOD_OVERRIDE","25Y")</f>
        <v/>
      </c>
      <c r="AK143" s="93">
        <f>BDP("QRVO UW Equity","BEST_EPS","BEST_FPERIOD_OVERRIDE","26Y")</f>
        <v/>
      </c>
      <c r="AL143" s="93">
        <f>BDP("QRVO UW Equity","BEST_EPS","BEST_FPERIOD_OVERRIDE","27Y")</f>
        <v/>
      </c>
      <c r="AM143" s="93">
        <f>BDP("QRVO UW Equity","BEST_EPS","BEST_FPERIOD_OVERRIDE","28Y")</f>
        <v/>
      </c>
      <c r="AN143" s="93">
        <f>BDP("QRVO UW Equity","BEST_EPS","BEST_FPERIOD_OVERRIDE","29Y")</f>
        <v/>
      </c>
      <c r="AO143" s="15">
        <f t="array" ref="AO143">_xll.BDP($B143,"EQY_FISCAL_YR_END")</f>
        <v/>
      </c>
      <c r="AP143" s="93">
        <f>BDP("QRVO UW Equity","BEST_SALES","BEST_FPERIOD_OVERRIDE","25Y")</f>
        <v/>
      </c>
      <c r="AQ143" s="93">
        <f>BDP("QRVO UW Equity","BEST_SALES","BEST_FPERIOD_OVERRIDE","26Y")</f>
        <v/>
      </c>
      <c r="AR143" s="93">
        <f>BDP("QRVO UW Equity","BEST_SALES","BEST_FPERIOD_OVERRIDE","27Y")</f>
        <v/>
      </c>
      <c r="AS143" s="93">
        <f>BDP("QRVO UW Equity","BEST_SALES","BEST_FPERIOD_OVERRIDE","28Y")</f>
        <v/>
      </c>
      <c r="AT143" s="93">
        <f>BDP("QRVO UW Equity","BEST_SALES","BEST_FPERIOD_OVERRIDE","29Y")</f>
        <v/>
      </c>
      <c r="AV143" s="93">
        <f>BDP("QRVO UW Equity","BEST_EBIT","BEST_FPERIOD_OVERRIDE","25Y")</f>
        <v/>
      </c>
      <c r="AW143" s="93">
        <f>BDP("QRVO UW Equity","BEST_EBIT","BEST_FPERIOD_OVERRIDE","26Y")</f>
        <v/>
      </c>
      <c r="AX143" s="93">
        <f>BDP("QRVO UW Equity","BEST_EBIT","BEST_FPERIOD_OVERRIDE","27Y")</f>
        <v/>
      </c>
      <c r="AY143" s="93">
        <f>BDP("QRVO UW Equity","BEST_EBIT","BEST_FPERIOD_OVERRIDE","28Y")</f>
        <v/>
      </c>
      <c r="AZ143" s="93">
        <f>BDP("QRVO UW Equity","BEST_EBIT","BEST_FPERIOD_OVERRIDE","29Y")</f>
        <v/>
      </c>
      <c r="BB143" s="68">
        <f>D143+BC143</f>
        <v/>
      </c>
      <c r="BC143" s="68">
        <f>AC143-AE143</f>
        <v/>
      </c>
      <c r="BD143" s="15">
        <f>D143</f>
        <v/>
      </c>
      <c r="BE143" s="99">
        <f>BDP("QRVO UW Equity","TRAIL_12M_EBITDA")</f>
        <v/>
      </c>
    </row>
    <row r="144">
      <c r="A144" t="inlineStr">
        <is>
          <t>SWKS</t>
        </is>
      </c>
      <c r="B144" t="inlineStr">
        <is>
          <t>SWKS UW Equity</t>
        </is>
      </c>
      <c r="C144" s="15" t="inlineStr">
        <is>
          <t>Sep</t>
        </is>
      </c>
      <c r="D144" s="93">
        <f>BDP("SWKS UW Equity","CUR_MKT_CAP")/1000000000</f>
        <v/>
      </c>
      <c r="E144" s="94">
        <f>BDP("SWKS UW Equity","PX_LAST")</f>
        <v/>
      </c>
      <c r="F144" s="95">
        <f>IF(BDP("SWKS UW Equity","BEST_EPS","BEST_FPERIOD_OVERRIDE","26Y")&lt;&gt;0,$E$144/BDP("SWKS UW Equity","BEST_EPS","BEST_FPERIOD_OVERRIDE","26Y"),"")</f>
        <v/>
      </c>
      <c r="G144" s="95">
        <f>IF(BDP("SWKS UW Equity","BEST_EPS","BEST_FPERIOD_OVERRIDE","27Y")&lt;&gt;0,$E$144/BDP("SWKS UW Equity","BEST_EPS","BEST_FPERIOD_OVERRIDE","27Y"),"")</f>
        <v/>
      </c>
      <c r="H144" s="95">
        <f>IF(BDP("SWKS UW Equity","BEST_EPS","BEST_FPERIOD_OVERRIDE","28Y")&lt;&gt;0,$E$144/BDP("SWKS UW Equity","BEST_EPS","BEST_FPERIOD_OVERRIDE","28Y"),"")</f>
        <v/>
      </c>
      <c r="I144" s="96">
        <f>BDP("SWKS UW Equity","NET_DEBT_TO_EBITDA")</f>
        <v/>
      </c>
      <c r="J144" s="93">
        <f>BDP("SWKS UW Equity","BEST_SALES","BEST_FPERIOD_OVERRIDE","26Y")/1000</f>
        <v/>
      </c>
      <c r="K144" s="97">
        <f>IF(BDP("SWKS UW Equity","BEST_SALES","BEST_FPERIOD_OVERRIDE","26Y")&lt;&gt;0,BDP("SWKS UW Equity","BEST_EBIT","BEST_FPERIOD_OVERRIDE","26Y")/BDP("SWKS UW Equity","BEST_SALES","BEST_FPERIOD_OVERRIDE","26Y"),"")</f>
        <v/>
      </c>
      <c r="L144" s="97">
        <f>BDP("SWKS UW Equity","RETURN_ON_INV_CAPITAL")/100</f>
        <v/>
      </c>
      <c r="M144" s="97">
        <f>IF(AND(BDP("SWKS UW Equity","BEST_SALES","BEST_FPERIOD_OVERRIDE","25Y")&gt;0,BDP("SWKS UW Equity","BEST_SALES","BEST_FPERIOD_OVERRIDE","28Y")&gt;0),(BDP("SWKS UW Equity","BEST_SALES","BEST_FPERIOD_OVERRIDE","28Y")/BDP("SWKS UW Equity","BEST_SALES","BEST_FPERIOD_OVERRIDE","25Y"))^(1/3)-1,"")</f>
        <v/>
      </c>
      <c r="N144" s="97">
        <f>IF(AND(BDP("SWKS UW Equity","BEST_EBIT","BEST_FPERIOD_OVERRIDE","25Y")&gt;0,BDP("SWKS UW Equity","BEST_EBIT","BEST_FPERIOD_OVERRIDE","28Y")&gt;0),(BDP("SWKS UW Equity","BEST_EBIT","BEST_FPERIOD_OVERRIDE","28Y")/BDP("SWKS UW Equity","BEST_EBIT","BEST_FPERIOD_OVERRIDE","25Y"))^(1/3)-1,"")</f>
        <v/>
      </c>
      <c r="O144" s="97">
        <f>IF(AND(BDP("SWKS UW Equity","BEST_EPS","BEST_FPERIOD_OVERRIDE","25Y")&gt;0,BDP("SWKS UW Equity","BEST_EPS","BEST_FPERIOD_OVERRIDE","28Y")&gt;0),(BDP("SWKS UW Equity","BEST_EPS","BEST_FPERIOD_OVERRIDE","28Y")/BDP("SWKS UW Equity","BEST_EPS","BEST_FPERIOD_OVERRIDE","25Y"))^(1/3)-1,"")</f>
        <v/>
      </c>
      <c r="Q144" s="97">
        <f>BDP("SWKS UW Equity","CHG_PCT_YTD")/100</f>
        <v/>
      </c>
      <c r="T144" s="68">
        <f>IF(AND(F144&lt;&gt;"",O144&lt;&gt;"",O144&lt;&gt;0),F144/(O144*100),"")</f>
        <v/>
      </c>
      <c r="AA144" s="72">
        <f t="array" ref="AA144">_xll.BDP(B144,"CHG_PCT_1YR")/100</f>
        <v/>
      </c>
      <c r="AB144" s="93">
        <f>BDP("SWKS UW Equity","TRAIL_12M_OPER_INC")</f>
        <v/>
      </c>
      <c r="AC144" s="93">
        <f>BDP("SWKS UW Equity","SHORT_AND_LONG_TERM_DEBT")</f>
        <v/>
      </c>
      <c r="AD144" s="93">
        <f>BDP("SWKS UW Equity","TOTAL_EQUITY")</f>
        <v/>
      </c>
      <c r="AE144" s="93">
        <f>BDP("SWKS UW Equity","BS_CASH_NEAR_CASH_ITEM")</f>
        <v/>
      </c>
      <c r="AF144" s="99">
        <f>BDP("SWKS UW Equity","BS_LT_INVEST")</f>
        <v/>
      </c>
      <c r="AG144" s="15">
        <f>AC144+AD144</f>
        <v/>
      </c>
      <c r="AH144" s="100">
        <f>BDP("SWKS UW Equity","RETURN_ON_INV_CAPITAL")/100</f>
        <v/>
      </c>
      <c r="AJ144" s="93">
        <f>BDP("SWKS UW Equity","BEST_EPS","BEST_FPERIOD_OVERRIDE","24Y")</f>
        <v/>
      </c>
      <c r="AK144" s="93">
        <f>BDP("SWKS UW Equity","BEST_EPS","BEST_FPERIOD_OVERRIDE","25Y")</f>
        <v/>
      </c>
      <c r="AL144" s="93">
        <f>BDP("SWKS UW Equity","BEST_EPS","BEST_FPERIOD_OVERRIDE","26Y")</f>
        <v/>
      </c>
      <c r="AM144" s="93">
        <f>BDP("SWKS UW Equity","BEST_EPS","BEST_FPERIOD_OVERRIDE","27Y")</f>
        <v/>
      </c>
      <c r="AN144" s="93">
        <f>BDP("SWKS UW Equity","BEST_EPS","BEST_FPERIOD_OVERRIDE","28Y")</f>
        <v/>
      </c>
      <c r="AO144" s="15">
        <f t="array" ref="AO144">_xll.BDP($B144,"EQY_FISCAL_YR_END")</f>
        <v/>
      </c>
      <c r="AP144" s="93">
        <f>BDP("SWKS UW Equity","BEST_SALES","BEST_FPERIOD_OVERRIDE","24Y")</f>
        <v/>
      </c>
      <c r="AQ144" s="93">
        <f>BDP("SWKS UW Equity","BEST_SALES","BEST_FPERIOD_OVERRIDE","25Y")</f>
        <v/>
      </c>
      <c r="AR144" s="93">
        <f>BDP("SWKS UW Equity","BEST_SALES","BEST_FPERIOD_OVERRIDE","26Y")</f>
        <v/>
      </c>
      <c r="AS144" s="93">
        <f>BDP("SWKS UW Equity","BEST_SALES","BEST_FPERIOD_OVERRIDE","27Y")</f>
        <v/>
      </c>
      <c r="AT144" s="93">
        <f>BDP("SWKS UW Equity","BEST_SALES","BEST_FPERIOD_OVERRIDE","28Y")</f>
        <v/>
      </c>
      <c r="AV144" s="93">
        <f>BDP("SWKS UW Equity","BEST_EBIT","BEST_FPERIOD_OVERRIDE","24Y")</f>
        <v/>
      </c>
      <c r="AW144" s="93">
        <f>BDP("SWKS UW Equity","BEST_EBIT","BEST_FPERIOD_OVERRIDE","25Y")</f>
        <v/>
      </c>
      <c r="AX144" s="93">
        <f>BDP("SWKS UW Equity","BEST_EBIT","BEST_FPERIOD_OVERRIDE","26Y")</f>
        <v/>
      </c>
      <c r="AY144" s="93">
        <f>BDP("SWKS UW Equity","BEST_EBIT","BEST_FPERIOD_OVERRIDE","27Y")</f>
        <v/>
      </c>
      <c r="AZ144" s="93">
        <f>BDP("SWKS UW Equity","BEST_EBIT","BEST_FPERIOD_OVERRIDE","28Y")</f>
        <v/>
      </c>
      <c r="BB144" s="68">
        <f>D144+BC144</f>
        <v/>
      </c>
      <c r="BC144" s="68">
        <f>AC144-AE144</f>
        <v/>
      </c>
      <c r="BD144" s="15">
        <f>D144</f>
        <v/>
      </c>
      <c r="BE144" s="99">
        <f>BDP("SWKS UW Equity","TRAIL_12M_EBITDA")</f>
        <v/>
      </c>
    </row>
    <row r="145">
      <c r="A145" t="inlineStr">
        <is>
          <t>MTSI</t>
        </is>
      </c>
      <c r="B145" t="inlineStr">
        <is>
          <t>MTSI UW Equity</t>
        </is>
      </c>
      <c r="C145" s="15" t="inlineStr">
        <is>
          <t>Sep</t>
        </is>
      </c>
      <c r="D145" s="93">
        <f>BDP("MTSI UW Equity","CUR_MKT_CAP")/1000000000</f>
        <v/>
      </c>
      <c r="E145" s="94">
        <f>BDP("MTSI UW Equity","PX_LAST")</f>
        <v/>
      </c>
      <c r="F145" s="95">
        <f>IF(BDP("MTSI UW Equity","BEST_EPS","BEST_FPERIOD_OVERRIDE","26Y")&lt;&gt;0,$E$145/BDP("MTSI UW Equity","BEST_EPS","BEST_FPERIOD_OVERRIDE","26Y"),"")</f>
        <v/>
      </c>
      <c r="G145" s="95">
        <f>IF(BDP("MTSI UW Equity","BEST_EPS","BEST_FPERIOD_OVERRIDE","27Y")&lt;&gt;0,$E$145/BDP("MTSI UW Equity","BEST_EPS","BEST_FPERIOD_OVERRIDE","27Y"),"")</f>
        <v/>
      </c>
      <c r="H145" s="95">
        <f>IF(BDP("MTSI UW Equity","BEST_EPS","BEST_FPERIOD_OVERRIDE","28Y")&lt;&gt;0,$E$145/BDP("MTSI UW Equity","BEST_EPS","BEST_FPERIOD_OVERRIDE","28Y"),"")</f>
        <v/>
      </c>
      <c r="I145" s="96">
        <f>BDP("MTSI UW Equity","NET_DEBT_TO_EBITDA")</f>
        <v/>
      </c>
      <c r="J145" s="93">
        <f>BDP("MTSI UW Equity","BEST_SALES","BEST_FPERIOD_OVERRIDE","26Y")/1000</f>
        <v/>
      </c>
      <c r="K145" s="97">
        <f>IF(BDP("MTSI UW Equity","BEST_SALES","BEST_FPERIOD_OVERRIDE","26Y")&lt;&gt;0,BDP("MTSI UW Equity","BEST_EBIT","BEST_FPERIOD_OVERRIDE","26Y")/BDP("MTSI UW Equity","BEST_SALES","BEST_FPERIOD_OVERRIDE","26Y"),"")</f>
        <v/>
      </c>
      <c r="L145" s="97">
        <f>BDP("MTSI UW Equity","RETURN_ON_INV_CAPITAL")/100</f>
        <v/>
      </c>
      <c r="M145" s="97">
        <f>IF(AND(BDP("MTSI UW Equity","BEST_SALES","BEST_FPERIOD_OVERRIDE","25Y")&gt;0,BDP("MTSI UW Equity","BEST_SALES","BEST_FPERIOD_OVERRIDE","28Y")&gt;0),(BDP("MTSI UW Equity","BEST_SALES","BEST_FPERIOD_OVERRIDE","28Y")/BDP("MTSI UW Equity","BEST_SALES","BEST_FPERIOD_OVERRIDE","25Y"))^(1/3)-1,"")</f>
        <v/>
      </c>
      <c r="N145" s="97">
        <f>IF(AND(BDP("MTSI UW Equity","BEST_EBIT","BEST_FPERIOD_OVERRIDE","25Y")&gt;0,BDP("MTSI UW Equity","BEST_EBIT","BEST_FPERIOD_OVERRIDE","28Y")&gt;0),(BDP("MTSI UW Equity","BEST_EBIT","BEST_FPERIOD_OVERRIDE","28Y")/BDP("MTSI UW Equity","BEST_EBIT","BEST_FPERIOD_OVERRIDE","25Y"))^(1/3)-1,"")</f>
        <v/>
      </c>
      <c r="O145" s="97">
        <f>IF(AND(BDP("MTSI UW Equity","BEST_EPS","BEST_FPERIOD_OVERRIDE","25Y")&gt;0,BDP("MTSI UW Equity","BEST_EPS","BEST_FPERIOD_OVERRIDE","28Y")&gt;0),(BDP("MTSI UW Equity","BEST_EPS","BEST_FPERIOD_OVERRIDE","28Y")/BDP("MTSI UW Equity","BEST_EPS","BEST_FPERIOD_OVERRIDE","25Y"))^(1/3)-1,"")</f>
        <v/>
      </c>
      <c r="Q145" s="97">
        <f>BDP("MTSI UW Equity","CHG_PCT_YTD")/100</f>
        <v/>
      </c>
      <c r="T145" s="68">
        <f>IF(AND(F145&lt;&gt;"",O145&lt;&gt;"",O145&lt;&gt;0),F145/(O145*100),"")</f>
        <v/>
      </c>
      <c r="AA145" s="72">
        <f t="array" ref="AA145">_xll.BDP(B145,"CHG_PCT_1YR")/100</f>
        <v/>
      </c>
      <c r="AB145" s="93">
        <f>BDP("MTSI UW Equity","TRAIL_12M_OPER_INC")</f>
        <v/>
      </c>
      <c r="AC145" s="93">
        <f>BDP("MTSI UW Equity","SHORT_AND_LONG_TERM_DEBT")</f>
        <v/>
      </c>
      <c r="AD145" s="93">
        <f>BDP("MTSI UW Equity","TOTAL_EQUITY")</f>
        <v/>
      </c>
      <c r="AE145" s="93">
        <f>BDP("MTSI UW Equity","BS_CASH_NEAR_CASH_ITEM")</f>
        <v/>
      </c>
      <c r="AF145" s="99">
        <f>BDP("MTSI UW Equity","BS_LT_INVEST")</f>
        <v/>
      </c>
      <c r="AG145" s="15">
        <f>AC145+AD145</f>
        <v/>
      </c>
      <c r="AH145" s="100">
        <f>BDP("MTSI UW Equity","RETURN_ON_INV_CAPITAL")/100</f>
        <v/>
      </c>
      <c r="AJ145" s="93">
        <f>BDP("MTSI UW Equity","BEST_EPS","BEST_FPERIOD_OVERRIDE","24Y")</f>
        <v/>
      </c>
      <c r="AK145" s="93">
        <f>BDP("MTSI UW Equity","BEST_EPS","BEST_FPERIOD_OVERRIDE","25Y")</f>
        <v/>
      </c>
      <c r="AL145" s="93">
        <f>BDP("MTSI UW Equity","BEST_EPS","BEST_FPERIOD_OVERRIDE","26Y")</f>
        <v/>
      </c>
      <c r="AM145" s="93">
        <f>BDP("MTSI UW Equity","BEST_EPS","BEST_FPERIOD_OVERRIDE","27Y")</f>
        <v/>
      </c>
      <c r="AN145" s="93">
        <f>BDP("MTSI UW Equity","BEST_EPS","BEST_FPERIOD_OVERRIDE","28Y")</f>
        <v/>
      </c>
      <c r="AO145" s="15">
        <f t="array" ref="AO145">_xll.BDP($B145,"EQY_FISCAL_YR_END")</f>
        <v/>
      </c>
      <c r="AP145" s="93">
        <f>BDP("MTSI UW Equity","BEST_SALES","BEST_FPERIOD_OVERRIDE","24Y")</f>
        <v/>
      </c>
      <c r="AQ145" s="93">
        <f>BDP("MTSI UW Equity","BEST_SALES","BEST_FPERIOD_OVERRIDE","25Y")</f>
        <v/>
      </c>
      <c r="AR145" s="93">
        <f>BDP("MTSI UW Equity","BEST_SALES","BEST_FPERIOD_OVERRIDE","26Y")</f>
        <v/>
      </c>
      <c r="AS145" s="93">
        <f>BDP("MTSI UW Equity","BEST_SALES","BEST_FPERIOD_OVERRIDE","27Y")</f>
        <v/>
      </c>
      <c r="AT145" s="93">
        <f>BDP("MTSI UW Equity","BEST_SALES","BEST_FPERIOD_OVERRIDE","28Y")</f>
        <v/>
      </c>
      <c r="AV145" s="93">
        <f>BDP("MTSI UW Equity","BEST_EBIT","BEST_FPERIOD_OVERRIDE","24Y")</f>
        <v/>
      </c>
      <c r="AW145" s="93">
        <f>BDP("MTSI UW Equity","BEST_EBIT","BEST_FPERIOD_OVERRIDE","25Y")</f>
        <v/>
      </c>
      <c r="AX145" s="93">
        <f>BDP("MTSI UW Equity","BEST_EBIT","BEST_FPERIOD_OVERRIDE","26Y")</f>
        <v/>
      </c>
      <c r="AY145" s="93">
        <f>BDP("MTSI UW Equity","BEST_EBIT","BEST_FPERIOD_OVERRIDE","27Y")</f>
        <v/>
      </c>
      <c r="AZ145" s="93">
        <f>BDP("MTSI UW Equity","BEST_EBIT","BEST_FPERIOD_OVERRIDE","28Y")</f>
        <v/>
      </c>
      <c r="BB145" s="68">
        <f>D145+BC145</f>
        <v/>
      </c>
      <c r="BC145" s="68">
        <f>AC145-AE145</f>
        <v/>
      </c>
      <c r="BD145" s="15">
        <f>D145</f>
        <v/>
      </c>
      <c r="BE145" s="99">
        <f>BDP("MTSI UW Equity","TRAIL_12M_EBITDA")</f>
        <v/>
      </c>
    </row>
    <row r="146">
      <c r="A146" t="inlineStr">
        <is>
          <t>COHR</t>
        </is>
      </c>
      <c r="B146" t="inlineStr">
        <is>
          <t>COHR UN Equity</t>
        </is>
      </c>
      <c r="C146" s="15" t="inlineStr">
        <is>
          <t>Jun</t>
        </is>
      </c>
      <c r="D146" s="93">
        <f>BDP("COHR UN Equity","CUR_MKT_CAP")/1000000000</f>
        <v/>
      </c>
      <c r="E146" s="94">
        <f>BDP("COHR UN Equity","PX_LAST")</f>
        <v/>
      </c>
      <c r="F146" s="95">
        <f>IF(BDP("COHR UN Equity","BEST_EPS","BEST_FPERIOD_OVERRIDE","26Y")&lt;&gt;0,$E$146/BDP("COHR UN Equity","BEST_EPS","BEST_FPERIOD_OVERRIDE","26Y"),"")</f>
        <v/>
      </c>
      <c r="G146" s="95">
        <f>IF(BDP("COHR UN Equity","BEST_EPS","BEST_FPERIOD_OVERRIDE","27Y")&lt;&gt;0,$E$146/BDP("COHR UN Equity","BEST_EPS","BEST_FPERIOD_OVERRIDE","27Y"),"")</f>
        <v/>
      </c>
      <c r="H146" s="95">
        <f>IF(BDP("COHR UN Equity","BEST_EPS","BEST_FPERIOD_OVERRIDE","28Y")&lt;&gt;0,$E$146/BDP("COHR UN Equity","BEST_EPS","BEST_FPERIOD_OVERRIDE","28Y"),"")</f>
        <v/>
      </c>
      <c r="I146" s="96">
        <f>BDP("COHR UN Equity","NET_DEBT_TO_EBITDA")</f>
        <v/>
      </c>
      <c r="J146" s="93">
        <f>BDP("COHR UN Equity","BEST_SALES","BEST_FPERIOD_OVERRIDE","26Y")/1000</f>
        <v/>
      </c>
      <c r="K146" s="97">
        <f>IF(BDP("COHR UN Equity","BEST_SALES","BEST_FPERIOD_OVERRIDE","26Y")&lt;&gt;0,BDP("COHR UN Equity","BEST_EBIT","BEST_FPERIOD_OVERRIDE","26Y")/BDP("COHR UN Equity","BEST_SALES","BEST_FPERIOD_OVERRIDE","26Y"),"")</f>
        <v/>
      </c>
      <c r="L146" s="97">
        <f>BDP("COHR UN Equity","RETURN_ON_INV_CAPITAL")/100</f>
        <v/>
      </c>
      <c r="M146" s="97">
        <f>IF(AND(BDP("COHR UN Equity","BEST_SALES","BEST_FPERIOD_OVERRIDE","25Y")&gt;0,BDP("COHR UN Equity","BEST_SALES","BEST_FPERIOD_OVERRIDE","28Y")&gt;0),(BDP("COHR UN Equity","BEST_SALES","BEST_FPERIOD_OVERRIDE","28Y")/BDP("COHR UN Equity","BEST_SALES","BEST_FPERIOD_OVERRIDE","25Y"))^(1/3)-1,"")</f>
        <v/>
      </c>
      <c r="N146" s="97">
        <f>IF(AND(BDP("COHR UN Equity","BEST_EBIT","BEST_FPERIOD_OVERRIDE","25Y")&gt;0,BDP("COHR UN Equity","BEST_EBIT","BEST_FPERIOD_OVERRIDE","28Y")&gt;0),(BDP("COHR UN Equity","BEST_EBIT","BEST_FPERIOD_OVERRIDE","28Y")/BDP("COHR UN Equity","BEST_EBIT","BEST_FPERIOD_OVERRIDE","25Y"))^(1/3)-1,"")</f>
        <v/>
      </c>
      <c r="O146" s="97">
        <f>IF(AND(BDP("COHR UN Equity","BEST_EPS","BEST_FPERIOD_OVERRIDE","25Y")&gt;0,BDP("COHR UN Equity","BEST_EPS","BEST_FPERIOD_OVERRIDE","28Y")&gt;0),(BDP("COHR UN Equity","BEST_EPS","BEST_FPERIOD_OVERRIDE","28Y")/BDP("COHR UN Equity","BEST_EPS","BEST_FPERIOD_OVERRIDE","25Y"))^(1/3)-1,"")</f>
        <v/>
      </c>
      <c r="Q146" s="97">
        <f>BDP("COHR UN Equity","CHG_PCT_YTD")/100</f>
        <v/>
      </c>
      <c r="T146" s="68">
        <f>IF(AND(F146&lt;&gt;"",O146&lt;&gt;"",O146&lt;&gt;0),F146/(O146*100),"")</f>
        <v/>
      </c>
      <c r="AA146" s="72">
        <f t="array" ref="AA146">_xll.BDP(B146,"CHG_PCT_1YR")/100</f>
        <v/>
      </c>
      <c r="AB146" s="93">
        <f>BDP("COHR UN Equity","TRAIL_12M_OPER_INC")</f>
        <v/>
      </c>
      <c r="AC146" s="93">
        <f>BDP("COHR UN Equity","SHORT_AND_LONG_TERM_DEBT")</f>
        <v/>
      </c>
      <c r="AD146" s="93">
        <f>BDP("COHR UN Equity","TOTAL_EQUITY")</f>
        <v/>
      </c>
      <c r="AE146" s="93">
        <f>BDP("COHR UN Equity","BS_CASH_NEAR_CASH_ITEM")</f>
        <v/>
      </c>
      <c r="AF146" s="99">
        <f>BDP("COHR UN Equity","BS_LT_INVEST")</f>
        <v/>
      </c>
      <c r="AG146" s="15">
        <f>AC146+AD146</f>
        <v/>
      </c>
      <c r="AH146" s="100">
        <f>BDP("COHR UN Equity","RETURN_ON_INV_CAPITAL")/100</f>
        <v/>
      </c>
      <c r="AJ146" s="93">
        <f>BDP("COHR UN Equity","BEST_EPS","BEST_FPERIOD_OVERRIDE","24Y")</f>
        <v/>
      </c>
      <c r="AK146" s="93">
        <f>BDP("COHR UN Equity","BEST_EPS","BEST_FPERIOD_OVERRIDE","25Y")</f>
        <v/>
      </c>
      <c r="AL146" s="93">
        <f>BDP("COHR UN Equity","BEST_EPS","BEST_FPERIOD_OVERRIDE","26Y")</f>
        <v/>
      </c>
      <c r="AM146" s="93">
        <f>BDP("COHR UN Equity","BEST_EPS","BEST_FPERIOD_OVERRIDE","27Y")</f>
        <v/>
      </c>
      <c r="AN146" s="93">
        <f>BDP("COHR UN Equity","BEST_EPS","BEST_FPERIOD_OVERRIDE","28Y")</f>
        <v/>
      </c>
      <c r="AO146" s="15">
        <f t="array" ref="AO146">_xll.BDP($B146,"EQY_FISCAL_YR_END")</f>
        <v/>
      </c>
      <c r="AP146" s="93">
        <f>BDP("COHR UN Equity","BEST_SALES","BEST_FPERIOD_OVERRIDE","24Y")</f>
        <v/>
      </c>
      <c r="AQ146" s="93">
        <f>BDP("COHR UN Equity","BEST_SALES","BEST_FPERIOD_OVERRIDE","25Y")</f>
        <v/>
      </c>
      <c r="AR146" s="93">
        <f>BDP("COHR UN Equity","BEST_SALES","BEST_FPERIOD_OVERRIDE","26Y")</f>
        <v/>
      </c>
      <c r="AS146" s="93">
        <f>BDP("COHR UN Equity","BEST_SALES","BEST_FPERIOD_OVERRIDE","27Y")</f>
        <v/>
      </c>
      <c r="AT146" s="93">
        <f>BDP("COHR UN Equity","BEST_SALES","BEST_FPERIOD_OVERRIDE","28Y")</f>
        <v/>
      </c>
      <c r="AV146" s="93">
        <f>BDP("COHR UN Equity","BEST_EBIT","BEST_FPERIOD_OVERRIDE","24Y")</f>
        <v/>
      </c>
      <c r="AW146" s="93">
        <f>BDP("COHR UN Equity","BEST_EBIT","BEST_FPERIOD_OVERRIDE","25Y")</f>
        <v/>
      </c>
      <c r="AX146" s="93">
        <f>BDP("COHR UN Equity","BEST_EBIT","BEST_FPERIOD_OVERRIDE","26Y")</f>
        <v/>
      </c>
      <c r="AY146" s="93">
        <f>BDP("COHR UN Equity","BEST_EBIT","BEST_FPERIOD_OVERRIDE","27Y")</f>
        <v/>
      </c>
      <c r="AZ146" s="93">
        <f>BDP("COHR UN Equity","BEST_EBIT","BEST_FPERIOD_OVERRIDE","28Y")</f>
        <v/>
      </c>
      <c r="BB146" s="68">
        <f>D146+BC146</f>
        <v/>
      </c>
      <c r="BC146" s="68">
        <f>AC146-AE146</f>
        <v/>
      </c>
      <c r="BD146" s="15">
        <f>D146</f>
        <v/>
      </c>
      <c r="BE146" s="99">
        <f>BDP("COHR UN Equity","TRAIL_12M_EBITDA")</f>
        <v/>
      </c>
    </row>
    <row r="147">
      <c r="A147" t="inlineStr">
        <is>
          <t>ENTG</t>
        </is>
      </c>
      <c r="B147" t="inlineStr">
        <is>
          <t>ENTG UW Equity</t>
        </is>
      </c>
      <c r="C147" s="15" t="inlineStr">
        <is>
          <t>Dec</t>
        </is>
      </c>
      <c r="D147" s="93">
        <f>BDP("ENTG UW Equity","CUR_MKT_CAP")/1000000000</f>
        <v/>
      </c>
      <c r="E147" s="94">
        <f>BDP("ENTG UW Equity","PX_LAST")</f>
        <v/>
      </c>
      <c r="F147" s="95">
        <f>IF(BDP("ENTG UW Equity","BEST_EPS","BEST_FPERIOD_OVERRIDE","26Y")&lt;&gt;0,$E$147/BDP("ENTG UW Equity","BEST_EPS","BEST_FPERIOD_OVERRIDE","26Y"),"")</f>
        <v/>
      </c>
      <c r="G147" s="95">
        <f>IF(BDP("ENTG UW Equity","BEST_EPS","BEST_FPERIOD_OVERRIDE","27Y")&lt;&gt;0,$E$147/BDP("ENTG UW Equity","BEST_EPS","BEST_FPERIOD_OVERRIDE","27Y"),"")</f>
        <v/>
      </c>
      <c r="H147" s="95">
        <f>IF(BDP("ENTG UW Equity","BEST_EPS","BEST_FPERIOD_OVERRIDE","28Y")&lt;&gt;0,$E$147/BDP("ENTG UW Equity","BEST_EPS","BEST_FPERIOD_OVERRIDE","28Y"),"")</f>
        <v/>
      </c>
      <c r="I147" s="96">
        <f>BDP("ENTG UW Equity","NET_DEBT_TO_EBITDA")</f>
        <v/>
      </c>
      <c r="J147" s="93">
        <f>BDP("ENTG UW Equity","BEST_SALES","BEST_FPERIOD_OVERRIDE","26Y")/1000</f>
        <v/>
      </c>
      <c r="K147" s="97">
        <f>IF(BDP("ENTG UW Equity","BEST_SALES","BEST_FPERIOD_OVERRIDE","26Y")&lt;&gt;0,BDP("ENTG UW Equity","BEST_EBIT","BEST_FPERIOD_OVERRIDE","26Y")/BDP("ENTG UW Equity","BEST_SALES","BEST_FPERIOD_OVERRIDE","26Y"),"")</f>
        <v/>
      </c>
      <c r="L147" s="97">
        <f>BDP("ENTG UW Equity","RETURN_ON_INV_CAPITAL")/100</f>
        <v/>
      </c>
      <c r="M147" s="97">
        <f>IF(AND(BDP("ENTG UW Equity","BEST_SALES","BEST_FPERIOD_OVERRIDE","25Y")&gt;0,BDP("ENTG UW Equity","BEST_SALES","BEST_FPERIOD_OVERRIDE","28Y")&gt;0),(BDP("ENTG UW Equity","BEST_SALES","BEST_FPERIOD_OVERRIDE","28Y")/BDP("ENTG UW Equity","BEST_SALES","BEST_FPERIOD_OVERRIDE","25Y"))^(1/3)-1,"")</f>
        <v/>
      </c>
      <c r="N147" s="97">
        <f>IF(AND(BDP("ENTG UW Equity","BEST_EBIT","BEST_FPERIOD_OVERRIDE","25Y")&gt;0,BDP("ENTG UW Equity","BEST_EBIT","BEST_FPERIOD_OVERRIDE","28Y")&gt;0),(BDP("ENTG UW Equity","BEST_EBIT","BEST_FPERIOD_OVERRIDE","28Y")/BDP("ENTG UW Equity","BEST_EBIT","BEST_FPERIOD_OVERRIDE","25Y"))^(1/3)-1,"")</f>
        <v/>
      </c>
      <c r="O147" s="97">
        <f>IF(AND(BDP("ENTG UW Equity","BEST_EPS","BEST_FPERIOD_OVERRIDE","25Y")&gt;0,BDP("ENTG UW Equity","BEST_EPS","BEST_FPERIOD_OVERRIDE","28Y")&gt;0),(BDP("ENTG UW Equity","BEST_EPS","BEST_FPERIOD_OVERRIDE","28Y")/BDP("ENTG UW Equity","BEST_EPS","BEST_FPERIOD_OVERRIDE","25Y"))^(1/3)-1,"")</f>
        <v/>
      </c>
      <c r="Q147" s="97">
        <f>BDP("ENTG UW Equity","CHG_PCT_YTD")/100</f>
        <v/>
      </c>
      <c r="T147" s="68">
        <f>IF(AND(F147&lt;&gt;"",O147&lt;&gt;"",O147&lt;&gt;0),F147/(O147*100),"")</f>
        <v/>
      </c>
      <c r="AA147" s="72">
        <f t="array" ref="AA147">_xll.BDP(B147,"CHG_PCT_1YR")/100</f>
        <v/>
      </c>
      <c r="AB147" s="93">
        <f>BDP("ENTG UW Equity","TRAIL_12M_OPER_INC")</f>
        <v/>
      </c>
      <c r="AC147" s="93">
        <f>BDP("ENTG UW Equity","SHORT_AND_LONG_TERM_DEBT")</f>
        <v/>
      </c>
      <c r="AD147" s="93">
        <f>BDP("ENTG UW Equity","TOTAL_EQUITY")</f>
        <v/>
      </c>
      <c r="AE147" s="93">
        <f>BDP("ENTG UW Equity","BS_CASH_NEAR_CASH_ITEM")</f>
        <v/>
      </c>
      <c r="AF147" s="99">
        <f>BDP("ENTG UW Equity","BS_LT_INVEST")</f>
        <v/>
      </c>
      <c r="AG147" s="15">
        <f>AC147+AD147</f>
        <v/>
      </c>
      <c r="AH147" s="100">
        <f>BDP("ENTG UW Equity","RETURN_ON_INV_CAPITAL")/100</f>
        <v/>
      </c>
      <c r="AJ147" s="93">
        <f>BDP("ENTG UW Equity","BEST_EPS","BEST_FPERIOD_OVERRIDE","24Y")</f>
        <v/>
      </c>
      <c r="AK147" s="93">
        <f>BDP("ENTG UW Equity","BEST_EPS","BEST_FPERIOD_OVERRIDE","25Y")</f>
        <v/>
      </c>
      <c r="AL147" s="93">
        <f>BDP("ENTG UW Equity","BEST_EPS","BEST_FPERIOD_OVERRIDE","26Y")</f>
        <v/>
      </c>
      <c r="AM147" s="93">
        <f>BDP("ENTG UW Equity","BEST_EPS","BEST_FPERIOD_OVERRIDE","27Y")</f>
        <v/>
      </c>
      <c r="AN147" s="93">
        <f>BDP("ENTG UW Equity","BEST_EPS","BEST_FPERIOD_OVERRIDE","28Y")</f>
        <v/>
      </c>
      <c r="AO147" s="15">
        <f t="array" ref="AO147">_xll.BDP($B147,"EQY_FISCAL_YR_END")</f>
        <v/>
      </c>
      <c r="AP147" s="93">
        <f>BDP("ENTG UW Equity","BEST_SALES","BEST_FPERIOD_OVERRIDE","24Y")</f>
        <v/>
      </c>
      <c r="AQ147" s="93">
        <f>BDP("ENTG UW Equity","BEST_SALES","BEST_FPERIOD_OVERRIDE","25Y")</f>
        <v/>
      </c>
      <c r="AR147" s="93">
        <f>BDP("ENTG UW Equity","BEST_SALES","BEST_FPERIOD_OVERRIDE","26Y")</f>
        <v/>
      </c>
      <c r="AS147" s="93">
        <f>BDP("ENTG UW Equity","BEST_SALES","BEST_FPERIOD_OVERRIDE","27Y")</f>
        <v/>
      </c>
      <c r="AT147" s="93">
        <f>BDP("ENTG UW Equity","BEST_SALES","BEST_FPERIOD_OVERRIDE","28Y")</f>
        <v/>
      </c>
      <c r="AV147" s="93">
        <f>BDP("ENTG UW Equity","BEST_EBIT","BEST_FPERIOD_OVERRIDE","24Y")</f>
        <v/>
      </c>
      <c r="AW147" s="93">
        <f>BDP("ENTG UW Equity","BEST_EBIT","BEST_FPERIOD_OVERRIDE","25Y")</f>
        <v/>
      </c>
      <c r="AX147" s="93">
        <f>BDP("ENTG UW Equity","BEST_EBIT","BEST_FPERIOD_OVERRIDE","26Y")</f>
        <v/>
      </c>
      <c r="AY147" s="93">
        <f>BDP("ENTG UW Equity","BEST_EBIT","BEST_FPERIOD_OVERRIDE","27Y")</f>
        <v/>
      </c>
      <c r="AZ147" s="93">
        <f>BDP("ENTG UW Equity","BEST_EBIT","BEST_FPERIOD_OVERRIDE","28Y")</f>
        <v/>
      </c>
      <c r="BB147" s="68">
        <f>D147+BC147</f>
        <v/>
      </c>
      <c r="BC147" s="68">
        <f>AC147-AE147</f>
        <v/>
      </c>
      <c r="BD147" s="15">
        <f>D147</f>
        <v/>
      </c>
      <c r="BE147" s="99">
        <f>BDP("ENTG UW Equity","TRAIL_12M_EBITDA")</f>
        <v/>
      </c>
    </row>
    <row r="148">
      <c r="A148" t="inlineStr">
        <is>
          <t>LSCC</t>
        </is>
      </c>
      <c r="B148" t="inlineStr">
        <is>
          <t>LSCC UW Equity</t>
        </is>
      </c>
      <c r="C148" s="15" t="inlineStr">
        <is>
          <t>Dec</t>
        </is>
      </c>
      <c r="D148" s="93">
        <f>BDP("LSCC UW Equity","CUR_MKT_CAP")/1000000000</f>
        <v/>
      </c>
      <c r="E148" s="94">
        <f>BDP("LSCC UW Equity","PX_LAST")</f>
        <v/>
      </c>
      <c r="F148" s="95">
        <f>IF(BDP("LSCC UW Equity","BEST_EPS","BEST_FPERIOD_OVERRIDE","26Y")&lt;&gt;0,$E$148/BDP("LSCC UW Equity","BEST_EPS","BEST_FPERIOD_OVERRIDE","26Y"),"")</f>
        <v/>
      </c>
      <c r="G148" s="95">
        <f>IF(BDP("LSCC UW Equity","BEST_EPS","BEST_FPERIOD_OVERRIDE","27Y")&lt;&gt;0,$E$148/BDP("LSCC UW Equity","BEST_EPS","BEST_FPERIOD_OVERRIDE","27Y"),"")</f>
        <v/>
      </c>
      <c r="H148" s="95">
        <f>IF(BDP("LSCC UW Equity","BEST_EPS","BEST_FPERIOD_OVERRIDE","28Y")&lt;&gt;0,$E$148/BDP("LSCC UW Equity","BEST_EPS","BEST_FPERIOD_OVERRIDE","28Y"),"")</f>
        <v/>
      </c>
      <c r="I148" s="96">
        <f>BDP("LSCC UW Equity","NET_DEBT_TO_EBITDA")</f>
        <v/>
      </c>
      <c r="J148" s="93">
        <f>BDP("LSCC UW Equity","BEST_SALES","BEST_FPERIOD_OVERRIDE","26Y")/1000</f>
        <v/>
      </c>
      <c r="K148" s="97">
        <f>IF(BDP("LSCC UW Equity","BEST_SALES","BEST_FPERIOD_OVERRIDE","26Y")&lt;&gt;0,BDP("LSCC UW Equity","BEST_EBIT","BEST_FPERIOD_OVERRIDE","26Y")/BDP("LSCC UW Equity","BEST_SALES","BEST_FPERIOD_OVERRIDE","26Y"),"")</f>
        <v/>
      </c>
      <c r="L148" s="97">
        <f>BDP("LSCC UW Equity","RETURN_ON_INV_CAPITAL")/100</f>
        <v/>
      </c>
      <c r="M148" s="97">
        <f>IF(AND(BDP("LSCC UW Equity","BEST_SALES","BEST_FPERIOD_OVERRIDE","25Y")&gt;0,BDP("LSCC UW Equity","BEST_SALES","BEST_FPERIOD_OVERRIDE","28Y")&gt;0),(BDP("LSCC UW Equity","BEST_SALES","BEST_FPERIOD_OVERRIDE","28Y")/BDP("LSCC UW Equity","BEST_SALES","BEST_FPERIOD_OVERRIDE","25Y"))^(1/3)-1,"")</f>
        <v/>
      </c>
      <c r="N148" s="97">
        <f>IF(AND(BDP("LSCC UW Equity","BEST_EBIT","BEST_FPERIOD_OVERRIDE","25Y")&gt;0,BDP("LSCC UW Equity","BEST_EBIT","BEST_FPERIOD_OVERRIDE","28Y")&gt;0),(BDP("LSCC UW Equity","BEST_EBIT","BEST_FPERIOD_OVERRIDE","28Y")/BDP("LSCC UW Equity","BEST_EBIT","BEST_FPERIOD_OVERRIDE","25Y"))^(1/3)-1,"")</f>
        <v/>
      </c>
      <c r="O148" s="97">
        <f>IF(AND(BDP("LSCC UW Equity","BEST_EPS","BEST_FPERIOD_OVERRIDE","25Y")&gt;0,BDP("LSCC UW Equity","BEST_EPS","BEST_FPERIOD_OVERRIDE","28Y")&gt;0),(BDP("LSCC UW Equity","BEST_EPS","BEST_FPERIOD_OVERRIDE","28Y")/BDP("LSCC UW Equity","BEST_EPS","BEST_FPERIOD_OVERRIDE","25Y"))^(1/3)-1,"")</f>
        <v/>
      </c>
      <c r="Q148" s="97">
        <f>BDP("LSCC UW Equity","CHG_PCT_YTD")/100</f>
        <v/>
      </c>
      <c r="T148" s="68">
        <f>IF(AND(F148&lt;&gt;"",O148&lt;&gt;"",O148&lt;&gt;0),F148/(O148*100),"")</f>
        <v/>
      </c>
      <c r="AA148" s="72">
        <f t="array" ref="AA148">_xll.BDP(B148,"CHG_PCT_1YR")/100</f>
        <v/>
      </c>
      <c r="AB148" s="93">
        <f>BDP("LSCC UW Equity","TRAIL_12M_OPER_INC")</f>
        <v/>
      </c>
      <c r="AC148" s="93">
        <f>BDP("LSCC UW Equity","SHORT_AND_LONG_TERM_DEBT")</f>
        <v/>
      </c>
      <c r="AD148" s="93">
        <f>BDP("LSCC UW Equity","TOTAL_EQUITY")</f>
        <v/>
      </c>
      <c r="AE148" s="93">
        <f>BDP("LSCC UW Equity","BS_CASH_NEAR_CASH_ITEM")</f>
        <v/>
      </c>
      <c r="AF148" s="99">
        <f>BDP("LSCC UW Equity","BS_LT_INVEST")</f>
        <v/>
      </c>
      <c r="AG148" s="15">
        <f>AC148+AD148</f>
        <v/>
      </c>
      <c r="AH148" s="100">
        <f>BDP("LSCC UW Equity","RETURN_ON_INV_CAPITAL")/100</f>
        <v/>
      </c>
      <c r="AJ148" s="93">
        <f>BDP("LSCC UW Equity","BEST_EPS","BEST_FPERIOD_OVERRIDE","24Y")</f>
        <v/>
      </c>
      <c r="AK148" s="93">
        <f>BDP("LSCC UW Equity","BEST_EPS","BEST_FPERIOD_OVERRIDE","25Y")</f>
        <v/>
      </c>
      <c r="AL148" s="93">
        <f>BDP("LSCC UW Equity","BEST_EPS","BEST_FPERIOD_OVERRIDE","26Y")</f>
        <v/>
      </c>
      <c r="AM148" s="93">
        <f>BDP("LSCC UW Equity","BEST_EPS","BEST_FPERIOD_OVERRIDE","27Y")</f>
        <v/>
      </c>
      <c r="AN148" s="93">
        <f>BDP("LSCC UW Equity","BEST_EPS","BEST_FPERIOD_OVERRIDE","28Y")</f>
        <v/>
      </c>
      <c r="AO148" s="15">
        <f t="array" ref="AO148">_xll.BDP($B148,"EQY_FISCAL_YR_END")</f>
        <v/>
      </c>
      <c r="AP148" s="93">
        <f>BDP("LSCC UW Equity","BEST_SALES","BEST_FPERIOD_OVERRIDE","24Y")</f>
        <v/>
      </c>
      <c r="AQ148" s="93">
        <f>BDP("LSCC UW Equity","BEST_SALES","BEST_FPERIOD_OVERRIDE","25Y")</f>
        <v/>
      </c>
      <c r="AR148" s="93">
        <f>BDP("LSCC UW Equity","BEST_SALES","BEST_FPERIOD_OVERRIDE","26Y")</f>
        <v/>
      </c>
      <c r="AS148" s="93">
        <f>BDP("LSCC UW Equity","BEST_SALES","BEST_FPERIOD_OVERRIDE","27Y")</f>
        <v/>
      </c>
      <c r="AT148" s="93">
        <f>BDP("LSCC UW Equity","BEST_SALES","BEST_FPERIOD_OVERRIDE","28Y")</f>
        <v/>
      </c>
      <c r="AV148" s="93">
        <f>BDP("LSCC UW Equity","BEST_EBIT","BEST_FPERIOD_OVERRIDE","24Y")</f>
        <v/>
      </c>
      <c r="AW148" s="93">
        <f>BDP("LSCC UW Equity","BEST_EBIT","BEST_FPERIOD_OVERRIDE","25Y")</f>
        <v/>
      </c>
      <c r="AX148" s="93">
        <f>BDP("LSCC UW Equity","BEST_EBIT","BEST_FPERIOD_OVERRIDE","26Y")</f>
        <v/>
      </c>
      <c r="AY148" s="93">
        <f>BDP("LSCC UW Equity","BEST_EBIT","BEST_FPERIOD_OVERRIDE","27Y")</f>
        <v/>
      </c>
      <c r="AZ148" s="93">
        <f>BDP("LSCC UW Equity","BEST_EBIT","BEST_FPERIOD_OVERRIDE","28Y")</f>
        <v/>
      </c>
      <c r="BB148" s="68">
        <f>D148+BC148</f>
        <v/>
      </c>
      <c r="BC148" s="68">
        <f>AC148-AE148</f>
        <v/>
      </c>
      <c r="BD148" s="15">
        <f>D148</f>
        <v/>
      </c>
      <c r="BE148" s="99">
        <f>BDP("LSCC UW Equity","TRAIL_12M_EBITDA")</f>
        <v/>
      </c>
    </row>
    <row r="149">
      <c r="A149" t="inlineStr">
        <is>
          <t>MCHP</t>
        </is>
      </c>
      <c r="B149" t="inlineStr">
        <is>
          <t>MCHP UW Equity</t>
        </is>
      </c>
      <c r="C149" s="15" t="inlineStr">
        <is>
          <t>Mar</t>
        </is>
      </c>
      <c r="D149" s="93">
        <f>BDP("MCHP UW Equity","CUR_MKT_CAP")/1000000000</f>
        <v/>
      </c>
      <c r="E149" s="94">
        <f>BDP("MCHP UW Equity","PX_LAST")</f>
        <v/>
      </c>
      <c r="F149" s="95">
        <f>IF(BDP("MCHP UW Equity","BEST_EPS","BEST_FPERIOD_OVERRIDE","27Y")&lt;&gt;0,$E$149/BDP("MCHP UW Equity","BEST_EPS","BEST_FPERIOD_OVERRIDE","27Y"),"")</f>
        <v/>
      </c>
      <c r="G149" s="95">
        <f>IF(BDP("MCHP UW Equity","BEST_EPS","BEST_FPERIOD_OVERRIDE","28Y")&lt;&gt;0,$E$149/BDP("MCHP UW Equity","BEST_EPS","BEST_FPERIOD_OVERRIDE","28Y"),"")</f>
        <v/>
      </c>
      <c r="H149" s="95">
        <f>IF(BDP("MCHP UW Equity","BEST_EPS","BEST_FPERIOD_OVERRIDE","29Y")&lt;&gt;0,$E$149/BDP("MCHP UW Equity","BEST_EPS","BEST_FPERIOD_OVERRIDE","29Y"),"")</f>
        <v/>
      </c>
      <c r="I149" s="96">
        <f>BDP("MCHP UW Equity","NET_DEBT_TO_EBITDA")</f>
        <v/>
      </c>
      <c r="J149" s="93">
        <f>BDP("MCHP UW Equity","BEST_SALES","BEST_FPERIOD_OVERRIDE","27Y")/1000</f>
        <v/>
      </c>
      <c r="K149" s="97">
        <f>IF(BDP("MCHP UW Equity","BEST_SALES","BEST_FPERIOD_OVERRIDE","27Y")&lt;&gt;0,BDP("MCHP UW Equity","BEST_EBIT","BEST_FPERIOD_OVERRIDE","27Y")/BDP("MCHP UW Equity","BEST_SALES","BEST_FPERIOD_OVERRIDE","27Y"),"")</f>
        <v/>
      </c>
      <c r="L149" s="97">
        <f>BDP("MCHP UW Equity","RETURN_ON_INV_CAPITAL")/100</f>
        <v/>
      </c>
      <c r="M149" s="97">
        <f>IF(AND(BDP("MCHP UW Equity","BEST_SALES","BEST_FPERIOD_OVERRIDE","26Y")&gt;0,BDP("MCHP UW Equity","BEST_SALES","BEST_FPERIOD_OVERRIDE","29Y")&gt;0),(BDP("MCHP UW Equity","BEST_SALES","BEST_FPERIOD_OVERRIDE","29Y")/BDP("MCHP UW Equity","BEST_SALES","BEST_FPERIOD_OVERRIDE","26Y"))^(1/3)-1,"")</f>
        <v/>
      </c>
      <c r="N149" s="97">
        <f>IF(AND(BDP("MCHP UW Equity","BEST_EBIT","BEST_FPERIOD_OVERRIDE","26Y")&gt;0,BDP("MCHP UW Equity","BEST_EBIT","BEST_FPERIOD_OVERRIDE","29Y")&gt;0),(BDP("MCHP UW Equity","BEST_EBIT","BEST_FPERIOD_OVERRIDE","29Y")/BDP("MCHP UW Equity","BEST_EBIT","BEST_FPERIOD_OVERRIDE","26Y"))^(1/3)-1,"")</f>
        <v/>
      </c>
      <c r="O149" s="97">
        <f>IF(AND(BDP("MCHP UW Equity","BEST_EPS","BEST_FPERIOD_OVERRIDE","26Y")&gt;0,BDP("MCHP UW Equity","BEST_EPS","BEST_FPERIOD_OVERRIDE","29Y")&gt;0),(BDP("MCHP UW Equity","BEST_EPS","BEST_FPERIOD_OVERRIDE","29Y")/BDP("MCHP UW Equity","BEST_EPS","BEST_FPERIOD_OVERRIDE","26Y"))^(1/3)-1,"")</f>
        <v/>
      </c>
      <c r="Q149" s="97">
        <f>BDP("MCHP UW Equity","CHG_PCT_YTD")/100</f>
        <v/>
      </c>
      <c r="T149" s="16">
        <f>IF(AND(F149&lt;&gt;"",O149&lt;&gt;"",O149&lt;&gt;0),F149/(O149*100),"")</f>
        <v/>
      </c>
      <c r="AA149" s="72">
        <f t="array" ref="AA149">_xll.BDP(B149,"CHG_PCT_1YR")/100</f>
        <v/>
      </c>
      <c r="AB149" s="93">
        <f>BDP("MCHP UW Equity","TRAIL_12M_OPER_INC")</f>
        <v/>
      </c>
      <c r="AC149" s="93">
        <f>BDP("MCHP UW Equity","SHORT_AND_LONG_TERM_DEBT")</f>
        <v/>
      </c>
      <c r="AD149" s="93">
        <f>BDP("MCHP UW Equity","TOTAL_EQUITY")</f>
        <v/>
      </c>
      <c r="AE149" s="93">
        <f>BDP("MCHP UW Equity","BS_CASH_NEAR_CASH_ITEM")</f>
        <v/>
      </c>
      <c r="AF149" s="99">
        <f>BDP("MCHP UW Equity","BS_LT_INVEST")</f>
        <v/>
      </c>
      <c r="AG149" s="15">
        <f>AC149+AD149</f>
        <v/>
      </c>
      <c r="AH149" s="100">
        <f>BDP("MCHP UW Equity","RETURN_ON_INV_CAPITAL")/100</f>
        <v/>
      </c>
      <c r="AJ149" s="93">
        <f>BDP("MCHP UW Equity","BEST_EPS","BEST_FPERIOD_OVERRIDE","25Y")</f>
        <v/>
      </c>
      <c r="AK149" s="93">
        <f>BDP("MCHP UW Equity","BEST_EPS","BEST_FPERIOD_OVERRIDE","26Y")</f>
        <v/>
      </c>
      <c r="AL149" s="93">
        <f>BDP("MCHP UW Equity","BEST_EPS","BEST_FPERIOD_OVERRIDE","27Y")</f>
        <v/>
      </c>
      <c r="AM149" s="93">
        <f>BDP("MCHP UW Equity","BEST_EPS","BEST_FPERIOD_OVERRIDE","28Y")</f>
        <v/>
      </c>
      <c r="AN149" s="93">
        <f>BDP("MCHP UW Equity","BEST_EPS","BEST_FPERIOD_OVERRIDE","29Y")</f>
        <v/>
      </c>
      <c r="AO149" s="15">
        <f t="array" ref="AO149">_xll.BDP($B149,"EQY_FISCAL_YR_END")</f>
        <v/>
      </c>
      <c r="AP149" s="93">
        <f>BDP("MCHP UW Equity","BEST_SALES","BEST_FPERIOD_OVERRIDE","25Y")</f>
        <v/>
      </c>
      <c r="AQ149" s="93">
        <f>BDP("MCHP UW Equity","BEST_SALES","BEST_FPERIOD_OVERRIDE","26Y")</f>
        <v/>
      </c>
      <c r="AR149" s="93">
        <f>BDP("MCHP UW Equity","BEST_SALES","BEST_FPERIOD_OVERRIDE","27Y")</f>
        <v/>
      </c>
      <c r="AS149" s="93">
        <f>BDP("MCHP UW Equity","BEST_SALES","BEST_FPERIOD_OVERRIDE","28Y")</f>
        <v/>
      </c>
      <c r="AT149" s="93">
        <f>BDP("MCHP UW Equity","BEST_SALES","BEST_FPERIOD_OVERRIDE","29Y")</f>
        <v/>
      </c>
      <c r="AV149" s="93">
        <f>BDP("MCHP UW Equity","BEST_EBIT","BEST_FPERIOD_OVERRIDE","25Y")</f>
        <v/>
      </c>
      <c r="AW149" s="93">
        <f>BDP("MCHP UW Equity","BEST_EBIT","BEST_FPERIOD_OVERRIDE","26Y")</f>
        <v/>
      </c>
      <c r="AX149" s="93">
        <f>BDP("MCHP UW Equity","BEST_EBIT","BEST_FPERIOD_OVERRIDE","27Y")</f>
        <v/>
      </c>
      <c r="AY149" s="93">
        <f>BDP("MCHP UW Equity","BEST_EBIT","BEST_FPERIOD_OVERRIDE","28Y")</f>
        <v/>
      </c>
      <c r="AZ149" s="93">
        <f>BDP("MCHP UW Equity","BEST_EBIT","BEST_FPERIOD_OVERRIDE","29Y")</f>
        <v/>
      </c>
      <c r="BB149" s="68">
        <f>D149+BC149</f>
        <v/>
      </c>
      <c r="BC149" s="68">
        <f>AC149-AE149</f>
        <v/>
      </c>
      <c r="BD149" s="15">
        <f>D149</f>
        <v/>
      </c>
      <c r="BE149" s="99">
        <f>BDP("MCHP UW Equity","TRAIL_12M_EBITDA")</f>
        <v/>
      </c>
    </row>
    <row r="150">
      <c r="A150" t="inlineStr">
        <is>
          <t>CRUS</t>
        </is>
      </c>
      <c r="B150" t="inlineStr">
        <is>
          <t>CRUS UW Equity</t>
        </is>
      </c>
      <c r="C150" s="15" t="inlineStr">
        <is>
          <t>Mar</t>
        </is>
      </c>
      <c r="D150" s="93">
        <f>BDP("CRUS UW Equity","CUR_MKT_CAP")/1000000000</f>
        <v/>
      </c>
      <c r="E150" s="94">
        <f>BDP("CRUS UW Equity","PX_LAST")</f>
        <v/>
      </c>
      <c r="F150" s="95">
        <f>IF(BDP("CRUS UW Equity","BEST_EPS","BEST_FPERIOD_OVERRIDE","27Y")&lt;&gt;0,$E$150/BDP("CRUS UW Equity","BEST_EPS","BEST_FPERIOD_OVERRIDE","27Y"),"")</f>
        <v/>
      </c>
      <c r="G150" s="95">
        <f>IF(BDP("CRUS UW Equity","BEST_EPS","BEST_FPERIOD_OVERRIDE","28Y")&lt;&gt;0,$E$150/BDP("CRUS UW Equity","BEST_EPS","BEST_FPERIOD_OVERRIDE","28Y"),"")</f>
        <v/>
      </c>
      <c r="H150" s="95">
        <f>IF(BDP("CRUS UW Equity","BEST_EPS","BEST_FPERIOD_OVERRIDE","29Y")&lt;&gt;0,$E$150/BDP("CRUS UW Equity","BEST_EPS","BEST_FPERIOD_OVERRIDE","29Y"),"")</f>
        <v/>
      </c>
      <c r="I150" s="96">
        <f>BDP("CRUS UW Equity","NET_DEBT_TO_EBITDA")</f>
        <v/>
      </c>
      <c r="J150" s="93">
        <f>BDP("CRUS UW Equity","BEST_SALES","BEST_FPERIOD_OVERRIDE","27Y")/1000</f>
        <v/>
      </c>
      <c r="K150" s="97">
        <f>IF(BDP("CRUS UW Equity","BEST_SALES","BEST_FPERIOD_OVERRIDE","27Y")&lt;&gt;0,BDP("CRUS UW Equity","BEST_EBIT","BEST_FPERIOD_OVERRIDE","27Y")/BDP("CRUS UW Equity","BEST_SALES","BEST_FPERIOD_OVERRIDE","27Y"),"")</f>
        <v/>
      </c>
      <c r="L150" s="97">
        <f>BDP("CRUS UW Equity","RETURN_ON_INV_CAPITAL")/100</f>
        <v/>
      </c>
      <c r="M150" s="97">
        <f>IF(AND(BDP("CRUS UW Equity","BEST_SALES","BEST_FPERIOD_OVERRIDE","26Y")&gt;0,BDP("CRUS UW Equity","BEST_SALES","BEST_FPERIOD_OVERRIDE","29Y")&gt;0),(BDP("CRUS UW Equity","BEST_SALES","BEST_FPERIOD_OVERRIDE","29Y")/BDP("CRUS UW Equity","BEST_SALES","BEST_FPERIOD_OVERRIDE","26Y"))^(1/3)-1,"")</f>
        <v/>
      </c>
      <c r="N150" s="97">
        <f>IF(AND(BDP("CRUS UW Equity","BEST_EBIT","BEST_FPERIOD_OVERRIDE","26Y")&gt;0,BDP("CRUS UW Equity","BEST_EBIT","BEST_FPERIOD_OVERRIDE","29Y")&gt;0),(BDP("CRUS UW Equity","BEST_EBIT","BEST_FPERIOD_OVERRIDE","29Y")/BDP("CRUS UW Equity","BEST_EBIT","BEST_FPERIOD_OVERRIDE","26Y"))^(1/3)-1,"")</f>
        <v/>
      </c>
      <c r="O150" s="97">
        <f>IF(AND(BDP("CRUS UW Equity","BEST_EPS","BEST_FPERIOD_OVERRIDE","26Y")&gt;0,BDP("CRUS UW Equity","BEST_EPS","BEST_FPERIOD_OVERRIDE","29Y")&gt;0),(BDP("CRUS UW Equity","BEST_EPS","BEST_FPERIOD_OVERRIDE","29Y")/BDP("CRUS UW Equity","BEST_EPS","BEST_FPERIOD_OVERRIDE","26Y"))^(1/3)-1,"")</f>
        <v/>
      </c>
      <c r="Q150" s="97">
        <f>BDP("CRUS UW Equity","CHG_PCT_YTD")/100</f>
        <v/>
      </c>
      <c r="T150" s="68">
        <f>IF(AND(F150&lt;&gt;"",O150&lt;&gt;"",O150&lt;&gt;0),F150/(O150*100),"")</f>
        <v/>
      </c>
      <c r="AA150" s="72">
        <f t="array" ref="AA150">_xll.BDP(B150,"CHG_PCT_1YR")/100</f>
        <v/>
      </c>
      <c r="AB150" s="93">
        <f>BDP("CRUS UW Equity","TRAIL_12M_OPER_INC")</f>
        <v/>
      </c>
      <c r="AC150" s="93">
        <f>BDP("CRUS UW Equity","SHORT_AND_LONG_TERM_DEBT")</f>
        <v/>
      </c>
      <c r="AD150" s="93">
        <f>BDP("CRUS UW Equity","TOTAL_EQUITY")</f>
        <v/>
      </c>
      <c r="AE150" s="93">
        <f>BDP("CRUS UW Equity","BS_CASH_NEAR_CASH_ITEM")</f>
        <v/>
      </c>
      <c r="AF150" s="99">
        <f>BDP("CRUS UW Equity","BS_LT_INVEST")</f>
        <v/>
      </c>
      <c r="AG150" s="15">
        <f>AC150+AD150</f>
        <v/>
      </c>
      <c r="AH150" s="100">
        <f>BDP("CRUS UW Equity","RETURN_ON_INV_CAPITAL")/100</f>
        <v/>
      </c>
      <c r="AJ150" s="93">
        <f>BDP("CRUS UW Equity","BEST_EPS","BEST_FPERIOD_OVERRIDE","25Y")</f>
        <v/>
      </c>
      <c r="AK150" s="93">
        <f>BDP("CRUS UW Equity","BEST_EPS","BEST_FPERIOD_OVERRIDE","26Y")</f>
        <v/>
      </c>
      <c r="AL150" s="93">
        <f>BDP("CRUS UW Equity","BEST_EPS","BEST_FPERIOD_OVERRIDE","27Y")</f>
        <v/>
      </c>
      <c r="AM150" s="93">
        <f>BDP("CRUS UW Equity","BEST_EPS","BEST_FPERIOD_OVERRIDE","28Y")</f>
        <v/>
      </c>
      <c r="AN150" s="93">
        <f>BDP("CRUS UW Equity","BEST_EPS","BEST_FPERIOD_OVERRIDE","29Y")</f>
        <v/>
      </c>
      <c r="AO150" s="15">
        <f t="array" ref="AO150">_xll.BDP($B150,"EQY_FISCAL_YR_END")</f>
        <v/>
      </c>
      <c r="AP150" s="93">
        <f>BDP("CRUS UW Equity","BEST_SALES","BEST_FPERIOD_OVERRIDE","25Y")</f>
        <v/>
      </c>
      <c r="AQ150" s="93">
        <f>BDP("CRUS UW Equity","BEST_SALES","BEST_FPERIOD_OVERRIDE","26Y")</f>
        <v/>
      </c>
      <c r="AR150" s="93">
        <f>BDP("CRUS UW Equity","BEST_SALES","BEST_FPERIOD_OVERRIDE","27Y")</f>
        <v/>
      </c>
      <c r="AS150" s="93">
        <f>BDP("CRUS UW Equity","BEST_SALES","BEST_FPERIOD_OVERRIDE","28Y")</f>
        <v/>
      </c>
      <c r="AT150" s="93">
        <f>BDP("CRUS UW Equity","BEST_SALES","BEST_FPERIOD_OVERRIDE","29Y")</f>
        <v/>
      </c>
      <c r="AV150" s="93">
        <f>BDP("CRUS UW Equity","BEST_EBIT","BEST_FPERIOD_OVERRIDE","25Y")</f>
        <v/>
      </c>
      <c r="AW150" s="93">
        <f>BDP("CRUS UW Equity","BEST_EBIT","BEST_FPERIOD_OVERRIDE","26Y")</f>
        <v/>
      </c>
      <c r="AX150" s="93">
        <f>BDP("CRUS UW Equity","BEST_EBIT","BEST_FPERIOD_OVERRIDE","27Y")</f>
        <v/>
      </c>
      <c r="AY150" s="93">
        <f>BDP("CRUS UW Equity","BEST_EBIT","BEST_FPERIOD_OVERRIDE","28Y")</f>
        <v/>
      </c>
      <c r="AZ150" s="93">
        <f>BDP("CRUS UW Equity","BEST_EBIT","BEST_FPERIOD_OVERRIDE","29Y")</f>
        <v/>
      </c>
      <c r="BB150" s="68">
        <f>D150+BC150</f>
        <v/>
      </c>
      <c r="BC150" s="68">
        <f>AC150-AE150</f>
        <v/>
      </c>
      <c r="BD150" s="15">
        <f>D150</f>
        <v/>
      </c>
      <c r="BE150" s="99">
        <f>BDP("CRUS UW Equity","TRAIL_12M_EBITDA")</f>
        <v/>
      </c>
    </row>
    <row r="151">
      <c r="A151" t="inlineStr">
        <is>
          <t>AMKR</t>
        </is>
      </c>
      <c r="B151" t="inlineStr">
        <is>
          <t>AMKR UW Equity</t>
        </is>
      </c>
      <c r="C151" s="15" t="inlineStr">
        <is>
          <t>Dec</t>
        </is>
      </c>
      <c r="D151" s="93">
        <f>BDP("AMKR UW Equity","CUR_MKT_CAP")/1000000000</f>
        <v/>
      </c>
      <c r="E151" s="94">
        <f>BDP("AMKR UW Equity","PX_LAST")</f>
        <v/>
      </c>
      <c r="F151" s="95">
        <f>IF(BDP("AMKR UW Equity","BEST_EPS","BEST_FPERIOD_OVERRIDE","26Y")&lt;&gt;0,$E$151/BDP("AMKR UW Equity","BEST_EPS","BEST_FPERIOD_OVERRIDE","26Y"),"")</f>
        <v/>
      </c>
      <c r="G151" s="95">
        <f>IF(BDP("AMKR UW Equity","BEST_EPS","BEST_FPERIOD_OVERRIDE","27Y")&lt;&gt;0,$E$151/BDP("AMKR UW Equity","BEST_EPS","BEST_FPERIOD_OVERRIDE","27Y"),"")</f>
        <v/>
      </c>
      <c r="H151" s="95">
        <f>IF(BDP("AMKR UW Equity","BEST_EPS","BEST_FPERIOD_OVERRIDE","28Y")&lt;&gt;0,$E$151/BDP("AMKR UW Equity","BEST_EPS","BEST_FPERIOD_OVERRIDE","28Y"),"")</f>
        <v/>
      </c>
      <c r="I151" s="96">
        <f>BDP("AMKR UW Equity","NET_DEBT_TO_EBITDA")</f>
        <v/>
      </c>
      <c r="J151" s="93">
        <f>BDP("AMKR UW Equity","BEST_SALES","BEST_FPERIOD_OVERRIDE","26Y")/1000</f>
        <v/>
      </c>
      <c r="K151" s="97">
        <f>IF(BDP("AMKR UW Equity","BEST_SALES","BEST_FPERIOD_OVERRIDE","26Y")&lt;&gt;0,BDP("AMKR UW Equity","BEST_EBIT","BEST_FPERIOD_OVERRIDE","26Y")/BDP("AMKR UW Equity","BEST_SALES","BEST_FPERIOD_OVERRIDE","26Y"),"")</f>
        <v/>
      </c>
      <c r="L151" s="97">
        <f>BDP("AMKR UW Equity","RETURN_ON_INV_CAPITAL")/100</f>
        <v/>
      </c>
      <c r="M151" s="97">
        <f>IF(AND(BDP("AMKR UW Equity","BEST_SALES","BEST_FPERIOD_OVERRIDE","25Y")&gt;0,BDP("AMKR UW Equity","BEST_SALES","BEST_FPERIOD_OVERRIDE","28Y")&gt;0),(BDP("AMKR UW Equity","BEST_SALES","BEST_FPERIOD_OVERRIDE","28Y")/BDP("AMKR UW Equity","BEST_SALES","BEST_FPERIOD_OVERRIDE","25Y"))^(1/3)-1,"")</f>
        <v/>
      </c>
      <c r="N151" s="97">
        <f>IF(AND(BDP("AMKR UW Equity","BEST_EBIT","BEST_FPERIOD_OVERRIDE","25Y")&gt;0,BDP("AMKR UW Equity","BEST_EBIT","BEST_FPERIOD_OVERRIDE","28Y")&gt;0),(BDP("AMKR UW Equity","BEST_EBIT","BEST_FPERIOD_OVERRIDE","28Y")/BDP("AMKR UW Equity","BEST_EBIT","BEST_FPERIOD_OVERRIDE","25Y"))^(1/3)-1,"")</f>
        <v/>
      </c>
      <c r="O151" s="97">
        <f>IF(AND(BDP("AMKR UW Equity","BEST_EPS","BEST_FPERIOD_OVERRIDE","25Y")&gt;0,BDP("AMKR UW Equity","BEST_EPS","BEST_FPERIOD_OVERRIDE","28Y")&gt;0),(BDP("AMKR UW Equity","BEST_EPS","BEST_FPERIOD_OVERRIDE","28Y")/BDP("AMKR UW Equity","BEST_EPS","BEST_FPERIOD_OVERRIDE","25Y"))^(1/3)-1,"")</f>
        <v/>
      </c>
      <c r="Q151" s="97">
        <f>BDP("AMKR UW Equity","CHG_PCT_YTD")/100</f>
        <v/>
      </c>
      <c r="T151" s="68">
        <f>IF(AND(F151&lt;&gt;"",O151&lt;&gt;"",O151&lt;&gt;0),F151/(O151*100),"")</f>
        <v/>
      </c>
      <c r="AA151" s="72">
        <f t="array" ref="AA151">_xll.BDP(B151,"CHG_PCT_1YR")/100</f>
        <v/>
      </c>
      <c r="AB151" s="93">
        <f>BDP("AMKR UW Equity","TRAIL_12M_OPER_INC")</f>
        <v/>
      </c>
      <c r="AC151" s="93">
        <f>BDP("AMKR UW Equity","SHORT_AND_LONG_TERM_DEBT")</f>
        <v/>
      </c>
      <c r="AD151" s="93">
        <f>BDP("AMKR UW Equity","TOTAL_EQUITY")</f>
        <v/>
      </c>
      <c r="AE151" s="93">
        <f>BDP("AMKR UW Equity","BS_CASH_NEAR_CASH_ITEM")</f>
        <v/>
      </c>
      <c r="AF151" s="99">
        <f>BDP("AMKR UW Equity","BS_LT_INVEST")</f>
        <v/>
      </c>
      <c r="AG151" s="15">
        <f>AC151+AD151</f>
        <v/>
      </c>
      <c r="AH151" s="100">
        <f>BDP("AMKR UW Equity","RETURN_ON_INV_CAPITAL")/100</f>
        <v/>
      </c>
      <c r="AJ151" s="93">
        <f>BDP("AMKR UW Equity","BEST_EPS","BEST_FPERIOD_OVERRIDE","24Y")</f>
        <v/>
      </c>
      <c r="AK151" s="93">
        <f>BDP("AMKR UW Equity","BEST_EPS","BEST_FPERIOD_OVERRIDE","25Y")</f>
        <v/>
      </c>
      <c r="AL151" s="93">
        <f>BDP("AMKR UW Equity","BEST_EPS","BEST_FPERIOD_OVERRIDE","26Y")</f>
        <v/>
      </c>
      <c r="AM151" s="93">
        <f>BDP("AMKR UW Equity","BEST_EPS","BEST_FPERIOD_OVERRIDE","27Y")</f>
        <v/>
      </c>
      <c r="AN151" s="93">
        <f>BDP("AMKR UW Equity","BEST_EPS","BEST_FPERIOD_OVERRIDE","28Y")</f>
        <v/>
      </c>
      <c r="AO151" s="15">
        <f t="array" ref="AO151">_xll.BDP($B151,"EQY_FISCAL_YR_END")</f>
        <v/>
      </c>
      <c r="AP151" s="93">
        <f>BDP("AMKR UW Equity","BEST_SALES","BEST_FPERIOD_OVERRIDE","24Y")</f>
        <v/>
      </c>
      <c r="AQ151" s="93">
        <f>BDP("AMKR UW Equity","BEST_SALES","BEST_FPERIOD_OVERRIDE","25Y")</f>
        <v/>
      </c>
      <c r="AR151" s="93">
        <f>BDP("AMKR UW Equity","BEST_SALES","BEST_FPERIOD_OVERRIDE","26Y")</f>
        <v/>
      </c>
      <c r="AS151" s="93">
        <f>BDP("AMKR UW Equity","BEST_SALES","BEST_FPERIOD_OVERRIDE","27Y")</f>
        <v/>
      </c>
      <c r="AT151" s="93">
        <f>BDP("AMKR UW Equity","BEST_SALES","BEST_FPERIOD_OVERRIDE","28Y")</f>
        <v/>
      </c>
      <c r="AV151" s="93">
        <f>BDP("AMKR UW Equity","BEST_EBIT","BEST_FPERIOD_OVERRIDE","24Y")</f>
        <v/>
      </c>
      <c r="AW151" s="93">
        <f>BDP("AMKR UW Equity","BEST_EBIT","BEST_FPERIOD_OVERRIDE","25Y")</f>
        <v/>
      </c>
      <c r="AX151" s="93">
        <f>BDP("AMKR UW Equity","BEST_EBIT","BEST_FPERIOD_OVERRIDE","26Y")</f>
        <v/>
      </c>
      <c r="AY151" s="93">
        <f>BDP("AMKR UW Equity","BEST_EBIT","BEST_FPERIOD_OVERRIDE","27Y")</f>
        <v/>
      </c>
      <c r="AZ151" s="93">
        <f>BDP("AMKR UW Equity","BEST_EBIT","BEST_FPERIOD_OVERRIDE","28Y")</f>
        <v/>
      </c>
      <c r="BB151" s="68">
        <f>D151+BC151</f>
        <v/>
      </c>
      <c r="BC151" s="68">
        <f>AC151-AE151</f>
        <v/>
      </c>
      <c r="BD151" s="15">
        <f>D151</f>
        <v/>
      </c>
      <c r="BE151" s="99">
        <f>BDP("AMKR UW Equity","TRAIL_12M_EBITDA")</f>
        <v/>
      </c>
    </row>
    <row r="152">
      <c r="A152" t="inlineStr">
        <is>
          <t>TER</t>
        </is>
      </c>
      <c r="B152" t="inlineStr">
        <is>
          <t>TER UW Equity</t>
        </is>
      </c>
      <c r="C152" s="15" t="inlineStr">
        <is>
          <t>Dec</t>
        </is>
      </c>
      <c r="D152" s="93">
        <f>BDP("TER UW Equity","CUR_MKT_CAP")/1000000000</f>
        <v/>
      </c>
      <c r="E152" s="94">
        <f>BDP("TER UW Equity","PX_LAST")</f>
        <v/>
      </c>
      <c r="F152" s="95">
        <f>IF(BDP("TER UW Equity","BEST_EPS","BEST_FPERIOD_OVERRIDE","26Y")&lt;&gt;0,$E$152/BDP("TER UW Equity","BEST_EPS","BEST_FPERIOD_OVERRIDE","26Y"),"")</f>
        <v/>
      </c>
      <c r="G152" s="95">
        <f>IF(BDP("TER UW Equity","BEST_EPS","BEST_FPERIOD_OVERRIDE","27Y")&lt;&gt;0,$E$152/BDP("TER UW Equity","BEST_EPS","BEST_FPERIOD_OVERRIDE","27Y"),"")</f>
        <v/>
      </c>
      <c r="H152" s="95">
        <f>IF(BDP("TER UW Equity","BEST_EPS","BEST_FPERIOD_OVERRIDE","28Y")&lt;&gt;0,$E$152/BDP("TER UW Equity","BEST_EPS","BEST_FPERIOD_OVERRIDE","28Y"),"")</f>
        <v/>
      </c>
      <c r="I152" s="96">
        <f>BDP("TER UW Equity","NET_DEBT_TO_EBITDA")</f>
        <v/>
      </c>
      <c r="J152" s="93">
        <f>BDP("TER UW Equity","BEST_SALES","BEST_FPERIOD_OVERRIDE","26Y")/1000</f>
        <v/>
      </c>
      <c r="K152" s="97">
        <f>IF(BDP("TER UW Equity","BEST_SALES","BEST_FPERIOD_OVERRIDE","26Y")&lt;&gt;0,BDP("TER UW Equity","BEST_EBIT","BEST_FPERIOD_OVERRIDE","26Y")/BDP("TER UW Equity","BEST_SALES","BEST_FPERIOD_OVERRIDE","26Y"),"")</f>
        <v/>
      </c>
      <c r="L152" s="97">
        <f>BDP("TER UW Equity","RETURN_ON_INV_CAPITAL")/100</f>
        <v/>
      </c>
      <c r="M152" s="97">
        <f>IF(AND(BDP("TER UW Equity","BEST_SALES","BEST_FPERIOD_OVERRIDE","25Y")&gt;0,BDP("TER UW Equity","BEST_SALES","BEST_FPERIOD_OVERRIDE","28Y")&gt;0),(BDP("TER UW Equity","BEST_SALES","BEST_FPERIOD_OVERRIDE","28Y")/BDP("TER UW Equity","BEST_SALES","BEST_FPERIOD_OVERRIDE","25Y"))^(1/3)-1,"")</f>
        <v/>
      </c>
      <c r="N152" s="97">
        <f>IF(AND(BDP("TER UW Equity","BEST_EBIT","BEST_FPERIOD_OVERRIDE","25Y")&gt;0,BDP("TER UW Equity","BEST_EBIT","BEST_FPERIOD_OVERRIDE","28Y")&gt;0),(BDP("TER UW Equity","BEST_EBIT","BEST_FPERIOD_OVERRIDE","28Y")/BDP("TER UW Equity","BEST_EBIT","BEST_FPERIOD_OVERRIDE","25Y"))^(1/3)-1,"")</f>
        <v/>
      </c>
      <c r="O152" s="97">
        <f>IF(AND(BDP("TER UW Equity","BEST_EPS","BEST_FPERIOD_OVERRIDE","25Y")&gt;0,BDP("TER UW Equity","BEST_EPS","BEST_FPERIOD_OVERRIDE","28Y")&gt;0),(BDP("TER UW Equity","BEST_EPS","BEST_FPERIOD_OVERRIDE","28Y")/BDP("TER UW Equity","BEST_EPS","BEST_FPERIOD_OVERRIDE","25Y"))^(1/3)-1,"")</f>
        <v/>
      </c>
      <c r="Q152" s="97">
        <f>BDP("TER UW Equity","CHG_PCT_YTD")/100</f>
        <v/>
      </c>
      <c r="T152" s="68">
        <f>IF(AND(F152&lt;&gt;"",O152&lt;&gt;"",O152&lt;&gt;0),F152/(O152*100),"")</f>
        <v/>
      </c>
      <c r="AA152" s="72">
        <f t="array" ref="AA152">_xll.BDP(B152,"CHG_PCT_1YR")/100</f>
        <v/>
      </c>
      <c r="AB152" s="93">
        <f>BDP("TER UW Equity","TRAIL_12M_OPER_INC")</f>
        <v/>
      </c>
      <c r="AC152" s="93">
        <f>BDP("TER UW Equity","SHORT_AND_LONG_TERM_DEBT")</f>
        <v/>
      </c>
      <c r="AD152" s="93">
        <f>BDP("TER UW Equity","TOTAL_EQUITY")</f>
        <v/>
      </c>
      <c r="AE152" s="93">
        <f>BDP("TER UW Equity","BS_CASH_NEAR_CASH_ITEM")</f>
        <v/>
      </c>
      <c r="AF152" s="99">
        <f>BDP("TER UW Equity","BS_LT_INVEST")</f>
        <v/>
      </c>
      <c r="AG152" s="15">
        <f>AC152+AD152</f>
        <v/>
      </c>
      <c r="AH152" s="100">
        <f>BDP("TER UW Equity","RETURN_ON_INV_CAPITAL")/100</f>
        <v/>
      </c>
      <c r="AJ152" s="93">
        <f>BDP("TER UW Equity","BEST_EPS","BEST_FPERIOD_OVERRIDE","24Y")</f>
        <v/>
      </c>
      <c r="AK152" s="93">
        <f>BDP("TER UW Equity","BEST_EPS","BEST_FPERIOD_OVERRIDE","25Y")</f>
        <v/>
      </c>
      <c r="AL152" s="93">
        <f>BDP("TER UW Equity","BEST_EPS","BEST_FPERIOD_OVERRIDE","26Y")</f>
        <v/>
      </c>
      <c r="AM152" s="93">
        <f>BDP("TER UW Equity","BEST_EPS","BEST_FPERIOD_OVERRIDE","27Y")</f>
        <v/>
      </c>
      <c r="AN152" s="93">
        <f>BDP("TER UW Equity","BEST_EPS","BEST_FPERIOD_OVERRIDE","28Y")</f>
        <v/>
      </c>
      <c r="AO152" s="15">
        <f t="array" ref="AO152">_xll.BDP($B152,"EQY_FISCAL_YR_END")</f>
        <v/>
      </c>
      <c r="AP152" s="93">
        <f>BDP("TER UW Equity","BEST_SALES","BEST_FPERIOD_OVERRIDE","24Y")</f>
        <v/>
      </c>
      <c r="AQ152" s="93">
        <f>BDP("TER UW Equity","BEST_SALES","BEST_FPERIOD_OVERRIDE","25Y")</f>
        <v/>
      </c>
      <c r="AR152" s="93">
        <f>BDP("TER UW Equity","BEST_SALES","BEST_FPERIOD_OVERRIDE","26Y")</f>
        <v/>
      </c>
      <c r="AS152" s="93">
        <f>BDP("TER UW Equity","BEST_SALES","BEST_FPERIOD_OVERRIDE","27Y")</f>
        <v/>
      </c>
      <c r="AT152" s="93">
        <f>BDP("TER UW Equity","BEST_SALES","BEST_FPERIOD_OVERRIDE","28Y")</f>
        <v/>
      </c>
      <c r="AV152" s="93">
        <f>BDP("TER UW Equity","BEST_EBIT","BEST_FPERIOD_OVERRIDE","24Y")</f>
        <v/>
      </c>
      <c r="AW152" s="93">
        <f>BDP("TER UW Equity","BEST_EBIT","BEST_FPERIOD_OVERRIDE","25Y")</f>
        <v/>
      </c>
      <c r="AX152" s="93">
        <f>BDP("TER UW Equity","BEST_EBIT","BEST_FPERIOD_OVERRIDE","26Y")</f>
        <v/>
      </c>
      <c r="AY152" s="93">
        <f>BDP("TER UW Equity","BEST_EBIT","BEST_FPERIOD_OVERRIDE","27Y")</f>
        <v/>
      </c>
      <c r="AZ152" s="93">
        <f>BDP("TER UW Equity","BEST_EBIT","BEST_FPERIOD_OVERRIDE","28Y")</f>
        <v/>
      </c>
      <c r="BB152" s="68">
        <f>D152+BC152</f>
        <v/>
      </c>
      <c r="BC152" s="68">
        <f>AC152-AE152</f>
        <v/>
      </c>
      <c r="BD152" s="15">
        <f>D152</f>
        <v/>
      </c>
      <c r="BE152" s="99">
        <f>BDP("TER UW Equity","TRAIL_12M_EBITDA")</f>
        <v/>
      </c>
    </row>
    <row r="153">
      <c r="A153" t="inlineStr">
        <is>
          <t>AEHR</t>
        </is>
      </c>
      <c r="B153" t="inlineStr">
        <is>
          <t>AEHR US Equity</t>
        </is>
      </c>
      <c r="C153" s="15" t="inlineStr">
        <is>
          <t>May</t>
        </is>
      </c>
      <c r="D153" s="93">
        <f>BDP("AEHR US Equity","CUR_MKT_CAP")/1000000000</f>
        <v/>
      </c>
      <c r="E153" s="94">
        <f>BDP("AEHR US Equity","PX_LAST")</f>
        <v/>
      </c>
      <c r="F153" s="95">
        <f>IF(BDP("AEHR US Equity","BEST_EPS","BEST_FPERIOD_OVERRIDE","26Y")&lt;&gt;0,$E$153/BDP("AEHR US Equity","BEST_EPS","BEST_FPERIOD_OVERRIDE","26Y"),"")</f>
        <v/>
      </c>
      <c r="G153" s="95">
        <f>IF(BDP("AEHR US Equity","BEST_EPS","BEST_FPERIOD_OVERRIDE","27Y")&lt;&gt;0,$E$153/BDP("AEHR US Equity","BEST_EPS","BEST_FPERIOD_OVERRIDE","27Y"),"")</f>
        <v/>
      </c>
      <c r="H153" s="95">
        <f>IF(BDP("AEHR US Equity","BEST_EPS","BEST_FPERIOD_OVERRIDE","28Y")&lt;&gt;0,$E$153/BDP("AEHR US Equity","BEST_EPS","BEST_FPERIOD_OVERRIDE","28Y"),"")</f>
        <v/>
      </c>
      <c r="I153" s="96">
        <f>BDP("AEHR US Equity","NET_DEBT_TO_EBITDA")</f>
        <v/>
      </c>
      <c r="J153" s="93">
        <f>BDP("AEHR US Equity","BEST_SALES","BEST_FPERIOD_OVERRIDE","26Y")/1000</f>
        <v/>
      </c>
      <c r="K153" s="97">
        <f>IF(BDP("AEHR US Equity","BEST_SALES","BEST_FPERIOD_OVERRIDE","26Y")&lt;&gt;0,BDP("AEHR US Equity","BEST_EBIT","BEST_FPERIOD_OVERRIDE","26Y")/BDP("AEHR US Equity","BEST_SALES","BEST_FPERIOD_OVERRIDE","26Y"),"")</f>
        <v/>
      </c>
      <c r="L153" s="97">
        <f>BDP("AEHR US Equity","RETURN_ON_INV_CAPITAL")/100</f>
        <v/>
      </c>
      <c r="M153" s="97">
        <f>IF(AND(BDP("AEHR US Equity","BEST_SALES","BEST_FPERIOD_OVERRIDE","25Y")&gt;0,BDP("AEHR US Equity","BEST_SALES","BEST_FPERIOD_OVERRIDE","28Y")&gt;0),(BDP("AEHR US Equity","BEST_SALES","BEST_FPERIOD_OVERRIDE","28Y")/BDP("AEHR US Equity","BEST_SALES","BEST_FPERIOD_OVERRIDE","25Y"))^(1/3)-1,"")</f>
        <v/>
      </c>
      <c r="N153" s="97">
        <f>IF(AND(BDP("AEHR US Equity","BEST_EBIT","BEST_FPERIOD_OVERRIDE","25Y")&gt;0,BDP("AEHR US Equity","BEST_EBIT","BEST_FPERIOD_OVERRIDE","28Y")&gt;0),(BDP("AEHR US Equity","BEST_EBIT","BEST_FPERIOD_OVERRIDE","28Y")/BDP("AEHR US Equity","BEST_EBIT","BEST_FPERIOD_OVERRIDE","25Y"))^(1/3)-1,"")</f>
        <v/>
      </c>
      <c r="O153" s="97">
        <f>IF(AND(BDP("AEHR US Equity","BEST_EPS","BEST_FPERIOD_OVERRIDE","25Y")&gt;0,BDP("AEHR US Equity","BEST_EPS","BEST_FPERIOD_OVERRIDE","28Y")&gt;0),(BDP("AEHR US Equity","BEST_EPS","BEST_FPERIOD_OVERRIDE","28Y")/BDP("AEHR US Equity","BEST_EPS","BEST_FPERIOD_OVERRIDE","25Y"))^(1/3)-1,"")</f>
        <v/>
      </c>
      <c r="Q153" s="97">
        <f>BDP("AEHR US Equity","CHG_PCT_YTD")/100</f>
        <v/>
      </c>
      <c r="T153" s="68">
        <f>IF(AND(F153&lt;&gt;"",O153&lt;&gt;"",O153&lt;&gt;0),F153/(O153*100),"")</f>
        <v/>
      </c>
      <c r="AA153" s="72">
        <f t="array" ref="AA153">_xll.BDP(B153,"CHG_PCT_1YR")/100</f>
        <v/>
      </c>
      <c r="AB153" s="93">
        <f>BDP("AEHR US Equity","TRAIL_12M_OPER_INC")</f>
        <v/>
      </c>
      <c r="AC153" s="93">
        <f>BDP("AEHR US Equity","SHORT_AND_LONG_TERM_DEBT")</f>
        <v/>
      </c>
      <c r="AD153" s="93">
        <f>BDP("AEHR US Equity","TOTAL_EQUITY")</f>
        <v/>
      </c>
      <c r="AE153" s="93">
        <f>BDP("AEHR US Equity","BS_CASH_NEAR_CASH_ITEM")</f>
        <v/>
      </c>
      <c r="AF153" s="99">
        <f>BDP("AEHR US Equity","BS_LT_INVEST")</f>
        <v/>
      </c>
      <c r="AG153" s="15">
        <f>AC153+AD153</f>
        <v/>
      </c>
      <c r="AH153" s="100">
        <f>BDP("AEHR US Equity","RETURN_ON_INV_CAPITAL")/100</f>
        <v/>
      </c>
      <c r="AJ153" s="93">
        <f>BDP("AEHR US Equity","BEST_EPS","BEST_FPERIOD_OVERRIDE","24Y")</f>
        <v/>
      </c>
      <c r="AK153" s="93">
        <f>BDP("AEHR US Equity","BEST_EPS","BEST_FPERIOD_OVERRIDE","25Y")</f>
        <v/>
      </c>
      <c r="AL153" s="93">
        <f>BDP("AEHR US Equity","BEST_EPS","BEST_FPERIOD_OVERRIDE","26Y")</f>
        <v/>
      </c>
      <c r="AM153" s="93">
        <f>BDP("AEHR US Equity","BEST_EPS","BEST_FPERIOD_OVERRIDE","27Y")</f>
        <v/>
      </c>
      <c r="AN153" s="93">
        <f>BDP("AEHR US Equity","BEST_EPS","BEST_FPERIOD_OVERRIDE","28Y")</f>
        <v/>
      </c>
      <c r="AO153" s="15">
        <f t="array" ref="AO153">_xll.BDP($B153,"EQY_FISCAL_YR_END")</f>
        <v/>
      </c>
      <c r="AP153" s="93">
        <f>BDP("AEHR US Equity","BEST_SALES","BEST_FPERIOD_OVERRIDE","24Y")</f>
        <v/>
      </c>
      <c r="AQ153" s="93">
        <f>BDP("AEHR US Equity","BEST_SALES","BEST_FPERIOD_OVERRIDE","25Y")</f>
        <v/>
      </c>
      <c r="AR153" s="93">
        <f>BDP("AEHR US Equity","BEST_SALES","BEST_FPERIOD_OVERRIDE","26Y")</f>
        <v/>
      </c>
      <c r="AS153" s="93">
        <f>BDP("AEHR US Equity","BEST_SALES","BEST_FPERIOD_OVERRIDE","27Y")</f>
        <v/>
      </c>
      <c r="AT153" s="93">
        <f>BDP("AEHR US Equity","BEST_SALES","BEST_FPERIOD_OVERRIDE","28Y")</f>
        <v/>
      </c>
      <c r="AV153" s="93">
        <f>BDP("AEHR US Equity","BEST_EBIT","BEST_FPERIOD_OVERRIDE","24Y")</f>
        <v/>
      </c>
      <c r="AW153" s="93">
        <f>BDP("AEHR US Equity","BEST_EBIT","BEST_FPERIOD_OVERRIDE","25Y")</f>
        <v/>
      </c>
      <c r="AX153" s="93">
        <f>BDP("AEHR US Equity","BEST_EBIT","BEST_FPERIOD_OVERRIDE","26Y")</f>
        <v/>
      </c>
      <c r="AY153" s="93">
        <f>BDP("AEHR US Equity","BEST_EBIT","BEST_FPERIOD_OVERRIDE","27Y")</f>
        <v/>
      </c>
      <c r="AZ153" s="93">
        <f>BDP("AEHR US Equity","BEST_EBIT","BEST_FPERIOD_OVERRIDE","28Y")</f>
        <v/>
      </c>
      <c r="BB153" s="68">
        <f>D153+BC153</f>
        <v/>
      </c>
      <c r="BC153" s="68">
        <f>AC153-AE153</f>
        <v/>
      </c>
      <c r="BD153" s="15">
        <f>D153</f>
        <v/>
      </c>
      <c r="BE153" s="99">
        <f>BDP("AEHR US Equity","TRAIL_12M_EBITDA")</f>
        <v/>
      </c>
    </row>
    <row r="154">
      <c r="A154" t="inlineStr">
        <is>
          <t>VRT</t>
        </is>
      </c>
      <c r="B154" t="inlineStr">
        <is>
          <t>VRT US Equity</t>
        </is>
      </c>
      <c r="C154" s="15" t="inlineStr">
        <is>
          <t>Dec</t>
        </is>
      </c>
      <c r="D154" s="93">
        <f>BDP("VRT US Equity","CUR_MKT_CAP")/1000000000</f>
        <v/>
      </c>
      <c r="E154" s="94">
        <f>BDP("VRT US Equity","PX_LAST")</f>
        <v/>
      </c>
      <c r="F154" s="95">
        <f>IF(BDP("VRT US Equity","BEST_EPS","BEST_FPERIOD_OVERRIDE","26Y")&lt;&gt;0,$E$154/BDP("VRT US Equity","BEST_EPS","BEST_FPERIOD_OVERRIDE","26Y"),"")</f>
        <v/>
      </c>
      <c r="G154" s="95">
        <f>IF(BDP("VRT US Equity","BEST_EPS","BEST_FPERIOD_OVERRIDE","27Y")&lt;&gt;0,$E$154/BDP("VRT US Equity","BEST_EPS","BEST_FPERIOD_OVERRIDE","27Y"),"")</f>
        <v/>
      </c>
      <c r="H154" s="95">
        <f>IF(BDP("VRT US Equity","BEST_EPS","BEST_FPERIOD_OVERRIDE","28Y")&lt;&gt;0,$E$154/BDP("VRT US Equity","BEST_EPS","BEST_FPERIOD_OVERRIDE","28Y"),"")</f>
        <v/>
      </c>
      <c r="I154" s="96">
        <f>BDP("VRT US Equity","NET_DEBT_TO_EBITDA")</f>
        <v/>
      </c>
      <c r="J154" s="93">
        <f>BDP("VRT US Equity","BEST_SALES","BEST_FPERIOD_OVERRIDE","26Y")/1000</f>
        <v/>
      </c>
      <c r="K154" s="97">
        <f>IF(BDP("VRT US Equity","BEST_SALES","BEST_FPERIOD_OVERRIDE","26Y")&lt;&gt;0,BDP("VRT US Equity","BEST_EBIT","BEST_FPERIOD_OVERRIDE","26Y")/BDP("VRT US Equity","BEST_SALES","BEST_FPERIOD_OVERRIDE","26Y"),"")</f>
        <v/>
      </c>
      <c r="L154" s="97">
        <f>BDP("VRT US Equity","RETURN_ON_INV_CAPITAL")/100</f>
        <v/>
      </c>
      <c r="M154" s="97">
        <f>IF(AND(BDP("VRT US Equity","BEST_SALES","BEST_FPERIOD_OVERRIDE","25Y")&gt;0,BDP("VRT US Equity","BEST_SALES","BEST_FPERIOD_OVERRIDE","28Y")&gt;0),(BDP("VRT US Equity","BEST_SALES","BEST_FPERIOD_OVERRIDE","28Y")/BDP("VRT US Equity","BEST_SALES","BEST_FPERIOD_OVERRIDE","25Y"))^(1/3)-1,"")</f>
        <v/>
      </c>
      <c r="N154" s="97">
        <f>IF(AND(BDP("VRT US Equity","BEST_EBIT","BEST_FPERIOD_OVERRIDE","25Y")&gt;0,BDP("VRT US Equity","BEST_EBIT","BEST_FPERIOD_OVERRIDE","28Y")&gt;0),(BDP("VRT US Equity","BEST_EBIT","BEST_FPERIOD_OVERRIDE","28Y")/BDP("VRT US Equity","BEST_EBIT","BEST_FPERIOD_OVERRIDE","25Y"))^(1/3)-1,"")</f>
        <v/>
      </c>
      <c r="O154" s="97">
        <f>IF(AND(BDP("VRT US Equity","BEST_EPS","BEST_FPERIOD_OVERRIDE","25Y")&gt;0,BDP("VRT US Equity","BEST_EPS","BEST_FPERIOD_OVERRIDE","28Y")&gt;0),(BDP("VRT US Equity","BEST_EPS","BEST_FPERIOD_OVERRIDE","28Y")/BDP("VRT US Equity","BEST_EPS","BEST_FPERIOD_OVERRIDE","25Y"))^(1/3)-1,"")</f>
        <v/>
      </c>
      <c r="Q154" s="97">
        <f>BDP("VRT US Equity","CHG_PCT_YTD")/100</f>
        <v/>
      </c>
      <c r="T154" s="68">
        <f>IF(AND(F154&lt;&gt;"",O154&lt;&gt;"",O154&lt;&gt;0),F154/(O154*100),"")</f>
        <v/>
      </c>
      <c r="AA154" s="72">
        <f t="array" ref="AA154">_xll.BDP(B154,"CHG_PCT_1YR")/100</f>
        <v/>
      </c>
      <c r="AB154" s="93">
        <f>BDP("VRT US Equity","TRAIL_12M_OPER_INC")</f>
        <v/>
      </c>
      <c r="AC154" s="93">
        <f>BDP("VRT US Equity","SHORT_AND_LONG_TERM_DEBT")</f>
        <v/>
      </c>
      <c r="AD154" s="93">
        <f>BDP("VRT US Equity","TOTAL_EQUITY")</f>
        <v/>
      </c>
      <c r="AE154" s="93">
        <f>BDP("VRT US Equity","BS_CASH_NEAR_CASH_ITEM")</f>
        <v/>
      </c>
      <c r="AF154" s="99">
        <f>BDP("VRT US Equity","BS_LT_INVEST")</f>
        <v/>
      </c>
      <c r="AG154" s="15">
        <f>AC154+AD154</f>
        <v/>
      </c>
      <c r="AH154" s="100">
        <f>BDP("VRT US Equity","RETURN_ON_INV_CAPITAL")/100</f>
        <v/>
      </c>
      <c r="AJ154" s="93">
        <f>BDP("VRT US Equity","BEST_EPS","BEST_FPERIOD_OVERRIDE","24Y")</f>
        <v/>
      </c>
      <c r="AK154" s="93">
        <f>BDP("VRT US Equity","BEST_EPS","BEST_FPERIOD_OVERRIDE","25Y")</f>
        <v/>
      </c>
      <c r="AL154" s="93">
        <f>BDP("VRT US Equity","BEST_EPS","BEST_FPERIOD_OVERRIDE","26Y")</f>
        <v/>
      </c>
      <c r="AM154" s="93">
        <f>BDP("VRT US Equity","BEST_EPS","BEST_FPERIOD_OVERRIDE","27Y")</f>
        <v/>
      </c>
      <c r="AN154" s="93">
        <f>BDP("VRT US Equity","BEST_EPS","BEST_FPERIOD_OVERRIDE","28Y")</f>
        <v/>
      </c>
      <c r="AO154" s="15">
        <f t="array" ref="AO154">_xll.BDP($B154,"EQY_FISCAL_YR_END")</f>
        <v/>
      </c>
      <c r="AP154" s="93">
        <f>BDP("VRT US Equity","BEST_SALES","BEST_FPERIOD_OVERRIDE","24Y")</f>
        <v/>
      </c>
      <c r="AQ154" s="93">
        <f>BDP("VRT US Equity","BEST_SALES","BEST_FPERIOD_OVERRIDE","25Y")</f>
        <v/>
      </c>
      <c r="AR154" s="93">
        <f>BDP("VRT US Equity","BEST_SALES","BEST_FPERIOD_OVERRIDE","26Y")</f>
        <v/>
      </c>
      <c r="AS154" s="93">
        <f>BDP("VRT US Equity","BEST_SALES","BEST_FPERIOD_OVERRIDE","27Y")</f>
        <v/>
      </c>
      <c r="AT154" s="93">
        <f>BDP("VRT US Equity","BEST_SALES","BEST_FPERIOD_OVERRIDE","28Y")</f>
        <v/>
      </c>
      <c r="AV154" s="93">
        <f>BDP("VRT US Equity","BEST_EBIT","BEST_FPERIOD_OVERRIDE","24Y")</f>
        <v/>
      </c>
      <c r="AW154" s="93">
        <f>BDP("VRT US Equity","BEST_EBIT","BEST_FPERIOD_OVERRIDE","25Y")</f>
        <v/>
      </c>
      <c r="AX154" s="93">
        <f>BDP("VRT US Equity","BEST_EBIT","BEST_FPERIOD_OVERRIDE","26Y")</f>
        <v/>
      </c>
      <c r="AY154" s="93">
        <f>BDP("VRT US Equity","BEST_EBIT","BEST_FPERIOD_OVERRIDE","27Y")</f>
        <v/>
      </c>
      <c r="AZ154" s="93">
        <f>BDP("VRT US Equity","BEST_EBIT","BEST_FPERIOD_OVERRIDE","28Y")</f>
        <v/>
      </c>
      <c r="BB154" s="68">
        <f>D154+BC154</f>
        <v/>
      </c>
      <c r="BC154" s="68">
        <f>AC154-AE154</f>
        <v/>
      </c>
      <c r="BD154" s="15">
        <f>D154</f>
        <v/>
      </c>
      <c r="BE154" s="99">
        <f>BDP("VRT US Equity","TRAIL_12M_EBITDA")</f>
        <v/>
      </c>
    </row>
    <row r="155">
      <c r="C155" s="15" t="n"/>
      <c r="D155" s="15" t="n"/>
      <c r="E155" s="69" t="n"/>
      <c r="F155" s="70" t="n"/>
      <c r="G155" s="70" t="n"/>
      <c r="H155" s="70" t="n"/>
      <c r="I155" s="71" t="n"/>
      <c r="J155" s="15" t="n"/>
      <c r="K155" s="72" t="n"/>
      <c r="L155" s="72" t="n"/>
      <c r="M155" s="72" t="n"/>
      <c r="N155" s="72" t="n"/>
      <c r="O155" s="72" t="n"/>
      <c r="T155" s="68" t="n"/>
      <c r="V155" s="72" t="n"/>
      <c r="AB155" s="15" t="n"/>
      <c r="AC155" s="15" t="n"/>
      <c r="AD155" s="15" t="n"/>
      <c r="AE155" s="15" t="n"/>
      <c r="AF155" s="16" t="n"/>
      <c r="AG155" s="15" t="n"/>
      <c r="AH155" s="67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V155" s="15" t="n"/>
      <c r="AW155" s="15" t="n"/>
      <c r="AX155" s="15" t="n"/>
      <c r="AY155" s="15" t="n"/>
      <c r="AZ155" s="15" t="n"/>
      <c r="BB155" s="68" t="n"/>
      <c r="BC155" s="68" t="n"/>
      <c r="BD155" s="15" t="n"/>
      <c r="BE155" s="16" t="n"/>
    </row>
    <row r="156">
      <c r="A156" s="36" t="inlineStr">
        <is>
          <t>Average</t>
        </is>
      </c>
      <c r="C156" s="15" t="n"/>
      <c r="D156" s="15" t="n"/>
      <c r="E156" s="69" t="n"/>
      <c r="F156" s="70">
        <f>AVERAGE(F107:F153)</f>
        <v/>
      </c>
      <c r="G156" s="70">
        <f>AVERAGE(G107:G153)</f>
        <v/>
      </c>
      <c r="H156" s="70">
        <f>AVERAGE(H107:H153)</f>
        <v/>
      </c>
      <c r="I156" s="71" t="n"/>
      <c r="J156" s="15" t="n"/>
      <c r="K156" s="67">
        <f>AVERAGE(K107:K153)</f>
        <v/>
      </c>
      <c r="L156" s="67">
        <f>AVERAGE(L107:L153)</f>
        <v/>
      </c>
      <c r="M156" s="67">
        <f>AVERAGE(M107:M153)</f>
        <v/>
      </c>
      <c r="N156" s="67">
        <f>AVERAGE(N107:N153)</f>
        <v/>
      </c>
      <c r="O156" s="67">
        <f>AVERAGE(O107:O153)</f>
        <v/>
      </c>
      <c r="T156" s="81">
        <f>AVERAGE(T107:T153)</f>
        <v/>
      </c>
      <c r="AB156" s="15" t="n"/>
      <c r="AC156" s="15" t="n"/>
      <c r="AD156" s="15" t="n"/>
      <c r="AE156" s="15" t="n"/>
      <c r="AF156" s="16" t="n"/>
      <c r="AG156" s="15" t="n"/>
      <c r="AH156" s="67" t="n"/>
      <c r="AJ156" s="15" t="n"/>
      <c r="AK156" s="15" t="n"/>
      <c r="AL156" s="15" t="n"/>
      <c r="AM156" s="15" t="n"/>
      <c r="AN156" s="15" t="n"/>
      <c r="AP156" s="15" t="n"/>
      <c r="AQ156" s="15" t="n"/>
      <c r="AR156" s="15" t="n"/>
      <c r="AS156" s="15" t="n"/>
      <c r="AT156" s="15" t="n"/>
      <c r="AV156" s="15" t="n"/>
      <c r="AW156" s="15" t="n"/>
      <c r="AX156" s="15" t="n"/>
      <c r="AY156" s="15" t="n"/>
      <c r="AZ156" s="15" t="n"/>
      <c r="BB156" s="68" t="n"/>
      <c r="BC156" s="68" t="n"/>
      <c r="BD156" s="15" t="n"/>
      <c r="BE156" s="16" t="n"/>
    </row>
    <row r="157"/>
    <row r="158"/>
    <row r="159"/>
    <row r="160"/>
    <row r="161"/>
    <row r="162"/>
    <row r="163"/>
    <row r="164">
      <c r="AJ164" s="93">
        <f>_xll.BDP($B164,"BEST_EPS","BEST_FPERIOD_OVERRIDE=24Y")</f>
        <v/>
      </c>
      <c r="AK164" s="93">
        <f>_xll.BDP($B164,"BEST_EPS","BEST_FPERIOD_OVERRIDE=25Y")</f>
        <v/>
      </c>
      <c r="AL164" s="93">
        <f>_xll.BDP($B164,"BEST_EPS","BEST_FPERIOD_OVERRIDE=26Y")</f>
        <v/>
      </c>
      <c r="AM164" s="93">
        <f>_xll.BDP($B164,"BEST_EPS","BEST_FPERIOD_OVERRIDE=27Y")</f>
        <v/>
      </c>
      <c r="AN164" s="93">
        <f>_xll.BDP($B164,"BEST_EPS","BEST_FPERIOD_OVERRIDE=28Y")</f>
        <v/>
      </c>
      <c r="AP164" s="93">
        <f>_xll.BDP($B164,"BEST_SALES","BEST_FPERIOD_OVERRIDE=24Y")</f>
        <v/>
      </c>
      <c r="AQ164" s="93">
        <f>_xll.BDP($B164,"BEST_SALES","BEST_FPERIOD_OVERRIDE=25Y")</f>
        <v/>
      </c>
      <c r="AR164" s="93">
        <f>_xll.BDP($B164,"BEST_SALES","BEST_FPERIOD_OVERRIDE=26Y")</f>
        <v/>
      </c>
      <c r="AS164" s="93">
        <f>_xll.BDP($B164,"BEST_SALES","BEST_FPERIOD_OVERRIDE=27Y")</f>
        <v/>
      </c>
      <c r="AT164" s="93">
        <f>_xll.BDP($B164,"BEST_SALES","BEST_FPERIOD_OVERRIDE=28Y")</f>
        <v/>
      </c>
      <c r="AV164" s="93">
        <f>_xll.BDP($B164,"BEST_EBIT","BEST_FPERIOD_OVERRIDE=24Y")</f>
        <v/>
      </c>
      <c r="AW164" s="93">
        <f>_xll.BDP($B164,"BEST_EBIT","BEST_FPERIOD_OVERRIDE=25Y")</f>
        <v/>
      </c>
      <c r="AX164" s="93">
        <f>_xll.BDP($B164,"BEST_EBIT","BEST_FPERIOD_OVERRIDE=26Y")</f>
        <v/>
      </c>
      <c r="AY164" s="93">
        <f>_xll.BDP($B164,"BEST_EBIT","BEST_FPERIOD_OVERRIDE=27Y")</f>
        <v/>
      </c>
      <c r="AZ164" s="93">
        <f>_xll.BDP($B164,"BEST_EBIT","BEST_FPERIOD_OVERRIDE=28Y")</f>
        <v/>
      </c>
      <c r="BB164" s="101">
        <f>_xll.BDP($B164,"CURR_ENTP_VAL","eqy_fund_crncy=USD")/1000</f>
        <v/>
      </c>
      <c r="BC164" s="68">
        <f>BB164-BD164</f>
        <v/>
      </c>
      <c r="BD164" s="15">
        <f t="array" ref="BD164">_xll.BDP($B164,"cur_mkt_cap")/1000000000</f>
        <v/>
      </c>
      <c r="BE164" s="99">
        <f>_xll.BDP($B164,"EBITDA")</f>
        <v/>
      </c>
    </row>
    <row r="165"/>
    <row r="166" ht="15" customHeight="1">
      <c r="A166" t="inlineStr">
        <is>
          <t>NVDA</t>
        </is>
      </c>
      <c r="B166">
        <f>A166&amp;" US Equity"</f>
        <v/>
      </c>
      <c r="C166" s="15" t="inlineStr">
        <is>
          <t>Dec</t>
        </is>
      </c>
      <c r="D166" s="93">
        <f>BDP("=A166&amp;" US Equity"","CUR_MKT_CAP")/1000000000</f>
        <v/>
      </c>
      <c r="E166" s="94">
        <f>BDP("=A166&amp;" US Equity"","PX_LAST")</f>
        <v/>
      </c>
      <c r="F166" s="95">
        <f>IF(BDP("=A166&amp;" US Equity"","BEST_EPS","BEST_FPERIOD_OVERRIDE","26Y")&lt;&gt;0,$E$166/BDP("=A166&amp;" US Equity"","BEST_EPS","BEST_FPERIOD_OVERRIDE","26Y"),"")</f>
        <v/>
      </c>
      <c r="G166" s="95">
        <f>IF(BDP("=A166&amp;" US Equity"","BEST_EPS","BEST_FPERIOD_OVERRIDE","27Y")&lt;&gt;0,$E$166/BDP("=A166&amp;" US Equity"","BEST_EPS","BEST_FPERIOD_OVERRIDE","27Y"),"")</f>
        <v/>
      </c>
      <c r="H166" s="95">
        <f>IF(BDP("=A166&amp;" US Equity"","BEST_EPS","BEST_FPERIOD_OVERRIDE","28Y")&lt;&gt;0,$E$166/BDP("=A166&amp;" US Equity"","BEST_EPS","BEST_FPERIOD_OVERRIDE","28Y"),"")</f>
        <v/>
      </c>
      <c r="I166" s="96">
        <f>BDP("=A166&amp;" US Equity"","NET_DEBT_TO_EBITDA")</f>
        <v/>
      </c>
      <c r="J166" s="93">
        <f>BDP("=A166&amp;" US Equity"","BEST_SALES","BEST_FPERIOD_OVERRIDE","26Y")/1000</f>
        <v/>
      </c>
      <c r="K166" s="97">
        <f>IF(BDP("=A166&amp;" US Equity"","BEST_SALES","BEST_FPERIOD_OVERRIDE","26Y")&lt;&gt;0,BDP("=A166&amp;" US Equity"","BEST_EBIT","BEST_FPERIOD_OVERRIDE","26Y")/BDP("=A166&amp;" US Equity"","BEST_SALES","BEST_FPERIOD_OVERRIDE","26Y"),"")</f>
        <v/>
      </c>
      <c r="L166" s="97">
        <f>BDP("=A166&amp;" US Equity"","RETURN_ON_INV_CAPITAL")/100</f>
        <v/>
      </c>
      <c r="M166" s="97">
        <f>IF(AND(BDP("=A166&amp;" US Equity"","BEST_SALES","BEST_FPERIOD_OVERRIDE","25Y")&gt;0,BDP("=A166&amp;" US Equity"","BEST_SALES","BEST_FPERIOD_OVERRIDE","28Y")&gt;0),(BDP("=A166&amp;" US Equity"","BEST_SALES","BEST_FPERIOD_OVERRIDE","28Y")/BDP("=A166&amp;" US Equity"","BEST_SALES","BEST_FPERIOD_OVERRIDE","25Y"))^(1/3)-1,"")</f>
        <v/>
      </c>
      <c r="N166" s="97">
        <f>IF(AND(BDP("=A166&amp;" US Equity"","BEST_EBIT","BEST_FPERIOD_OVERRIDE","25Y")&gt;0,BDP("=A166&amp;" US Equity"","BEST_EBIT","BEST_FPERIOD_OVERRIDE","28Y")&gt;0),(BDP("=A166&amp;" US Equity"","BEST_EBIT","BEST_FPERIOD_OVERRIDE","28Y")/BDP("=A166&amp;" US Equity"","BEST_EBIT","BEST_FPERIOD_OVERRIDE","25Y"))^(1/3)-1,"")</f>
        <v/>
      </c>
      <c r="O166" s="97">
        <f>IF(AND(BDP("=A166&amp;" US Equity"","BEST_EPS","BEST_FPERIOD_OVERRIDE","25Y")&gt;0,BDP("=A166&amp;" US Equity"","BEST_EPS","BEST_FPERIOD_OVERRIDE","28Y")&gt;0),(BDP("=A166&amp;" US Equity"","BEST_EPS","BEST_FPERIOD_OVERRIDE","28Y")/BDP("=A166&amp;" US Equity"","BEST_EPS","BEST_FPERIOD_OVERRIDE","25Y"))^(1/3)-1,"")</f>
        <v/>
      </c>
      <c r="Q166" s="102">
        <f>BDP("=A166&amp;" US Equity"","CHG_PCT_YTD")/100</f>
        <v/>
      </c>
      <c r="T166" s="68">
        <f>IF(AND(F166&lt;&gt;"",O166&lt;&gt;"",O166&lt;&gt;0),F166/(O166*100),"")</f>
        <v/>
      </c>
      <c r="AB166" s="93">
        <f>BDP("=A166&amp;" US Equity"","TRAIL_12M_OPER_INC")</f>
        <v/>
      </c>
      <c r="AC166" s="93">
        <f>BDP("=A166&amp;" US Equity"","SHORT_AND_LONG_TERM_DEBT")</f>
        <v/>
      </c>
      <c r="AD166" s="93">
        <f>BDP("=A166&amp;" US Equity"","TOTAL_EQUITY")</f>
        <v/>
      </c>
      <c r="AE166" s="93">
        <f>BDP("=A166&amp;" US Equity"","BS_CASH_NEAR_CASH_ITEM")</f>
        <v/>
      </c>
      <c r="AF166" s="99">
        <f>BDP("=A166&amp;" US Equity"","BS_LT_INVEST")</f>
        <v/>
      </c>
      <c r="AG166" s="15">
        <f>AC166+AD166</f>
        <v/>
      </c>
      <c r="AH166" s="100">
        <f>BDP("=A166&amp;" US Equity"","RETURN_ON_INV_CAPITAL")/100</f>
        <v/>
      </c>
      <c r="AJ166" s="93">
        <f>BDP("=A166&amp;" US Equity"","BEST_EPS","BEST_FPERIOD_OVERRIDE","24Y")</f>
        <v/>
      </c>
      <c r="AK166" s="93">
        <f>BDP("=A166&amp;" US Equity"","BEST_EPS","BEST_FPERIOD_OVERRIDE","25Y")</f>
        <v/>
      </c>
      <c r="AL166" s="93">
        <f>BDP("=A166&amp;" US Equity"","BEST_EPS","BEST_FPERIOD_OVERRIDE","26Y")</f>
        <v/>
      </c>
      <c r="AM166" s="93">
        <f>BDP("=A166&amp;" US Equity"","BEST_EPS","BEST_FPERIOD_OVERRIDE","27Y")</f>
        <v/>
      </c>
      <c r="AN166" s="93">
        <f>BDP("=A166&amp;" US Equity"","BEST_EPS","BEST_FPERIOD_OVERRIDE","28Y")</f>
        <v/>
      </c>
      <c r="AP166" s="93">
        <f>BDP("=A166&amp;" US Equity"","BEST_SALES","BEST_FPERIOD_OVERRIDE","24Y")</f>
        <v/>
      </c>
      <c r="AQ166" s="93">
        <f>BDP("=A166&amp;" US Equity"","BEST_SALES","BEST_FPERIOD_OVERRIDE","25Y")</f>
        <v/>
      </c>
      <c r="AR166" s="93">
        <f>BDP("=A166&amp;" US Equity"","BEST_SALES","BEST_FPERIOD_OVERRIDE","26Y")</f>
        <v/>
      </c>
      <c r="AS166" s="93">
        <f>BDP("=A166&amp;" US Equity"","BEST_SALES","BEST_FPERIOD_OVERRIDE","27Y")</f>
        <v/>
      </c>
      <c r="AT166" s="93">
        <f>BDP("=A166&amp;" US Equity"","BEST_SALES","BEST_FPERIOD_OVERRIDE","28Y")</f>
        <v/>
      </c>
      <c r="AV166" s="93">
        <f>BDP("=A166&amp;" US Equity"","BEST_EBIT","BEST_FPERIOD_OVERRIDE","24Y")</f>
        <v/>
      </c>
      <c r="AW166" s="93">
        <f>BDP("=A166&amp;" US Equity"","BEST_EBIT","BEST_FPERIOD_OVERRIDE","25Y")</f>
        <v/>
      </c>
      <c r="AX166" s="93">
        <f>BDP("=A166&amp;" US Equity"","BEST_EBIT","BEST_FPERIOD_OVERRIDE","26Y")</f>
        <v/>
      </c>
      <c r="AY166" s="93">
        <f>BDP("=A166&amp;" US Equity"","BEST_EBIT","BEST_FPERIOD_OVERRIDE","27Y")</f>
        <v/>
      </c>
      <c r="AZ166" s="93">
        <f>BDP("=A166&amp;" US Equity"","BEST_EBIT","BEST_FPERIOD_OVERRIDE","28Y")</f>
        <v/>
      </c>
      <c r="BB166" s="68">
        <f>D166+BC166</f>
        <v/>
      </c>
      <c r="BC166" s="68">
        <f>AC166-AE166</f>
        <v/>
      </c>
      <c r="BD166" s="15">
        <f>D166</f>
        <v/>
      </c>
      <c r="BE166" s="99">
        <f>BDP("=A166&amp;" US Equity"","TRAIL_12M_EBITDA")</f>
        <v/>
      </c>
    </row>
    <row r="167" ht="15" customHeight="1">
      <c r="A167" t="inlineStr">
        <is>
          <t>LRCX</t>
        </is>
      </c>
      <c r="B167">
        <f>A167&amp;" US Equity"</f>
        <v/>
      </c>
      <c r="C167" s="15" t="inlineStr">
        <is>
          <t>Dec</t>
        </is>
      </c>
      <c r="D167" s="93">
        <f>BDP("=A167&amp;" US Equity"","CUR_MKT_CAP")/1000000000</f>
        <v/>
      </c>
      <c r="E167" s="94">
        <f>BDP("=A167&amp;" US Equity"","PX_LAST")</f>
        <v/>
      </c>
      <c r="F167" s="95">
        <f>IF(BDP("=A167&amp;" US Equity"","BEST_EPS","BEST_FPERIOD_OVERRIDE","26Y")&lt;&gt;0,$E$167/BDP("=A167&amp;" US Equity"","BEST_EPS","BEST_FPERIOD_OVERRIDE","26Y"),"")</f>
        <v/>
      </c>
      <c r="G167" s="95">
        <f>IF(BDP("=A167&amp;" US Equity"","BEST_EPS","BEST_FPERIOD_OVERRIDE","27Y")&lt;&gt;0,$E$167/BDP("=A167&amp;" US Equity"","BEST_EPS","BEST_FPERIOD_OVERRIDE","27Y"),"")</f>
        <v/>
      </c>
      <c r="H167" s="95">
        <f>IF(BDP("=A167&amp;" US Equity"","BEST_EPS","BEST_FPERIOD_OVERRIDE","28Y")&lt;&gt;0,$E$167/BDP("=A167&amp;" US Equity"","BEST_EPS","BEST_FPERIOD_OVERRIDE","28Y"),"")</f>
        <v/>
      </c>
      <c r="I167" s="96">
        <f>BDP("=A167&amp;" US Equity"","NET_DEBT_TO_EBITDA")</f>
        <v/>
      </c>
      <c r="J167" s="93">
        <f>BDP("=A167&amp;" US Equity"","BEST_SALES","BEST_FPERIOD_OVERRIDE","26Y")/1000</f>
        <v/>
      </c>
      <c r="K167" s="97">
        <f>IF(BDP("=A167&amp;" US Equity"","BEST_SALES","BEST_FPERIOD_OVERRIDE","26Y")&lt;&gt;0,BDP("=A167&amp;" US Equity"","BEST_EBIT","BEST_FPERIOD_OVERRIDE","26Y")/BDP("=A167&amp;" US Equity"","BEST_SALES","BEST_FPERIOD_OVERRIDE","26Y"),"")</f>
        <v/>
      </c>
      <c r="L167" s="97">
        <f>BDP("=A167&amp;" US Equity"","RETURN_ON_INV_CAPITAL")/100</f>
        <v/>
      </c>
      <c r="M167" s="97">
        <f>IF(AND(BDP("=A167&amp;" US Equity"","BEST_SALES","BEST_FPERIOD_OVERRIDE","25Y")&gt;0,BDP("=A167&amp;" US Equity"","BEST_SALES","BEST_FPERIOD_OVERRIDE","28Y")&gt;0),(BDP("=A167&amp;" US Equity"","BEST_SALES","BEST_FPERIOD_OVERRIDE","28Y")/BDP("=A167&amp;" US Equity"","BEST_SALES","BEST_FPERIOD_OVERRIDE","25Y"))^(1/3)-1,"")</f>
        <v/>
      </c>
      <c r="N167" s="97">
        <f>IF(AND(BDP("=A167&amp;" US Equity"","BEST_EBIT","BEST_FPERIOD_OVERRIDE","25Y")&gt;0,BDP("=A167&amp;" US Equity"","BEST_EBIT","BEST_FPERIOD_OVERRIDE","28Y")&gt;0),(BDP("=A167&amp;" US Equity"","BEST_EBIT","BEST_FPERIOD_OVERRIDE","28Y")/BDP("=A167&amp;" US Equity"","BEST_EBIT","BEST_FPERIOD_OVERRIDE","25Y"))^(1/3)-1,"")</f>
        <v/>
      </c>
      <c r="O167" s="97">
        <f>IF(AND(BDP("=A167&amp;" US Equity"","BEST_EPS","BEST_FPERIOD_OVERRIDE","25Y")&gt;0,BDP("=A167&amp;" US Equity"","BEST_EPS","BEST_FPERIOD_OVERRIDE","28Y")&gt;0),(BDP("=A167&amp;" US Equity"","BEST_EPS","BEST_FPERIOD_OVERRIDE","28Y")/BDP("=A167&amp;" US Equity"","BEST_EPS","BEST_FPERIOD_OVERRIDE","25Y"))^(1/3)-1,"")</f>
        <v/>
      </c>
      <c r="Q167" s="102">
        <f>BDP("=A167&amp;" US Equity"","CHG_PCT_YTD")/100</f>
        <v/>
      </c>
      <c r="T167" s="68">
        <f>IF(AND(F167&lt;&gt;"",O167&lt;&gt;"",O167&lt;&gt;0),F167/(O167*100),"")</f>
        <v/>
      </c>
      <c r="AB167" s="93">
        <f>BDP("=A167&amp;" US Equity"","TRAIL_12M_OPER_INC")</f>
        <v/>
      </c>
      <c r="AC167" s="93">
        <f>BDP("=A167&amp;" US Equity"","SHORT_AND_LONG_TERM_DEBT")</f>
        <v/>
      </c>
      <c r="AD167" s="93">
        <f>BDP("=A167&amp;" US Equity"","TOTAL_EQUITY")</f>
        <v/>
      </c>
      <c r="AE167" s="93">
        <f>BDP("=A167&amp;" US Equity"","BS_CASH_NEAR_CASH_ITEM")</f>
        <v/>
      </c>
      <c r="AF167" s="99">
        <f>BDP("=A167&amp;" US Equity"","BS_LT_INVEST")</f>
        <v/>
      </c>
      <c r="AG167" s="15">
        <f>AC167+AD167</f>
        <v/>
      </c>
      <c r="AH167" s="100">
        <f>BDP("=A167&amp;" US Equity"","RETURN_ON_INV_CAPITAL")/100</f>
        <v/>
      </c>
      <c r="AJ167" s="93">
        <f>BDP("=A167&amp;" US Equity"","BEST_EPS","BEST_FPERIOD_OVERRIDE","24Y")</f>
        <v/>
      </c>
      <c r="AK167" s="93">
        <f>BDP("=A167&amp;" US Equity"","BEST_EPS","BEST_FPERIOD_OVERRIDE","25Y")</f>
        <v/>
      </c>
      <c r="AL167" s="93">
        <f>BDP("=A167&amp;" US Equity"","BEST_EPS","BEST_FPERIOD_OVERRIDE","26Y")</f>
        <v/>
      </c>
      <c r="AM167" s="93">
        <f>BDP("=A167&amp;" US Equity"","BEST_EPS","BEST_FPERIOD_OVERRIDE","27Y")</f>
        <v/>
      </c>
      <c r="AN167" s="93">
        <f>BDP("=A167&amp;" US Equity"","BEST_EPS","BEST_FPERIOD_OVERRIDE","28Y")</f>
        <v/>
      </c>
      <c r="AP167" s="93">
        <f>BDP("=A167&amp;" US Equity"","BEST_SALES","BEST_FPERIOD_OVERRIDE","24Y")</f>
        <v/>
      </c>
      <c r="AQ167" s="93">
        <f>BDP("=A167&amp;" US Equity"","BEST_SALES","BEST_FPERIOD_OVERRIDE","25Y")</f>
        <v/>
      </c>
      <c r="AR167" s="93">
        <f>BDP("=A167&amp;" US Equity"","BEST_SALES","BEST_FPERIOD_OVERRIDE","26Y")</f>
        <v/>
      </c>
      <c r="AS167" s="93">
        <f>BDP("=A167&amp;" US Equity"","BEST_SALES","BEST_FPERIOD_OVERRIDE","27Y")</f>
        <v/>
      </c>
      <c r="AT167" s="93">
        <f>BDP("=A167&amp;" US Equity"","BEST_SALES","BEST_FPERIOD_OVERRIDE","28Y")</f>
        <v/>
      </c>
      <c r="AV167" s="93">
        <f>BDP("=A167&amp;" US Equity"","BEST_EBIT","BEST_FPERIOD_OVERRIDE","24Y")</f>
        <v/>
      </c>
      <c r="AW167" s="93">
        <f>BDP("=A167&amp;" US Equity"","BEST_EBIT","BEST_FPERIOD_OVERRIDE","25Y")</f>
        <v/>
      </c>
      <c r="AX167" s="93">
        <f>BDP("=A167&amp;" US Equity"","BEST_EBIT","BEST_FPERIOD_OVERRIDE","26Y")</f>
        <v/>
      </c>
      <c r="AY167" s="93">
        <f>BDP("=A167&amp;" US Equity"","BEST_EBIT","BEST_FPERIOD_OVERRIDE","27Y")</f>
        <v/>
      </c>
      <c r="AZ167" s="93">
        <f>BDP("=A167&amp;" US Equity"","BEST_EBIT","BEST_FPERIOD_OVERRIDE","28Y")</f>
        <v/>
      </c>
      <c r="BB167" s="68">
        <f>D167+BC167</f>
        <v/>
      </c>
      <c r="BC167" s="68">
        <f>AC167-AE167</f>
        <v/>
      </c>
      <c r="BD167" s="15">
        <f>D167</f>
        <v/>
      </c>
      <c r="BE167" s="99">
        <f>BDP("=A167&amp;" US Equity"","TRAIL_12M_EBITDA")</f>
        <v/>
      </c>
    </row>
    <row r="168"/>
    <row r="169"/>
    <row r="170">
      <c r="A170" t="inlineStr">
        <is>
          <t>USDTWD</t>
        </is>
      </c>
      <c r="B170" t="n">
        <v>32</v>
      </c>
    </row>
    <row r="171">
      <c r="A171" t="inlineStr">
        <is>
          <t>ADR rate</t>
        </is>
      </c>
      <c r="B17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Adrian Ow</dc:creator>
  <dcterms:created xmlns:dcterms="http://purl.org/dc/terms/" xmlns:xsi="http://www.w3.org/2001/XMLSchema-instance" xsi:type="dcterms:W3CDTF">2026-04-05T17:03:17Z</dcterms:created>
  <dcterms:modified xmlns:dcterms="http://purl.org/dc/terms/" xmlns:xsi="http://www.w3.org/2001/XMLSchema-instance" xsi:type="dcterms:W3CDTF">2026-04-06T02:10:38Z</dcterms:modified>
  <cp:lastModifiedBy>Adrian Ow</cp:lastModifiedBy>
</cp:coreProperties>
</file>