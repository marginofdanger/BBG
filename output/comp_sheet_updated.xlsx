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Accounting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FF"/>
      <sz val="11"/>
      <scheme val="minor"/>
    </font>
    <font>
      <name val="Calibri"/>
      <color rgb="FF0000FF"/>
      <sz val="11"/>
    </font>
    <font>
      <name val="Calibri"/>
      <color rgb="FF0000FF"/>
      <sz val="11"/>
    </font>
    <font>
      <name val="Calibri"/>
      <color rgb="FF0000FF"/>
      <sz val="1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41" fontId="2" fillId="0" borderId="0" pivotButton="0" quotePrefix="0" xfId="0"/>
    <xf numFmtId="0" fontId="4" fillId="0" borderId="0" pivotButton="0" quotePrefix="0" xfId="0"/>
    <xf numFmtId="41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7" fontId="5" fillId="0" borderId="0" pivotButton="0" quotePrefix="0" xfId="0"/>
    <xf numFmtId="4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3" fillId="0" borderId="0" pivotButton="0" quotePrefix="0" xfId="0"/>
    <xf numFmtId="4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41" fontId="2" fillId="0" borderId="0" applyAlignment="1" pivotButton="0" quotePrefix="1" xfId="0">
      <alignment horizontal="centerContinuous"/>
    </xf>
    <xf numFmtId="0" fontId="1" fillId="0" borderId="0" applyAlignment="1" pivotButton="0" quotePrefix="0" xfId="0">
      <alignment horizontal="centerContinuous"/>
    </xf>
    <xf numFmtId="41" fontId="2" fillId="0" borderId="0" applyAlignment="1" pivotButton="0" quotePrefix="0" xfId="0">
      <alignment horizontal="centerContinuous"/>
    </xf>
    <xf numFmtId="41" fontId="1" fillId="0" borderId="0" applyAlignment="1" pivotButton="0" quotePrefix="0" xfId="0">
      <alignment horizontal="centerContinuous"/>
    </xf>
    <xf numFmtId="41" fontId="4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6" fillId="0" borderId="0" applyAlignment="1" pivotButton="0" quotePrefix="0" xfId="0">
      <alignment horizontal="centerContinuous"/>
    </xf>
    <xf numFmtId="0" fontId="8" fillId="0" borderId="0" pivotButton="0" quotePrefix="0" xfId="0"/>
    <xf numFmtId="41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9" fillId="0" borderId="0" pivotButton="0" quotePrefix="0" xfId="0"/>
    <xf numFmtId="167" fontId="4" fillId="0" borderId="0" applyAlignment="1" pivotButton="0" quotePrefix="0" xfId="0">
      <alignment horizontal="right"/>
    </xf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1" fontId="10" fillId="0" borderId="0" pivotButton="0" quotePrefix="0" xfId="0"/>
    <xf numFmtId="164" fontId="10" fillId="0" borderId="0" pivotButton="0" quotePrefix="0" xfId="0"/>
    <xf numFmtId="165" fontId="10" fillId="0" borderId="0" pivotButton="0" quotePrefix="0" xfId="0"/>
    <xf numFmtId="166" fontId="10" fillId="0" borderId="0" pivotButton="0" quotePrefix="0" xfId="0"/>
    <xf numFmtId="167" fontId="10" fillId="0" borderId="0" pivotButton="0" quotePrefix="0" xfId="0"/>
    <xf numFmtId="0" fontId="10" fillId="0" borderId="0" pivotButton="0" quotePrefix="0" xfId="0"/>
    <xf numFmtId="167" fontId="9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4" fillId="0" borderId="0" applyAlignment="1" pivotButton="0" quotePrefix="0" xfId="0">
      <alignment horizontal="right"/>
    </xf>
    <xf numFmtId="167" fontId="5" fillId="0" borderId="0" pivotButton="0" quotePrefix="0" xfId="0"/>
    <xf numFmtId="168" fontId="4" fillId="0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7" fontId="7" fillId="0" borderId="0" pivotButton="0" quotePrefix="0" xfId="0"/>
    <xf numFmtId="165" fontId="7" fillId="0" borderId="0" pivotButton="0" quotePrefix="0" xfId="0"/>
    <xf numFmtId="165" fontId="9" fillId="0" borderId="0" pivotButton="0" quotePrefix="0" xfId="0"/>
    <xf numFmtId="166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62"/>
  <sheetViews>
    <sheetView tabSelected="1" zoomScale="105" zoomScaleNormal="10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baseColWidth="8" defaultRowHeight="14.25"/>
  <cols>
    <col width="15.53125" customWidth="1" min="1" max="1"/>
    <col hidden="1" outlineLevel="1" width="8" customWidth="1" min="2" max="2"/>
    <col collapsed="1" width="8.59765625" customWidth="1" min="3" max="3"/>
    <col width="8.59765625" customWidth="1" min="4" max="14"/>
    <col width="3.6640625" customWidth="1" min="15" max="15"/>
    <col width="10" customWidth="1" min="16" max="16"/>
    <col width="3.3984375" customWidth="1" min="17" max="17"/>
    <col width="4.6640625" customWidth="1" min="18" max="18"/>
    <col width="14.33203125" bestFit="1" customWidth="1" min="19" max="19"/>
    <col width="8.59765625" customWidth="1" min="20" max="20"/>
    <col width="7.06640625" customWidth="1" min="21" max="21"/>
    <col width="13" customWidth="1" min="22" max="35"/>
    <col width="5.19921875" customWidth="1" min="36" max="36"/>
    <col width="13" customWidth="1" min="37" max="40"/>
    <col width="22.73046875" customWidth="1" min="41" max="41"/>
    <col width="10.19921875" customWidth="1" min="42" max="42"/>
    <col width="13" customWidth="1" min="43" max="46"/>
    <col width="6.1328125" customWidth="1" min="47" max="47"/>
    <col width="10.19921875" customWidth="1" min="48" max="48"/>
    <col width="13" customWidth="1" min="49" max="50"/>
    <col width="8.796875" customWidth="1" min="51" max="51"/>
    <col width="13" customWidth="1" min="52" max="52"/>
    <col width="8.9296875" customWidth="1" min="53" max="53"/>
    <col width="9.33203125" customWidth="1" min="54" max="54"/>
    <col width="7.86328125" customWidth="1" min="55" max="55"/>
    <col width="7" customWidth="1" min="56" max="56"/>
    <col width="14.1328125" customWidth="1" min="57" max="57"/>
    <col width="13" customWidth="1" min="58" max="62"/>
    <col width="5" customWidth="1" min="63" max="63"/>
    <col width="13" customWidth="1" min="64" max="85"/>
  </cols>
  <sheetData>
    <row r="1" ht="16.5" customHeight="1">
      <c r="A1" s="1" t="n"/>
      <c r="B1" s="1" t="n"/>
      <c r="C1" s="1" t="n"/>
      <c r="D1" s="1" t="n"/>
      <c r="E1" s="25" t="inlineStr">
        <is>
          <t>PE</t>
        </is>
      </c>
      <c r="F1" s="25" t="n"/>
      <c r="G1" s="25" t="n"/>
      <c r="H1" s="1" t="n"/>
      <c r="I1" s="25" t="inlineStr">
        <is>
          <t>2026 estimates</t>
        </is>
      </c>
      <c r="J1" s="25" t="n"/>
      <c r="K1" s="25" t="n"/>
      <c r="L1" s="25" t="inlineStr">
        <is>
          <t>Growth: 2025-2028</t>
        </is>
      </c>
      <c r="M1" s="25" t="n"/>
      <c r="N1" s="24" t="n"/>
      <c r="O1" s="1" t="n"/>
      <c r="P1" s="1" t="n"/>
      <c r="Q1" s="1" t="n"/>
      <c r="R1" s="1" t="n"/>
      <c r="S1" s="24" t="inlineStr">
        <is>
          <t>Ratio: 2025 PE vs</t>
        </is>
      </c>
      <c r="T1" s="1" t="n"/>
      <c r="U1" s="1" t="n"/>
      <c r="V1" s="1" t="n"/>
      <c r="W1" s="1" t="n"/>
      <c r="X1" s="1" t="n"/>
      <c r="Y1" s="1" t="n"/>
      <c r="Z1" s="1" t="n"/>
      <c r="AA1" s="1" t="n"/>
      <c r="AB1" s="2" t="inlineStr">
        <is>
          <t>LTM</t>
        </is>
      </c>
      <c r="AC1" s="2" t="n"/>
      <c r="AD1" s="2" t="n"/>
      <c r="AE1" s="2" t="n"/>
      <c r="AF1" s="2" t="n"/>
      <c r="AG1" s="2" t="n"/>
      <c r="AH1" s="1" t="inlineStr">
        <is>
          <t>BBG</t>
        </is>
      </c>
      <c r="AI1" s="1" t="n"/>
      <c r="AJ1" s="1" t="inlineStr">
        <is>
          <t>EPS</t>
        </is>
      </c>
      <c r="AK1" s="1" t="n"/>
      <c r="AL1" s="1" t="n"/>
      <c r="AM1" s="1" t="n"/>
      <c r="AN1" s="1" t="n"/>
      <c r="AO1" s="1" t="n"/>
      <c r="AP1" s="1" t="inlineStr">
        <is>
          <t>Rev</t>
        </is>
      </c>
      <c r="AQ1" s="1" t="n"/>
      <c r="AR1" s="1" t="n"/>
      <c r="AS1" s="1" t="n"/>
      <c r="AT1" s="1" t="n"/>
      <c r="AU1" s="1" t="n"/>
      <c r="AV1" s="1" t="inlineStr">
        <is>
          <t>EBIT</t>
        </is>
      </c>
      <c r="AW1" s="1" t="n"/>
      <c r="AX1" s="1" t="n"/>
      <c r="AY1" s="1" t="n"/>
      <c r="AZ1" s="1" t="n"/>
      <c r="BA1" s="1" t="n"/>
      <c r="BB1" s="1" t="inlineStr">
        <is>
          <t>EV</t>
        </is>
      </c>
      <c r="BC1" s="1" t="inlineStr">
        <is>
          <t>Net Debt</t>
        </is>
      </c>
      <c r="BD1" s="1" t="inlineStr">
        <is>
          <t>Mkt cap</t>
        </is>
      </c>
      <c r="BE1" s="1" t="inlineStr">
        <is>
          <t>LTM EBITDA</t>
        </is>
      </c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</row>
    <row r="2" ht="16.5" customHeight="1">
      <c r="A2" s="1" t="n"/>
      <c r="B2" s="1" t="n"/>
      <c r="C2" s="25" t="inlineStr">
        <is>
          <t>Mkt cap</t>
        </is>
      </c>
      <c r="D2" s="25" t="inlineStr">
        <is>
          <t>Price</t>
        </is>
      </c>
      <c r="E2" s="23" t="inlineStr">
        <is>
          <t>2026</t>
        </is>
      </c>
      <c r="F2" s="23" t="inlineStr">
        <is>
          <t>2027</t>
        </is>
      </c>
      <c r="G2" s="23" t="inlineStr">
        <is>
          <t>2028</t>
        </is>
      </c>
      <c r="H2" s="25" t="inlineStr">
        <is>
          <t>Net levg</t>
        </is>
      </c>
      <c r="I2" s="25" t="inlineStr">
        <is>
          <t>Revenue</t>
        </is>
      </c>
      <c r="J2" s="25" t="inlineStr">
        <is>
          <t>Op margin</t>
        </is>
      </c>
      <c r="K2" s="25" t="inlineStr">
        <is>
          <t>ROIC</t>
        </is>
      </c>
      <c r="L2" s="25" t="inlineStr">
        <is>
          <t>Rev</t>
        </is>
      </c>
      <c r="M2" s="25" t="inlineStr">
        <is>
          <t>Op inc</t>
        </is>
      </c>
      <c r="N2" s="25" t="inlineStr">
        <is>
          <t>EPS</t>
        </is>
      </c>
      <c r="O2" s="1" t="n"/>
      <c r="P2" s="2" t="inlineStr">
        <is>
          <t>YTD px chg</t>
        </is>
      </c>
      <c r="Q2" s="1" t="n"/>
      <c r="R2" s="1" t="n"/>
      <c r="S2" s="25" t="inlineStr">
        <is>
          <t>25-28 EPS gwth</t>
        </is>
      </c>
      <c r="T2" s="1" t="n"/>
      <c r="U2" s="24" t="inlineStr">
        <is>
          <t>FYE</t>
        </is>
      </c>
      <c r="V2" s="1" t="n"/>
      <c r="W2" s="1" t="n"/>
      <c r="X2" s="1" t="n"/>
      <c r="Y2" s="1" t="n"/>
      <c r="Z2" s="1" t="n"/>
      <c r="AA2" s="1" t="n"/>
      <c r="AB2" s="2" t="inlineStr">
        <is>
          <t>Op inc</t>
        </is>
      </c>
      <c r="AC2" s="2" t="inlineStr">
        <is>
          <t>Debt</t>
        </is>
      </c>
      <c r="AD2" s="2" t="inlineStr">
        <is>
          <t>Equity</t>
        </is>
      </c>
      <c r="AE2" s="2" t="inlineStr">
        <is>
          <t>Cash</t>
        </is>
      </c>
      <c r="AF2" s="2" t="inlineStr">
        <is>
          <t>LTI</t>
        </is>
      </c>
      <c r="AG2" s="2" t="inlineStr">
        <is>
          <t>Total capital</t>
        </is>
      </c>
      <c r="AH2" s="2" t="inlineStr">
        <is>
          <t>ROIC</t>
        </is>
      </c>
      <c r="AI2" s="1" t="n"/>
      <c r="AJ2" s="1" t="n">
        <v>2024</v>
      </c>
      <c r="AK2" s="1" t="n">
        <v>2025</v>
      </c>
      <c r="AL2" s="1" t="n">
        <v>2026</v>
      </c>
      <c r="AM2" s="1" t="n">
        <v>2027</v>
      </c>
      <c r="AN2" s="1" t="n">
        <v>2028</v>
      </c>
      <c r="AO2" s="1" t="n"/>
      <c r="AP2" s="1" t="n">
        <v>2024</v>
      </c>
      <c r="AQ2" s="1" t="n">
        <v>2025</v>
      </c>
      <c r="AR2" s="1" t="n">
        <v>2026</v>
      </c>
      <c r="AS2" s="1" t="n">
        <v>2027</v>
      </c>
      <c r="AT2" s="1" t="n">
        <v>2028</v>
      </c>
      <c r="AU2" s="1" t="n"/>
      <c r="AV2" s="1" t="n">
        <v>2024</v>
      </c>
      <c r="AW2" s="1" t="n">
        <v>2025</v>
      </c>
      <c r="AX2" s="1" t="n">
        <v>2026</v>
      </c>
      <c r="AY2" s="1" t="n">
        <v>2027</v>
      </c>
      <c r="AZ2" s="1" t="n">
        <v>2028</v>
      </c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</row>
    <row r="3">
      <c r="A3" s="3" t="inlineStr">
        <is>
          <t>Large-cap technology</t>
        </is>
      </c>
      <c r="B3" s="1" t="n"/>
      <c r="C3" s="4" t="n"/>
      <c r="D3" s="38" t="n"/>
      <c r="E3" s="39" t="n"/>
      <c r="F3" s="39" t="n"/>
      <c r="G3" s="39" t="n"/>
      <c r="H3" s="40" t="n"/>
      <c r="I3" s="41" t="n"/>
      <c r="J3" s="41" t="n"/>
      <c r="K3" s="41" t="n"/>
      <c r="L3" s="41" t="n"/>
      <c r="M3" s="41" t="n"/>
      <c r="N3" s="41" t="n"/>
      <c r="O3" s="1" t="n"/>
      <c r="P3" s="1" t="n"/>
      <c r="Q3" s="1" t="n"/>
      <c r="R3" s="1" t="n"/>
      <c r="S3" s="1" t="n"/>
      <c r="T3" s="1" t="n"/>
      <c r="U3" s="4" t="inlineStr">
        <is>
          <t xml:space="preserve"> </t>
        </is>
      </c>
      <c r="V3" s="1" t="n"/>
      <c r="W3" s="1" t="n"/>
      <c r="X3" s="1" t="n"/>
      <c r="Y3" s="1" t="n"/>
      <c r="Z3" s="1" t="n"/>
      <c r="AA3" s="1" t="n"/>
      <c r="AB3" s="4" t="n"/>
      <c r="AC3" s="4" t="n"/>
      <c r="AD3" s="4" t="n"/>
      <c r="AE3" s="4" t="n"/>
      <c r="AF3" s="4" t="n"/>
      <c r="AG3" s="4" t="n"/>
      <c r="AH3" s="41" t="n"/>
      <c r="AI3" s="1" t="n"/>
      <c r="AJ3" s="4" t="n"/>
      <c r="AK3" s="4" t="n"/>
      <c r="AL3" s="4" t="n"/>
      <c r="AM3" s="4" t="n"/>
      <c r="AN3" s="4" t="n"/>
      <c r="AO3" s="1" t="n"/>
      <c r="AP3" s="4" t="n"/>
      <c r="AQ3" s="4" t="n"/>
      <c r="AR3" s="4" t="n"/>
      <c r="AS3" s="4" t="n"/>
      <c r="AT3" s="4" t="n"/>
      <c r="AU3" s="1" t="n"/>
      <c r="AV3" s="4" t="n"/>
      <c r="AW3" s="4" t="n"/>
      <c r="AX3" s="4" t="n"/>
      <c r="AY3" s="4" t="n"/>
      <c r="AZ3" s="4" t="n"/>
      <c r="BA3" s="1" t="n"/>
      <c r="BB3" s="42" t="n"/>
      <c r="BC3" s="42" t="n"/>
      <c r="BD3" s="4" t="n"/>
      <c r="BE3" s="4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</row>
    <row r="4">
      <c r="A4" s="1" t="inlineStr">
        <is>
          <t>META</t>
        </is>
      </c>
      <c r="B4" s="1" t="inlineStr">
        <is>
          <t>META US Equity</t>
        </is>
      </c>
      <c r="C4" s="43">
        <f>BDP($B$4,"CUR_MKT_CAP")/1000000000</f>
        <v/>
      </c>
      <c r="D4" s="44">
        <f>BDP($B$4,"PX_LAST")</f>
        <v/>
      </c>
      <c r="E4" s="45">
        <f>IF(BDP($B$4,"BEST_EPS","BEST_FPERIOD_OVERRIDE","26Y")&lt;&gt;0,$D$4/BDP($B$4,"BEST_EPS","BEST_FPERIOD_OVERRIDE","26Y"),"")</f>
        <v/>
      </c>
      <c r="F4" s="45">
        <f>IF(BDP($B$4,"BEST_EPS","BEST_FPERIOD_OVERRIDE","27Y")&lt;&gt;0,$D$4/BDP($B$4,"BEST_EPS","BEST_FPERIOD_OVERRIDE","27Y"),"")</f>
        <v/>
      </c>
      <c r="G4" s="45">
        <f>IF(BDP($B$4,"BEST_EPS","BEST_FPERIOD_OVERRIDE","28Y")&lt;&gt;0,$D$4/BDP($B$4,"BEST_EPS","BEST_FPERIOD_OVERRIDE","28Y"),"")</f>
        <v/>
      </c>
      <c r="H4" s="46">
        <f>BDP($B$4,"NET_DEBT_TO_EBITDA")</f>
        <v/>
      </c>
      <c r="I4" s="43">
        <f>BDP($B$4,"BEST_SALES","BEST_FPERIOD_OVERRIDE","26Y")/1000</f>
        <v/>
      </c>
      <c r="J4" s="47">
        <f>IF(BDP($B$4,"BEST_SALES","BEST_FPERIOD_OVERRIDE","26Y")&lt;&gt;0,BDP($B$4,"BEST_EBIT","BEST_FPERIOD_OVERRIDE","26Y")/BDP($B$4,"BEST_SALES","BEST_FPERIOD_OVERRIDE","26Y"),"")</f>
        <v/>
      </c>
      <c r="K4" s="47">
        <f>BDP($B$4,"RETURN_ON_INV_CAPITAL")/100</f>
        <v/>
      </c>
      <c r="L4" s="47">
        <f>IF(AND(BDP($B$4,"BEST_SALES","BEST_FPERIOD_OVERRIDE","25Y")&gt;0,BDP($B$4,"BEST_SALES","BEST_FPERIOD_OVERRIDE","28Y")&gt;0),(BDP($B$4,"BEST_SALES","BEST_FPERIOD_OVERRIDE","28Y")/BDP($B$4,"BEST_SALES","BEST_FPERIOD_OVERRIDE","25Y"))^(1/3)-1,"")</f>
        <v/>
      </c>
      <c r="M4" s="47">
        <f>IF(AND(BDP($B$4,"BEST_EBIT","BEST_FPERIOD_OVERRIDE","25Y")&gt;0,BDP($B$4,"BEST_EBIT","BEST_FPERIOD_OVERRIDE","28Y")&gt;0),(BDP($B$4,"BEST_EBIT","BEST_FPERIOD_OVERRIDE","28Y")/BDP($B$4,"BEST_EBIT","BEST_FPERIOD_OVERRIDE","25Y"))^(1/3)-1,"")</f>
        <v/>
      </c>
      <c r="N4" s="47">
        <f>IF(AND(BDP($B$4,"BEST_EPS","BEST_FPERIOD_OVERRIDE","25Y")&gt;0,BDP($B$4,"BEST_EPS","BEST_FPERIOD_OVERRIDE","28Y")&gt;0),(BDP($B$4,"BEST_EPS","BEST_FPERIOD_OVERRIDE","28Y")/BDP($B$4,"BEST_EPS","BEST_FPERIOD_OVERRIDE","25Y"))^(1/3)-1,"")</f>
        <v/>
      </c>
      <c r="O4" s="1" t="n"/>
      <c r="P4" s="47">
        <f>BDP($B$4,"CHG_PCT_YTD")/100</f>
        <v/>
      </c>
      <c r="Q4" s="1" t="n"/>
      <c r="R4" s="1" t="n"/>
      <c r="S4" s="42">
        <f>IF(AND(E4&lt;&gt;"",N4&lt;&gt;"",N4&lt;&gt;0),E4/(N4*100),"")</f>
        <v/>
      </c>
      <c r="T4" s="1" t="n"/>
      <c r="U4" s="26" t="inlineStr">
        <is>
          <t>Dec</t>
        </is>
      </c>
      <c r="V4" s="1" t="n"/>
      <c r="W4" s="1" t="n"/>
      <c r="X4" s="1" t="n"/>
      <c r="Y4" s="1" t="n"/>
      <c r="Z4" s="1" t="n"/>
      <c r="AA4" s="48">
        <f>BDP($B$4,"TRAIL_12M_OPER_INC")</f>
        <v/>
      </c>
      <c r="AB4" s="43">
        <f>BDP($B$4,"SHORT_AND_LONG_TERM_DEBT")</f>
        <v/>
      </c>
      <c r="AC4" s="43">
        <f>BDP($B$4,"TOTAL_EQUITY")</f>
        <v/>
      </c>
      <c r="AD4" s="43">
        <f>BDP($B$4,"BS_CASH_NEAR_CASH_ITEM")</f>
        <v/>
      </c>
      <c r="AE4" s="43">
        <f>BDP($B$4,"BS_LT_INVEST")</f>
        <v/>
      </c>
      <c r="AF4" s="31">
        <f>AB4+AC4</f>
        <v/>
      </c>
      <c r="AG4" s="43">
        <f>BDP($B$4,"RETURN_ON_INV_CAPITAL")/100</f>
        <v/>
      </c>
      <c r="AH4" s="49" t="n"/>
      <c r="AI4" s="48">
        <f>BDP($B$4,"BEST_EPS","BEST_FPERIOD_OVERRIDE","24Y")</f>
        <v/>
      </c>
      <c r="AJ4" s="43">
        <f>BDP($B$4,"BEST_EPS","BEST_FPERIOD_OVERRIDE","25Y")</f>
        <v/>
      </c>
      <c r="AK4" s="43">
        <f>BDP($B$4,"BEST_EPS","BEST_FPERIOD_OVERRIDE","26Y")</f>
        <v/>
      </c>
      <c r="AL4" s="43">
        <f>BDP($B$4,"BEST_EPS","BEST_FPERIOD_OVERRIDE","27Y")</f>
        <v/>
      </c>
      <c r="AM4" s="43">
        <f>BDP($B$4,"BEST_EPS","BEST_FPERIOD_OVERRIDE","28Y")</f>
        <v/>
      </c>
      <c r="AN4" s="31" t="n"/>
      <c r="AO4" s="48">
        <f>BDP($B$4,"BEST_SALES","BEST_FPERIOD_OVERRIDE","24Y")</f>
        <v/>
      </c>
      <c r="AP4" s="43">
        <f>BDP($B$4,"BEST_SALES","BEST_FPERIOD_OVERRIDE","25Y")</f>
        <v/>
      </c>
      <c r="AQ4" s="43">
        <f>BDP($B$4,"BEST_SALES","BEST_FPERIOD_OVERRIDE","26Y")</f>
        <v/>
      </c>
      <c r="AR4" s="43">
        <f>BDP($B$4,"BEST_SALES","BEST_FPERIOD_OVERRIDE","27Y")</f>
        <v/>
      </c>
      <c r="AS4" s="43">
        <f>BDP($B$4,"BEST_SALES","BEST_FPERIOD_OVERRIDE","28Y")</f>
        <v/>
      </c>
      <c r="AT4" s="31" t="n"/>
      <c r="AU4" s="48">
        <f>BDP($B$4,"BEST_EBIT","BEST_FPERIOD_OVERRIDE","24Y")</f>
        <v/>
      </c>
      <c r="AV4" s="43">
        <f>BDP($B$4,"BEST_EBIT","BEST_FPERIOD_OVERRIDE","25Y")</f>
        <v/>
      </c>
      <c r="AW4" s="43">
        <f>BDP($B$4,"BEST_EBIT","BEST_FPERIOD_OVERRIDE","26Y")</f>
        <v/>
      </c>
      <c r="AX4" s="43">
        <f>BDP($B$4,"BEST_EBIT","BEST_FPERIOD_OVERRIDE","27Y")</f>
        <v/>
      </c>
      <c r="AY4" s="43">
        <f>BDP($B$4,"BEST_EBIT","BEST_FPERIOD_OVERRIDE","28Y")</f>
        <v/>
      </c>
      <c r="AZ4" s="31" t="n"/>
      <c r="BA4" s="1">
        <f>C4+BD4</f>
        <v/>
      </c>
      <c r="BB4" s="42">
        <f>AB4-AD4</f>
        <v/>
      </c>
      <c r="BC4" s="42">
        <f>C4</f>
        <v/>
      </c>
      <c r="BD4" s="43">
        <f>BDP($B$4,"TRAIL_12M_EBITDA")</f>
        <v/>
      </c>
      <c r="BE4" s="43">
        <f>_xll.BDP("META US Equity","TRAIL_12M_EBITDA")</f>
        <v/>
      </c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</row>
    <row r="5">
      <c r="A5" s="1" t="inlineStr">
        <is>
          <t>TSM</t>
        </is>
      </c>
      <c r="B5" s="1" t="inlineStr">
        <is>
          <t>TSM US Equity</t>
        </is>
      </c>
      <c r="C5" s="43">
        <f>BDP($B$5,"CUR_MKT_CAP")/1000000000</f>
        <v/>
      </c>
      <c r="D5" s="44">
        <f>BDP($B$5,"PX_LAST")</f>
        <v/>
      </c>
      <c r="E5" s="45">
        <f>IF(BDP($B$5,"BEST_EPS","BEST_FPERIOD_OVERRIDE","26Y","EQY_FUND_CRNCY","USD")&lt;&gt;0,$D$5/BDP($B$5,"BEST_EPS","BEST_FPERIOD_OVERRIDE","26Y","EQY_FUND_CRNCY","USD"),"")</f>
        <v/>
      </c>
      <c r="F5" s="45">
        <f>IF(BDP($B$5,"BEST_EPS","BEST_FPERIOD_OVERRIDE","27Y","EQY_FUND_CRNCY","USD")&lt;&gt;0,$D$5/BDP($B$5,"BEST_EPS","BEST_FPERIOD_OVERRIDE","27Y","EQY_FUND_CRNCY","USD"),"")</f>
        <v/>
      </c>
      <c r="G5" s="45">
        <f>IF(BDP($B$5,"BEST_EPS","BEST_FPERIOD_OVERRIDE","28Y","EQY_FUND_CRNCY","USD")&lt;&gt;0,$D$5/BDP($B$5,"BEST_EPS","BEST_FPERIOD_OVERRIDE","28Y","EQY_FUND_CRNCY","USD"),"")</f>
        <v/>
      </c>
      <c r="H5" s="46">
        <f>BDP($B$5,"NET_DEBT_TO_EBITDA")</f>
        <v/>
      </c>
      <c r="I5" s="43">
        <f>BDP($B$5,"BEST_SALES","BEST_FPERIOD_OVERRIDE","26Y","EQY_FUND_CRNCY","USD")/1000</f>
        <v/>
      </c>
      <c r="J5" s="47">
        <f>IF(BDP($B$5,"BEST_SALES","BEST_FPERIOD_OVERRIDE","26Y","EQY_FUND_CRNCY","USD")&lt;&gt;0,BDP($B$5,"BEST_EBIT","BEST_FPERIOD_OVERRIDE","26Y","EQY_FUND_CRNCY","USD")/BDP($B$5,"BEST_SALES","BEST_FPERIOD_OVERRIDE","26Y","EQY_FUND_CRNCY","USD"),"")</f>
        <v/>
      </c>
      <c r="K5" s="47">
        <f>BDP($B$5,"RETURN_ON_INV_CAPITAL")/100</f>
        <v/>
      </c>
      <c r="L5" s="47">
        <f>IF(AND(BDP($B$5,"BEST_SALES","BEST_FPERIOD_OVERRIDE","25Y","EQY_FUND_CRNCY","USD")&gt;0,BDP($B$5,"BEST_SALES","BEST_FPERIOD_OVERRIDE","28Y","EQY_FUND_CRNCY","USD")&gt;0),(BDP($B$5,"BEST_SALES","BEST_FPERIOD_OVERRIDE","28Y","EQY_FUND_CRNCY","USD")/BDP($B$5,"BEST_SALES","BEST_FPERIOD_OVERRIDE","25Y","EQY_FUND_CRNCY","USD"))^(1/3)-1,"")</f>
        <v/>
      </c>
      <c r="M5" s="47">
        <f>IF(AND(BDP($B$5,"BEST_EBIT","BEST_FPERIOD_OVERRIDE","25Y","EQY_FUND_CRNCY","USD")&gt;0,BDP($B$5,"BEST_EBIT","BEST_FPERIOD_OVERRIDE","28Y","EQY_FUND_CRNCY","USD")&gt;0),(BDP($B$5,"BEST_EBIT","BEST_FPERIOD_OVERRIDE","28Y","EQY_FUND_CRNCY","USD")/BDP($B$5,"BEST_EBIT","BEST_FPERIOD_OVERRIDE","25Y","EQY_FUND_CRNCY","USD"))^(1/3)-1,"")</f>
        <v/>
      </c>
      <c r="N5" s="47">
        <f>IF(AND(BDP($B$5,"BEST_EPS","BEST_FPERIOD_OVERRIDE","25Y","EQY_FUND_CRNCY","USD")&gt;0,BDP($B$5,"BEST_EPS","BEST_FPERIOD_OVERRIDE","28Y","EQY_FUND_CRNCY","USD")&gt;0),(BDP($B$5,"BEST_EPS","BEST_FPERIOD_OVERRIDE","28Y","EQY_FUND_CRNCY","USD")/BDP($B$5,"BEST_EPS","BEST_FPERIOD_OVERRIDE","25Y","EQY_FUND_CRNCY","USD"))^(1/3)-1,"")</f>
        <v/>
      </c>
      <c r="O5" s="1" t="n"/>
      <c r="P5" s="47">
        <f>BDP($B$5,"CHG_PCT_YTD")/100</f>
        <v/>
      </c>
      <c r="Q5" s="1" t="n"/>
      <c r="R5" s="1" t="n"/>
      <c r="S5" s="42">
        <f>IF(AND(E5&lt;&gt;"",N5&lt;&gt;"",N5&lt;&gt;0),E5/(N5*100),"")</f>
        <v/>
      </c>
      <c r="T5" s="1" t="n"/>
      <c r="U5" s="26" t="inlineStr">
        <is>
          <t>Dec</t>
        </is>
      </c>
      <c r="V5" s="1" t="n"/>
      <c r="W5" s="1" t="n"/>
      <c r="X5" s="1" t="n"/>
      <c r="Y5" s="1" t="n"/>
      <c r="Z5" s="1" t="n"/>
      <c r="AA5" s="48">
        <f>BDP($B$5,"TRAIL_12M_OPER_INC")</f>
        <v/>
      </c>
      <c r="AB5" s="43">
        <f>BDP($B$5,"SHORT_AND_LONG_TERM_DEBT")</f>
        <v/>
      </c>
      <c r="AC5" s="43">
        <f>BDP($B$5,"TOTAL_EQUITY")</f>
        <v/>
      </c>
      <c r="AD5" s="43">
        <f>BDP($B$5,"BS_CASH_NEAR_CASH_ITEM")</f>
        <v/>
      </c>
      <c r="AE5" s="43">
        <f>BDP($B$5,"BS_LT_INVEST")</f>
        <v/>
      </c>
      <c r="AF5" s="31">
        <f>AB5+AC5</f>
        <v/>
      </c>
      <c r="AG5" s="43">
        <f>BDP($B$5,"RETURN_ON_INV_CAPITAL")/100</f>
        <v/>
      </c>
      <c r="AH5" s="49" t="n"/>
      <c r="AI5" s="48">
        <f>BDP($B$5,"BEST_EPS","BEST_FPERIOD_OVERRIDE","24Y","EQY_FUND_CRNCY","USD")</f>
        <v/>
      </c>
      <c r="AJ5" s="43">
        <f>BDP($B$5,"BEST_EPS","BEST_FPERIOD_OVERRIDE","25Y","EQY_FUND_CRNCY","USD")</f>
        <v/>
      </c>
      <c r="AK5" s="43">
        <f>BDP($B$5,"BEST_EPS","BEST_FPERIOD_OVERRIDE","26Y","EQY_FUND_CRNCY","USD")</f>
        <v/>
      </c>
      <c r="AL5" s="43">
        <f>BDP($B$5,"BEST_EPS","BEST_FPERIOD_OVERRIDE","27Y","EQY_FUND_CRNCY","USD")</f>
        <v/>
      </c>
      <c r="AM5" s="43">
        <f>BDP($B$5,"BEST_EPS","BEST_FPERIOD_OVERRIDE","28Y","EQY_FUND_CRNCY","USD")</f>
        <v/>
      </c>
      <c r="AN5" s="31" t="n"/>
      <c r="AO5" s="48">
        <f>BDP($B$5,"BEST_SALES","BEST_FPERIOD_OVERRIDE","24Y","EQY_FUND_CRNCY","USD")</f>
        <v/>
      </c>
      <c r="AP5" s="43">
        <f>BDP($B$5,"BEST_SALES","BEST_FPERIOD_OVERRIDE","25Y","EQY_FUND_CRNCY","USD")</f>
        <v/>
      </c>
      <c r="AQ5" s="43">
        <f>BDP($B$5,"BEST_SALES","BEST_FPERIOD_OVERRIDE","26Y","EQY_FUND_CRNCY","USD")</f>
        <v/>
      </c>
      <c r="AR5" s="43">
        <f>BDP($B$5,"BEST_SALES","BEST_FPERIOD_OVERRIDE","27Y","EQY_FUND_CRNCY","USD")</f>
        <v/>
      </c>
      <c r="AS5" s="43">
        <f>BDP($B$5,"BEST_SALES","BEST_FPERIOD_OVERRIDE","28Y","EQY_FUND_CRNCY","USD")</f>
        <v/>
      </c>
      <c r="AT5" s="31" t="n"/>
      <c r="AU5" s="48">
        <f>BDP($B$5,"BEST_EBIT","BEST_FPERIOD_OVERRIDE","24Y","EQY_FUND_CRNCY","USD")</f>
        <v/>
      </c>
      <c r="AV5" s="43">
        <f>BDP($B$5,"BEST_EBIT","BEST_FPERIOD_OVERRIDE","25Y","EQY_FUND_CRNCY","USD")</f>
        <v/>
      </c>
      <c r="AW5" s="43">
        <f>BDP($B$5,"BEST_EBIT","BEST_FPERIOD_OVERRIDE","26Y","EQY_FUND_CRNCY","USD")</f>
        <v/>
      </c>
      <c r="AX5" s="43">
        <f>BDP($B$5,"BEST_EBIT","BEST_FPERIOD_OVERRIDE","27Y","EQY_FUND_CRNCY","USD")</f>
        <v/>
      </c>
      <c r="AY5" s="43">
        <f>BDP($B$5,"BEST_EBIT","BEST_FPERIOD_OVERRIDE","28Y","EQY_FUND_CRNCY","USD")</f>
        <v/>
      </c>
      <c r="AZ5" s="31" t="n"/>
      <c r="BA5" s="1">
        <f>C5+BD5</f>
        <v/>
      </c>
      <c r="BB5" s="42">
        <f>AB5-AD5</f>
        <v/>
      </c>
      <c r="BC5" s="42">
        <f>C5</f>
        <v/>
      </c>
      <c r="BD5" s="43">
        <f>BDP($B$5,"TRAIL_12M_EBITDA")</f>
        <v/>
      </c>
      <c r="BE5" s="43">
        <f>_xll.BDP("TSM US Equity","TRAIL_12M_EBITDA")</f>
        <v/>
      </c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</row>
    <row r="6">
      <c r="A6" s="1" t="inlineStr">
        <is>
          <t>AMZN</t>
        </is>
      </c>
      <c r="B6" s="1" t="inlineStr">
        <is>
          <t>AMZN US Equity</t>
        </is>
      </c>
      <c r="C6" s="43">
        <f>BDP($B$6,"CUR_MKT_CAP")/1000000000</f>
        <v/>
      </c>
      <c r="D6" s="44">
        <f>BDP($B$6,"PX_LAST")</f>
        <v/>
      </c>
      <c r="E6" s="45">
        <f>IF(BDP($B$6,"BEST_EPS","BEST_FPERIOD_OVERRIDE","26Y")&lt;&gt;0,$D$6/BDP($B$6,"BEST_EPS","BEST_FPERIOD_OVERRIDE","26Y"),"")</f>
        <v/>
      </c>
      <c r="F6" s="45">
        <f>IF(BDP($B$6,"BEST_EPS","BEST_FPERIOD_OVERRIDE","27Y")&lt;&gt;0,$D$6/BDP($B$6,"BEST_EPS","BEST_FPERIOD_OVERRIDE","27Y"),"")</f>
        <v/>
      </c>
      <c r="G6" s="45">
        <f>IF(BDP($B$6,"BEST_EPS","BEST_FPERIOD_OVERRIDE","28Y")&lt;&gt;0,$D$6/BDP($B$6,"BEST_EPS","BEST_FPERIOD_OVERRIDE","28Y"),"")</f>
        <v/>
      </c>
      <c r="H6" s="46">
        <f>BDP($B$6,"NET_DEBT_TO_EBITDA")</f>
        <v/>
      </c>
      <c r="I6" s="43">
        <f>BDP($B$6,"BEST_SALES","BEST_FPERIOD_OVERRIDE","26Y")/1000</f>
        <v/>
      </c>
      <c r="J6" s="47">
        <f>IF(BDP($B$6,"BEST_SALES","BEST_FPERIOD_OVERRIDE","26Y")&lt;&gt;0,BDP($B$6,"BEST_EBIT","BEST_FPERIOD_OVERRIDE","26Y")/BDP($B$6,"BEST_SALES","BEST_FPERIOD_OVERRIDE","26Y"),"")</f>
        <v/>
      </c>
      <c r="K6" s="47">
        <f>BDP($B$6,"RETURN_ON_INV_CAPITAL")/100</f>
        <v/>
      </c>
      <c r="L6" s="47">
        <f>IF(AND(BDP($B$6,"BEST_SALES","BEST_FPERIOD_OVERRIDE","25Y")&gt;0,BDP($B$6,"BEST_SALES","BEST_FPERIOD_OVERRIDE","28Y")&gt;0),(BDP($B$6,"BEST_SALES","BEST_FPERIOD_OVERRIDE","28Y")/BDP($B$6,"BEST_SALES","BEST_FPERIOD_OVERRIDE","25Y"))^(1/3)-1,"")</f>
        <v/>
      </c>
      <c r="M6" s="47">
        <f>IF(AND(BDP($B$6,"BEST_EBIT","BEST_FPERIOD_OVERRIDE","25Y")&gt;0,BDP($B$6,"BEST_EBIT","BEST_FPERIOD_OVERRIDE","28Y")&gt;0),(BDP($B$6,"BEST_EBIT","BEST_FPERIOD_OVERRIDE","28Y")/BDP($B$6,"BEST_EBIT","BEST_FPERIOD_OVERRIDE","25Y"))^(1/3)-1,"")</f>
        <v/>
      </c>
      <c r="N6" s="47">
        <f>IF(AND(BDP($B$6,"BEST_EPS","BEST_FPERIOD_OVERRIDE","25Y")&gt;0,BDP($B$6,"BEST_EPS","BEST_FPERIOD_OVERRIDE","28Y")&gt;0),(BDP($B$6,"BEST_EPS","BEST_FPERIOD_OVERRIDE","28Y")/BDP($B$6,"BEST_EPS","BEST_FPERIOD_OVERRIDE","25Y"))^(1/3)-1,"")</f>
        <v/>
      </c>
      <c r="O6" s="1" t="n"/>
      <c r="P6" s="47">
        <f>BDP($B$6,"CHG_PCT_YTD")/100</f>
        <v/>
      </c>
      <c r="Q6" s="1" t="n"/>
      <c r="R6" s="1" t="n"/>
      <c r="S6" s="42">
        <f>IF(AND(E6&lt;&gt;"",N6&lt;&gt;"",N6&lt;&gt;0),E6/(N6*100),"")</f>
        <v/>
      </c>
      <c r="T6" s="1" t="n"/>
      <c r="U6" s="26" t="inlineStr">
        <is>
          <t>Dec</t>
        </is>
      </c>
      <c r="V6" s="1" t="n"/>
      <c r="W6" s="1" t="n"/>
      <c r="X6" s="1" t="n"/>
      <c r="Y6" s="1" t="n"/>
      <c r="Z6" s="1" t="n"/>
      <c r="AA6" s="48">
        <f>BDP($B$6,"TRAIL_12M_OPER_INC")</f>
        <v/>
      </c>
      <c r="AB6" s="43">
        <f>BDP($B$6,"SHORT_AND_LONG_TERM_DEBT")</f>
        <v/>
      </c>
      <c r="AC6" s="43">
        <f>BDP($B$6,"TOTAL_EQUITY")</f>
        <v/>
      </c>
      <c r="AD6" s="43">
        <f>BDP($B$6,"BS_CASH_NEAR_CASH_ITEM")</f>
        <v/>
      </c>
      <c r="AE6" s="43">
        <f>BDP($B$6,"BS_LT_INVEST")</f>
        <v/>
      </c>
      <c r="AF6" s="31">
        <f>AB6+AC6</f>
        <v/>
      </c>
      <c r="AG6" s="43">
        <f>BDP($B$6,"RETURN_ON_INV_CAPITAL")/100</f>
        <v/>
      </c>
      <c r="AH6" s="49" t="n"/>
      <c r="AI6" s="48">
        <f>BDP($B$6,"BEST_EPS","BEST_FPERIOD_OVERRIDE","24Y")</f>
        <v/>
      </c>
      <c r="AJ6" s="43">
        <f>BDP($B$6,"BEST_EPS","BEST_FPERIOD_OVERRIDE","25Y")</f>
        <v/>
      </c>
      <c r="AK6" s="43">
        <f>BDP($B$6,"BEST_EPS","BEST_FPERIOD_OVERRIDE","26Y")</f>
        <v/>
      </c>
      <c r="AL6" s="43">
        <f>BDP($B$6,"BEST_EPS","BEST_FPERIOD_OVERRIDE","27Y")</f>
        <v/>
      </c>
      <c r="AM6" s="43">
        <f>BDP($B$6,"BEST_EPS","BEST_FPERIOD_OVERRIDE","28Y")</f>
        <v/>
      </c>
      <c r="AN6" s="31" t="n"/>
      <c r="AO6" s="48">
        <f>BDP($B$6,"BEST_SALES","BEST_FPERIOD_OVERRIDE","24Y")</f>
        <v/>
      </c>
      <c r="AP6" s="43">
        <f>BDP($B$6,"BEST_SALES","BEST_FPERIOD_OVERRIDE","25Y")</f>
        <v/>
      </c>
      <c r="AQ6" s="43">
        <f>BDP($B$6,"BEST_SALES","BEST_FPERIOD_OVERRIDE","26Y")</f>
        <v/>
      </c>
      <c r="AR6" s="43">
        <f>BDP($B$6,"BEST_SALES","BEST_FPERIOD_OVERRIDE","27Y")</f>
        <v/>
      </c>
      <c r="AS6" s="43">
        <f>BDP($B$6,"BEST_SALES","BEST_FPERIOD_OVERRIDE","28Y")</f>
        <v/>
      </c>
      <c r="AT6" s="31" t="n"/>
      <c r="AU6" s="48">
        <f>BDP($B$6,"BEST_EBIT","BEST_FPERIOD_OVERRIDE","24Y")</f>
        <v/>
      </c>
      <c r="AV6" s="43">
        <f>BDP($B$6,"BEST_EBIT","BEST_FPERIOD_OVERRIDE","25Y")</f>
        <v/>
      </c>
      <c r="AW6" s="43">
        <f>BDP($B$6,"BEST_EBIT","BEST_FPERIOD_OVERRIDE","26Y")</f>
        <v/>
      </c>
      <c r="AX6" s="43">
        <f>BDP($B$6,"BEST_EBIT","BEST_FPERIOD_OVERRIDE","27Y")</f>
        <v/>
      </c>
      <c r="AY6" s="43">
        <f>BDP($B$6,"BEST_EBIT","BEST_FPERIOD_OVERRIDE","28Y")</f>
        <v/>
      </c>
      <c r="AZ6" s="31" t="n"/>
      <c r="BA6" s="1">
        <f>C6+BD6</f>
        <v/>
      </c>
      <c r="BB6" s="42">
        <f>AB6-AD6</f>
        <v/>
      </c>
      <c r="BC6" s="42">
        <f>C6</f>
        <v/>
      </c>
      <c r="BD6" s="43">
        <f>BDP($B$6,"TRAIL_12M_EBITDA")</f>
        <v/>
      </c>
      <c r="BE6" s="43">
        <f>_xll.BDP("AMZN US Equity","TRAIL_12M_EBITDA")</f>
        <v/>
      </c>
      <c r="BF6" s="1" t="n"/>
      <c r="BG6" s="1" t="n"/>
      <c r="BH6" s="1" t="n"/>
      <c r="BI6" s="1" t="n"/>
      <c r="BJ6" s="1" t="n"/>
      <c r="BK6" s="1" t="n"/>
      <c r="BL6" s="1" t="n"/>
      <c r="BM6" s="1" t="n"/>
      <c r="BN6" s="1" t="n"/>
      <c r="BO6" s="1" t="n"/>
      <c r="BP6" s="1" t="n"/>
      <c r="BQ6" s="1" t="n"/>
      <c r="BR6" s="1" t="n"/>
      <c r="BS6" s="1" t="n"/>
      <c r="BT6" s="1" t="n"/>
      <c r="BU6" s="1" t="n"/>
      <c r="BV6" s="1" t="n"/>
      <c r="BW6" s="1" t="n"/>
      <c r="BX6" s="1" t="n"/>
      <c r="BY6" s="1" t="n"/>
      <c r="BZ6" s="1" t="n"/>
      <c r="CA6" s="1" t="n"/>
      <c r="CB6" s="1" t="n"/>
      <c r="CC6" s="1" t="n"/>
      <c r="CD6" s="1" t="n"/>
      <c r="CE6" s="1" t="n"/>
      <c r="CF6" s="1" t="n"/>
      <c r="CG6" s="1" t="n"/>
    </row>
    <row r="7">
      <c r="A7" s="1" t="inlineStr">
        <is>
          <t>NVDA</t>
        </is>
      </c>
      <c r="B7" s="1" t="inlineStr">
        <is>
          <t>NVDA US Equity</t>
        </is>
      </c>
      <c r="C7" s="43">
        <f>BDP($B$7,"CUR_MKT_CAP")/1000000000</f>
        <v/>
      </c>
      <c r="D7" s="44">
        <f>BDP($B$7,"PX_LAST")</f>
        <v/>
      </c>
      <c r="E7" s="45">
        <f>IF(BDP($B$7,"BEST_EPS","BEST_FPERIOD_OVERRIDE","27Y")&lt;&gt;0,$D$7/BDP($B$7,"BEST_EPS","BEST_FPERIOD_OVERRIDE","27Y"),"")</f>
        <v/>
      </c>
      <c r="F7" s="45">
        <f>IF(BDP($B$7,"BEST_EPS","BEST_FPERIOD_OVERRIDE","28Y")&lt;&gt;0,$D$7/BDP($B$7,"BEST_EPS","BEST_FPERIOD_OVERRIDE","28Y"),"")</f>
        <v/>
      </c>
      <c r="G7" s="45">
        <f>IF(BDP($B$7,"BEST_EPS","BEST_FPERIOD_OVERRIDE","29Y")&lt;&gt;0,$D$7/BDP($B$7,"BEST_EPS","BEST_FPERIOD_OVERRIDE","29Y"),"")</f>
        <v/>
      </c>
      <c r="H7" s="46">
        <f>BDP($B$7,"NET_DEBT_TO_EBITDA")</f>
        <v/>
      </c>
      <c r="I7" s="43">
        <f>BDP($B$7,"BEST_SALES","BEST_FPERIOD_OVERRIDE","27Y")/1000</f>
        <v/>
      </c>
      <c r="J7" s="47">
        <f>IF(BDP($B$7,"BEST_SALES","BEST_FPERIOD_OVERRIDE","27Y")&lt;&gt;0,BDP($B$7,"BEST_EBIT","BEST_FPERIOD_OVERRIDE","27Y")/BDP($B$7,"BEST_SALES","BEST_FPERIOD_OVERRIDE","27Y"),"")</f>
        <v/>
      </c>
      <c r="K7" s="47">
        <f>BDP($B$7,"RETURN_ON_INV_CAPITAL")/100</f>
        <v/>
      </c>
      <c r="L7" s="47">
        <f>IF(AND(BDP($B$7,"BEST_SALES","BEST_FPERIOD_OVERRIDE","26Y")&gt;0,BDP($B$7,"BEST_SALES","BEST_FPERIOD_OVERRIDE","29Y")&gt;0),(BDP($B$7,"BEST_SALES","BEST_FPERIOD_OVERRIDE","29Y")/BDP($B$7,"BEST_SALES","BEST_FPERIOD_OVERRIDE","26Y"))^(1/3)-1,"")</f>
        <v/>
      </c>
      <c r="M7" s="47">
        <f>IF(AND(BDP($B$7,"BEST_EBIT","BEST_FPERIOD_OVERRIDE","26Y")&gt;0,BDP($B$7,"BEST_EBIT","BEST_FPERIOD_OVERRIDE","29Y")&gt;0),(BDP($B$7,"BEST_EBIT","BEST_FPERIOD_OVERRIDE","29Y")/BDP($B$7,"BEST_EBIT","BEST_FPERIOD_OVERRIDE","26Y"))^(1/3)-1,"")</f>
        <v/>
      </c>
      <c r="N7" s="47">
        <f>IF(AND(BDP($B$7,"BEST_EPS","BEST_FPERIOD_OVERRIDE","26Y")&gt;0,BDP($B$7,"BEST_EPS","BEST_FPERIOD_OVERRIDE","29Y")&gt;0),(BDP($B$7,"BEST_EPS","BEST_FPERIOD_OVERRIDE","29Y")/BDP($B$7,"BEST_EPS","BEST_FPERIOD_OVERRIDE","26Y"))^(1/3)-1,"")</f>
        <v/>
      </c>
      <c r="O7" s="1" t="n"/>
      <c r="P7" s="47">
        <f>BDP($B$7,"CHG_PCT_YTD")/100</f>
        <v/>
      </c>
      <c r="Q7" s="1" t="n"/>
      <c r="R7" s="1" t="n"/>
      <c r="S7" s="42">
        <f>IF(AND(E7&lt;&gt;"",N7&lt;&gt;"",N7&lt;&gt;0),E7/(N7*100),"")</f>
        <v/>
      </c>
      <c r="T7" s="1" t="n"/>
      <c r="U7" s="26" t="inlineStr">
        <is>
          <t>Jan</t>
        </is>
      </c>
      <c r="V7" s="1" t="n"/>
      <c r="W7" s="1" t="n"/>
      <c r="X7" s="1" t="n"/>
      <c r="Y7" s="1" t="n"/>
      <c r="Z7" s="1" t="n"/>
      <c r="AA7" s="48">
        <f>BDP($B$7,"TRAIL_12M_OPER_INC")</f>
        <v/>
      </c>
      <c r="AB7" s="43">
        <f>BDP($B$7,"SHORT_AND_LONG_TERM_DEBT")</f>
        <v/>
      </c>
      <c r="AC7" s="43">
        <f>BDP($B$7,"TOTAL_EQUITY")</f>
        <v/>
      </c>
      <c r="AD7" s="43">
        <f>BDP($B$7,"BS_CASH_NEAR_CASH_ITEM")</f>
        <v/>
      </c>
      <c r="AE7" s="43">
        <f>BDP($B$7,"BS_LT_INVEST")</f>
        <v/>
      </c>
      <c r="AF7" s="31">
        <f>AB7+AC7</f>
        <v/>
      </c>
      <c r="AG7" s="43">
        <f>BDP($B$7,"RETURN_ON_INV_CAPITAL")/100</f>
        <v/>
      </c>
      <c r="AH7" s="49" t="n"/>
      <c r="AI7" s="48">
        <f>BDP($B$7,"BEST_EPS","BEST_FPERIOD_OVERRIDE","25Y")</f>
        <v/>
      </c>
      <c r="AJ7" s="43">
        <f>BDP($B$7,"BEST_EPS","BEST_FPERIOD_OVERRIDE","26Y")</f>
        <v/>
      </c>
      <c r="AK7" s="43">
        <f>BDP($B$7,"BEST_EPS","BEST_FPERIOD_OVERRIDE","27Y")</f>
        <v/>
      </c>
      <c r="AL7" s="43">
        <f>BDP($B$7,"BEST_EPS","BEST_FPERIOD_OVERRIDE","28Y")</f>
        <v/>
      </c>
      <c r="AM7" s="43">
        <f>BDP($B$7,"BEST_EPS","BEST_FPERIOD_OVERRIDE","29Y")</f>
        <v/>
      </c>
      <c r="AN7" s="31" t="n"/>
      <c r="AO7" s="48">
        <f>BDP($B$7,"BEST_SALES","BEST_FPERIOD_OVERRIDE","25Y")</f>
        <v/>
      </c>
      <c r="AP7" s="43">
        <f>BDP($B$7,"BEST_SALES","BEST_FPERIOD_OVERRIDE","26Y")</f>
        <v/>
      </c>
      <c r="AQ7" s="43">
        <f>BDP($B$7,"BEST_SALES","BEST_FPERIOD_OVERRIDE","27Y")</f>
        <v/>
      </c>
      <c r="AR7" s="43">
        <f>BDP($B$7,"BEST_SALES","BEST_FPERIOD_OVERRIDE","28Y")</f>
        <v/>
      </c>
      <c r="AS7" s="43">
        <f>BDP($B$7,"BEST_SALES","BEST_FPERIOD_OVERRIDE","29Y")</f>
        <v/>
      </c>
      <c r="AT7" s="31" t="n"/>
      <c r="AU7" s="48">
        <f>BDP($B$7,"BEST_EBIT","BEST_FPERIOD_OVERRIDE","25Y")</f>
        <v/>
      </c>
      <c r="AV7" s="43">
        <f>BDP($B$7,"BEST_EBIT","BEST_FPERIOD_OVERRIDE","26Y")</f>
        <v/>
      </c>
      <c r="AW7" s="43">
        <f>BDP($B$7,"BEST_EBIT","BEST_FPERIOD_OVERRIDE","27Y")</f>
        <v/>
      </c>
      <c r="AX7" s="43">
        <f>BDP($B$7,"BEST_EBIT","BEST_FPERIOD_OVERRIDE","28Y")</f>
        <v/>
      </c>
      <c r="AY7" s="43">
        <f>BDP($B$7,"BEST_EBIT","BEST_FPERIOD_OVERRIDE","29Y")</f>
        <v/>
      </c>
      <c r="AZ7" s="31" t="n"/>
      <c r="BA7" s="1">
        <f>C7+BD7</f>
        <v/>
      </c>
      <c r="BB7" s="42">
        <f>AB7-AD7</f>
        <v/>
      </c>
      <c r="BC7" s="42">
        <f>C7</f>
        <v/>
      </c>
      <c r="BD7" s="43">
        <f>BDP($B$7,"TRAIL_12M_EBITDA")</f>
        <v/>
      </c>
      <c r="BE7" s="43">
        <f>_xll.BDP("NVDA US Equity","TRAIL_12M_EBITDA")</f>
        <v/>
      </c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</row>
    <row r="8">
      <c r="A8" s="1" t="inlineStr">
        <is>
          <t>AVGO</t>
        </is>
      </c>
      <c r="B8" s="1" t="inlineStr">
        <is>
          <t>AVGO US Equity</t>
        </is>
      </c>
      <c r="C8" s="43">
        <f>BDP($B$8,"CUR_MKT_CAP")/1000000000</f>
        <v/>
      </c>
      <c r="D8" s="44">
        <f>BDP($B$8,"PX_LAST")</f>
        <v/>
      </c>
      <c r="E8" s="45">
        <f>IF(BDP($B$8,"BEST_EPS","BEST_FPERIOD_OVERRIDE","26Y")&lt;&gt;0,$D$8/BDP($B$8,"BEST_EPS","BEST_FPERIOD_OVERRIDE","26Y"),"")</f>
        <v/>
      </c>
      <c r="F8" s="45">
        <f>IF(BDP($B$8,"BEST_EPS","BEST_FPERIOD_OVERRIDE","27Y")&lt;&gt;0,$D$8/BDP($B$8,"BEST_EPS","BEST_FPERIOD_OVERRIDE","27Y"),"")</f>
        <v/>
      </c>
      <c r="G8" s="45">
        <f>IF(BDP($B$8,"BEST_EPS","BEST_FPERIOD_OVERRIDE","28Y")&lt;&gt;0,$D$8/BDP($B$8,"BEST_EPS","BEST_FPERIOD_OVERRIDE","28Y"),"")</f>
        <v/>
      </c>
      <c r="H8" s="46">
        <f>BDP($B$8,"NET_DEBT_TO_EBITDA")</f>
        <v/>
      </c>
      <c r="I8" s="43">
        <f>BDP($B$8,"BEST_SALES","BEST_FPERIOD_OVERRIDE","26Y")/1000</f>
        <v/>
      </c>
      <c r="J8" s="47">
        <f>IF(BDP($B$8,"BEST_SALES","BEST_FPERIOD_OVERRIDE","26Y")&lt;&gt;0,BDP($B$8,"BEST_EBIT","BEST_FPERIOD_OVERRIDE","26Y")/BDP($B$8,"BEST_SALES","BEST_FPERIOD_OVERRIDE","26Y"),"")</f>
        <v/>
      </c>
      <c r="K8" s="47">
        <f>BDP($B$8,"RETURN_ON_INV_CAPITAL")/100</f>
        <v/>
      </c>
      <c r="L8" s="47">
        <f>IF(AND(BDP($B$8,"BEST_SALES","BEST_FPERIOD_OVERRIDE","25Y")&gt;0,BDP($B$8,"BEST_SALES","BEST_FPERIOD_OVERRIDE","28Y")&gt;0),(BDP($B$8,"BEST_SALES","BEST_FPERIOD_OVERRIDE","28Y")/BDP($B$8,"BEST_SALES","BEST_FPERIOD_OVERRIDE","25Y"))^(1/3)-1,"")</f>
        <v/>
      </c>
      <c r="M8" s="47">
        <f>IF(AND(BDP($B$8,"BEST_EBIT","BEST_FPERIOD_OVERRIDE","25Y")&gt;0,BDP($B$8,"BEST_EBIT","BEST_FPERIOD_OVERRIDE","28Y")&gt;0),(BDP($B$8,"BEST_EBIT","BEST_FPERIOD_OVERRIDE","28Y")/BDP($B$8,"BEST_EBIT","BEST_FPERIOD_OVERRIDE","25Y"))^(1/3)-1,"")</f>
        <v/>
      </c>
      <c r="N8" s="47">
        <f>IF(AND(BDP($B$8,"BEST_EPS","BEST_FPERIOD_OVERRIDE","25Y")&gt;0,BDP($B$8,"BEST_EPS","BEST_FPERIOD_OVERRIDE","28Y")&gt;0),(BDP($B$8,"BEST_EPS","BEST_FPERIOD_OVERRIDE","28Y")/BDP($B$8,"BEST_EPS","BEST_FPERIOD_OVERRIDE","25Y"))^(1/3)-1,"")</f>
        <v/>
      </c>
      <c r="O8" s="1" t="n"/>
      <c r="P8" s="47">
        <f>BDP($B$8,"CHG_PCT_YTD")/100</f>
        <v/>
      </c>
      <c r="Q8" s="1" t="n"/>
      <c r="R8" s="1" t="n"/>
      <c r="S8" s="42">
        <f>IF(AND(E8&lt;&gt;"",N8&lt;&gt;"",N8&lt;&gt;0),E8/(N8*100),"")</f>
        <v/>
      </c>
      <c r="T8" s="1" t="n"/>
      <c r="U8" s="26" t="inlineStr">
        <is>
          <t>Oct</t>
        </is>
      </c>
      <c r="V8" s="1" t="n"/>
      <c r="W8" s="1" t="n"/>
      <c r="X8" s="1" t="n"/>
      <c r="Y8" s="1" t="n"/>
      <c r="Z8" s="1" t="n"/>
      <c r="AA8" s="48">
        <f>BDP($B$8,"TRAIL_12M_OPER_INC")</f>
        <v/>
      </c>
      <c r="AB8" s="43">
        <f>BDP($B$8,"SHORT_AND_LONG_TERM_DEBT")</f>
        <v/>
      </c>
      <c r="AC8" s="43">
        <f>BDP($B$8,"TOTAL_EQUITY")</f>
        <v/>
      </c>
      <c r="AD8" s="43">
        <f>BDP($B$8,"BS_CASH_NEAR_CASH_ITEM")</f>
        <v/>
      </c>
      <c r="AE8" s="43">
        <f>BDP($B$8,"BS_LT_INVEST")</f>
        <v/>
      </c>
      <c r="AF8" s="31">
        <f>AB8+AC8</f>
        <v/>
      </c>
      <c r="AG8" s="43">
        <f>BDP($B$8,"RETURN_ON_INV_CAPITAL")/100</f>
        <v/>
      </c>
      <c r="AH8" s="49" t="n"/>
      <c r="AI8" s="48">
        <f>BDP($B$8,"BEST_EPS","BEST_FPERIOD_OVERRIDE","24Y")</f>
        <v/>
      </c>
      <c r="AJ8" s="43">
        <f>BDP($B$8,"BEST_EPS","BEST_FPERIOD_OVERRIDE","25Y")</f>
        <v/>
      </c>
      <c r="AK8" s="43">
        <f>BDP($B$8,"BEST_EPS","BEST_FPERIOD_OVERRIDE","26Y")</f>
        <v/>
      </c>
      <c r="AL8" s="43">
        <f>BDP($B$8,"BEST_EPS","BEST_FPERIOD_OVERRIDE","27Y")</f>
        <v/>
      </c>
      <c r="AM8" s="43">
        <f>BDP($B$8,"BEST_EPS","BEST_FPERIOD_OVERRIDE","28Y")</f>
        <v/>
      </c>
      <c r="AN8" s="31" t="n"/>
      <c r="AO8" s="48">
        <f>BDP($B$8,"BEST_SALES","BEST_FPERIOD_OVERRIDE","24Y")</f>
        <v/>
      </c>
      <c r="AP8" s="43">
        <f>BDP($B$8,"BEST_SALES","BEST_FPERIOD_OVERRIDE","25Y")</f>
        <v/>
      </c>
      <c r="AQ8" s="43">
        <f>BDP($B$8,"BEST_SALES","BEST_FPERIOD_OVERRIDE","26Y")</f>
        <v/>
      </c>
      <c r="AR8" s="43">
        <f>BDP($B$8,"BEST_SALES","BEST_FPERIOD_OVERRIDE","27Y")</f>
        <v/>
      </c>
      <c r="AS8" s="43">
        <f>BDP($B$8,"BEST_SALES","BEST_FPERIOD_OVERRIDE","28Y")</f>
        <v/>
      </c>
      <c r="AT8" s="31" t="n"/>
      <c r="AU8" s="48">
        <f>BDP($B$8,"BEST_EBIT","BEST_FPERIOD_OVERRIDE","24Y")</f>
        <v/>
      </c>
      <c r="AV8" s="43">
        <f>BDP($B$8,"BEST_EBIT","BEST_FPERIOD_OVERRIDE","25Y")</f>
        <v/>
      </c>
      <c r="AW8" s="43">
        <f>BDP($B$8,"BEST_EBIT","BEST_FPERIOD_OVERRIDE","26Y")</f>
        <v/>
      </c>
      <c r="AX8" s="43">
        <f>BDP($B$8,"BEST_EBIT","BEST_FPERIOD_OVERRIDE","27Y")</f>
        <v/>
      </c>
      <c r="AY8" s="43">
        <f>BDP($B$8,"BEST_EBIT","BEST_FPERIOD_OVERRIDE","28Y")</f>
        <v/>
      </c>
      <c r="AZ8" s="31" t="n"/>
      <c r="BA8" s="1">
        <f>C8+BD8</f>
        <v/>
      </c>
      <c r="BB8" s="42">
        <f>AB8-AD8</f>
        <v/>
      </c>
      <c r="BC8" s="42">
        <f>C8</f>
        <v/>
      </c>
      <c r="BD8" s="43">
        <f>BDP($B$8,"TRAIL_12M_EBITDA")</f>
        <v/>
      </c>
      <c r="BE8" s="43">
        <f>_xll.BDP("AVGO US Equity","TRAIL_12M_EBITDA")</f>
        <v/>
      </c>
      <c r="BF8" s="1" t="n"/>
      <c r="BG8" s="1" t="n"/>
      <c r="BH8" s="1" t="n"/>
      <c r="BI8" s="1" t="n"/>
      <c r="BJ8" s="1" t="n"/>
      <c r="BK8" s="1" t="n"/>
      <c r="BL8" s="1" t="n"/>
      <c r="BM8" s="1" t="n"/>
      <c r="BN8" s="1" t="n"/>
      <c r="BO8" s="1" t="n"/>
      <c r="BP8" s="1" t="n"/>
      <c r="BQ8" s="1" t="n"/>
      <c r="BR8" s="1" t="n"/>
      <c r="BS8" s="1" t="n"/>
      <c r="BT8" s="1" t="n"/>
      <c r="BU8" s="1" t="n"/>
      <c r="BV8" s="1" t="n"/>
      <c r="BW8" s="4" t="n"/>
      <c r="BX8" s="4" t="n"/>
      <c r="BY8" s="4" t="n"/>
      <c r="BZ8" s="4" t="n"/>
      <c r="CA8" s="4" t="n"/>
      <c r="CB8" s="1" t="n"/>
      <c r="CC8" s="1" t="n"/>
      <c r="CD8" s="1" t="n"/>
      <c r="CE8" s="1" t="n"/>
      <c r="CF8" s="1" t="n"/>
      <c r="CG8" s="1" t="n"/>
    </row>
    <row r="9">
      <c r="A9" s="3" t="inlineStr">
        <is>
          <t>Average</t>
        </is>
      </c>
      <c r="B9" s="3" t="n"/>
      <c r="C9" s="11" t="n"/>
      <c r="D9" s="50" t="n"/>
      <c r="E9" s="51">
        <f>AVERAGE(E4:E8)</f>
        <v/>
      </c>
      <c r="F9" s="51">
        <f>AVERAGE(F4:F8)</f>
        <v/>
      </c>
      <c r="G9" s="51">
        <f>AVERAGE(G4:G8)</f>
        <v/>
      </c>
      <c r="H9" s="52">
        <f>AVERAGE(H4:H8)</f>
        <v/>
      </c>
      <c r="I9" s="53" t="n"/>
      <c r="J9" s="54">
        <f>AVERAGE(J4:J8)</f>
        <v/>
      </c>
      <c r="K9" s="54">
        <f>AVERAGE(K4:K8)</f>
        <v/>
      </c>
      <c r="L9" s="54">
        <f>AVERAGE(L4:L8)</f>
        <v/>
      </c>
      <c r="M9" s="54">
        <f>AVERAGE(M4:M8)</f>
        <v/>
      </c>
      <c r="N9" s="54">
        <f>AVERAGE(N4:N8)</f>
        <v/>
      </c>
      <c r="O9" s="3" t="n"/>
      <c r="P9" s="55" t="n"/>
      <c r="Q9" s="3" t="n"/>
      <c r="R9" s="3" t="n"/>
      <c r="S9" s="56" t="n">
        <v>0.9537638562054153</v>
      </c>
      <c r="T9" s="1" t="n"/>
      <c r="U9" s="27" t="n"/>
      <c r="V9" s="1" t="n"/>
      <c r="W9" s="1" t="n"/>
      <c r="X9" s="1" t="n"/>
      <c r="Y9" s="1" t="n"/>
      <c r="Z9" s="1" t="n"/>
      <c r="AA9" s="1" t="n"/>
      <c r="AB9" s="4" t="n"/>
      <c r="AC9" s="4" t="n"/>
      <c r="AD9" s="4" t="n"/>
      <c r="AE9" s="4" t="n"/>
      <c r="AF9" s="4" t="n"/>
      <c r="AG9" s="4" t="n"/>
      <c r="AH9" s="41" t="n"/>
      <c r="AI9" s="1" t="n"/>
      <c r="AJ9" s="4" t="n"/>
      <c r="AK9" s="4" t="n"/>
      <c r="AL9" s="4" t="n"/>
      <c r="AM9" s="4" t="n"/>
      <c r="AN9" s="4" t="n"/>
      <c r="AO9" s="1" t="n"/>
      <c r="AP9" s="4" t="n"/>
      <c r="AQ9" s="4" t="n"/>
      <c r="AR9" s="4" t="n"/>
      <c r="AS9" s="4" t="n"/>
      <c r="AT9" s="4" t="n"/>
      <c r="AU9" s="1" t="n"/>
      <c r="AV9" s="4" t="n"/>
      <c r="AW9" s="4" t="n"/>
      <c r="AX9" s="4" t="n"/>
      <c r="AY9" s="4" t="n"/>
      <c r="AZ9" s="4" t="n"/>
      <c r="BA9" s="1" t="n"/>
      <c r="BB9" s="42" t="n"/>
      <c r="BC9" s="42" t="n"/>
      <c r="BD9" s="4" t="n"/>
      <c r="BE9" s="4" t="n"/>
      <c r="BF9" s="1" t="n"/>
      <c r="BG9" s="1" t="n"/>
      <c r="BH9" s="1" t="n"/>
      <c r="BI9" s="1" t="n"/>
      <c r="BJ9" s="1" t="n"/>
      <c r="BK9" s="1" t="n"/>
      <c r="BL9" s="1" t="n"/>
      <c r="BM9" s="1" t="n"/>
      <c r="BN9" s="1" t="n"/>
      <c r="BO9" s="1" t="n"/>
      <c r="BP9" s="1" t="n"/>
      <c r="BQ9" s="1" t="n"/>
      <c r="BR9" s="1" t="n"/>
      <c r="BS9" s="1" t="n"/>
      <c r="BT9" s="1" t="n"/>
      <c r="BU9" s="1" t="n"/>
      <c r="BV9" s="1" t="n"/>
      <c r="BW9" s="1" t="n"/>
      <c r="BX9" s="1" t="n"/>
      <c r="BY9" s="1" t="n"/>
      <c r="BZ9" s="1" t="n"/>
      <c r="CA9" s="1" t="n"/>
      <c r="CB9" s="1" t="n"/>
      <c r="CC9" s="1" t="n"/>
      <c r="CD9" s="1" t="n"/>
      <c r="CE9" s="1" t="n"/>
      <c r="CF9" s="1" t="n"/>
      <c r="CG9" s="1" t="n"/>
    </row>
    <row r="10">
      <c r="A10" s="1" t="n"/>
      <c r="B10" s="1" t="n"/>
      <c r="C10" s="4" t="n"/>
      <c r="D10" s="38" t="n"/>
      <c r="E10" s="39" t="n"/>
      <c r="F10" s="39" t="n"/>
      <c r="G10" s="39" t="n"/>
      <c r="H10" s="40" t="n"/>
      <c r="I10" s="41" t="n"/>
      <c r="J10" s="41" t="n"/>
      <c r="K10" s="41" t="n"/>
      <c r="L10" s="41" t="n"/>
      <c r="M10" s="41" t="n"/>
      <c r="N10" s="41" t="n"/>
      <c r="O10" s="1" t="n"/>
      <c r="P10" s="1" t="n"/>
      <c r="Q10" s="1" t="n"/>
      <c r="R10" s="1" t="n"/>
      <c r="S10" s="1" t="n"/>
      <c r="T10" s="1" t="n"/>
      <c r="U10" s="26" t="n"/>
      <c r="V10" s="1" t="n"/>
      <c r="W10" s="1" t="n"/>
      <c r="X10" s="1" t="n"/>
      <c r="Y10" s="1" t="n"/>
      <c r="Z10" s="1" t="n"/>
      <c r="AA10" s="1" t="n"/>
      <c r="AB10" s="4" t="n"/>
      <c r="AC10" s="4" t="n"/>
      <c r="AD10" s="4" t="n"/>
      <c r="AE10" s="4" t="n"/>
      <c r="AF10" s="4" t="n"/>
      <c r="AG10" s="4" t="n"/>
      <c r="AH10" s="41" t="n"/>
      <c r="AI10" s="1" t="n"/>
      <c r="AJ10" s="4" t="n"/>
      <c r="AK10" s="4" t="n"/>
      <c r="AL10" s="4" t="n"/>
      <c r="AM10" s="4" t="n"/>
      <c r="AN10" s="4" t="n"/>
      <c r="AO10" s="1" t="n"/>
      <c r="AP10" s="4" t="n"/>
      <c r="AQ10" s="4" t="n"/>
      <c r="AR10" s="4" t="n"/>
      <c r="AS10" s="4" t="n"/>
      <c r="AT10" s="4" t="n"/>
      <c r="AU10" s="1" t="n"/>
      <c r="AV10" s="4" t="n"/>
      <c r="AW10" s="4" t="n"/>
      <c r="AX10" s="4" t="n"/>
      <c r="AY10" s="4" t="n"/>
      <c r="AZ10" s="4" t="n"/>
      <c r="BA10" s="1" t="n"/>
      <c r="BB10" s="42" t="n"/>
      <c r="BC10" s="42" t="n"/>
      <c r="BD10" s="4" t="n"/>
      <c r="BE10" s="4" t="n"/>
      <c r="BF10" s="1" t="n"/>
      <c r="BG10" s="1" t="n"/>
      <c r="BH10" s="1" t="n"/>
      <c r="BI10" s="1" t="n"/>
      <c r="BJ10" s="1" t="n"/>
      <c r="BK10" s="1" t="n"/>
      <c r="BL10" s="1" t="n"/>
      <c r="BM10" s="1" t="n"/>
      <c r="BN10" s="1" t="n"/>
      <c r="BO10" s="1" t="n"/>
      <c r="BP10" s="1" t="n"/>
      <c r="BQ10" s="1" t="n"/>
      <c r="BR10" s="1" t="n"/>
      <c r="BS10" s="1" t="n"/>
      <c r="BT10" s="1" t="n"/>
      <c r="BU10" s="1" t="n"/>
      <c r="BV10" s="1" t="n"/>
      <c r="BW10" s="1" t="n"/>
      <c r="BX10" s="1" t="n"/>
      <c r="BY10" s="1" t="n"/>
      <c r="BZ10" s="1" t="n"/>
      <c r="CA10" s="1" t="n"/>
      <c r="CB10" s="1" t="n"/>
      <c r="CC10" s="1" t="n"/>
      <c r="CD10" s="1" t="n"/>
      <c r="CE10" s="1" t="n"/>
      <c r="CF10" s="1" t="n"/>
      <c r="CG10" s="1" t="n"/>
    </row>
    <row r="11">
      <c r="A11" s="3" t="inlineStr">
        <is>
          <t>Acknowledged compounders</t>
        </is>
      </c>
      <c r="B11" s="1" t="n"/>
      <c r="C11" s="4" t="n"/>
      <c r="D11" s="38" t="n"/>
      <c r="E11" s="39" t="n"/>
      <c r="F11" s="39" t="n"/>
      <c r="G11" s="39" t="n"/>
      <c r="H11" s="40" t="n"/>
      <c r="I11" s="41" t="n"/>
      <c r="J11" s="41" t="n"/>
      <c r="K11" s="41" t="n"/>
      <c r="L11" s="41" t="n"/>
      <c r="M11" s="41" t="n"/>
      <c r="N11" s="41" t="n"/>
      <c r="O11" s="1" t="n"/>
      <c r="P11" s="1" t="n"/>
      <c r="Q11" s="1" t="n"/>
      <c r="R11" s="1" t="n"/>
      <c r="S11" s="1" t="n"/>
      <c r="T11" s="1" t="n"/>
      <c r="U11" s="26" t="n"/>
      <c r="V11" s="1" t="n"/>
      <c r="W11" s="1" t="n"/>
      <c r="X11" s="1" t="n"/>
      <c r="Y11" s="1" t="n"/>
      <c r="Z11" s="1" t="n"/>
      <c r="AA11" s="1" t="n"/>
      <c r="AB11" s="4" t="n"/>
      <c r="AC11" s="4" t="n"/>
      <c r="AD11" s="4" t="n"/>
      <c r="AE11" s="4" t="n"/>
      <c r="AF11" s="4" t="n"/>
      <c r="AG11" s="4" t="n"/>
      <c r="AH11" s="41" t="n"/>
      <c r="AI11" s="1" t="n"/>
      <c r="AJ11" s="4" t="n"/>
      <c r="AK11" s="4" t="n"/>
      <c r="AL11" s="4" t="n"/>
      <c r="AM11" s="4" t="n"/>
      <c r="AN11" s="4" t="n"/>
      <c r="AO11" s="1" t="n"/>
      <c r="AP11" s="4" t="n"/>
      <c r="AQ11" s="4" t="n"/>
      <c r="AR11" s="4" t="n"/>
      <c r="AS11" s="4" t="n"/>
      <c r="AT11" s="4" t="n"/>
      <c r="AU11" s="1" t="n"/>
      <c r="AV11" s="4" t="n"/>
      <c r="AW11" s="4" t="n"/>
      <c r="AX11" s="4" t="n"/>
      <c r="AY11" s="4" t="n"/>
      <c r="AZ11" s="4" t="n"/>
      <c r="BA11" s="1" t="n"/>
      <c r="BB11" s="42" t="n"/>
      <c r="BC11" s="42" t="n"/>
      <c r="BD11" s="4" t="n"/>
      <c r="BE11" s="4" t="n"/>
      <c r="BF11" s="1" t="n"/>
      <c r="BG11" s="1" t="n"/>
      <c r="BH11" s="1" t="n"/>
      <c r="BI11" s="1" t="n"/>
      <c r="BJ11" s="1" t="n"/>
      <c r="BK11" s="1" t="n"/>
      <c r="BL11" s="1" t="n"/>
      <c r="BM11" s="1" t="n"/>
      <c r="BN11" s="1" t="n"/>
      <c r="BO11" s="1" t="n"/>
      <c r="BP11" s="1" t="n"/>
      <c r="BQ11" s="1" t="n"/>
      <c r="BR11" s="1" t="n"/>
      <c r="BS11" s="1" t="n"/>
      <c r="BT11" s="1" t="n"/>
      <c r="BU11" s="1" t="n"/>
      <c r="BV11" s="1" t="n"/>
      <c r="BW11" s="1" t="n"/>
      <c r="BX11" s="1" t="n"/>
      <c r="BY11" s="1" t="n"/>
      <c r="BZ11" s="1" t="n"/>
      <c r="CA11" s="1" t="n"/>
      <c r="CB11" s="1" t="n"/>
      <c r="CC11" s="1" t="n"/>
      <c r="CD11" s="1" t="n"/>
      <c r="CE11" s="1" t="n"/>
      <c r="CF11" s="1" t="n"/>
      <c r="CG11" s="1" t="n"/>
    </row>
    <row r="12">
      <c r="A12" s="1" t="inlineStr">
        <is>
          <t>TDG</t>
        </is>
      </c>
      <c r="B12" s="1" t="inlineStr">
        <is>
          <t>TDG US Equity</t>
        </is>
      </c>
      <c r="C12" s="43">
        <f>BDP($B$12,"CUR_MKT_CAP")/1000000000</f>
        <v/>
      </c>
      <c r="D12" s="44">
        <f>BDP($B$12,"PX_LAST")</f>
        <v/>
      </c>
      <c r="E12" s="45">
        <f>IF(BDP($B$12,"BEST_EPS","BEST_FPERIOD_OVERRIDE","26Y")&lt;&gt;0,$D$12/BDP($B$12,"BEST_EPS","BEST_FPERIOD_OVERRIDE","26Y"),"")</f>
        <v/>
      </c>
      <c r="F12" s="45">
        <f>IF(BDP($B$12,"BEST_EPS","BEST_FPERIOD_OVERRIDE","27Y")&lt;&gt;0,$D$12/BDP($B$12,"BEST_EPS","BEST_FPERIOD_OVERRIDE","27Y"),"")</f>
        <v/>
      </c>
      <c r="G12" s="45">
        <f>IF(BDP($B$12,"BEST_EPS","BEST_FPERIOD_OVERRIDE","28Y")&lt;&gt;0,$D$12/BDP($B$12,"BEST_EPS","BEST_FPERIOD_OVERRIDE","28Y"),"")</f>
        <v/>
      </c>
      <c r="H12" s="46">
        <f>BDP($B$12,"NET_DEBT_TO_EBITDA")</f>
        <v/>
      </c>
      <c r="I12" s="43">
        <f>BDP($B$12,"BEST_SALES","BEST_FPERIOD_OVERRIDE","26Y")/1000</f>
        <v/>
      </c>
      <c r="J12" s="47">
        <f>IF(BDP($B$12,"BEST_SALES","BEST_FPERIOD_OVERRIDE","26Y")&lt;&gt;0,BDP($B$12,"BEST_EBIT","BEST_FPERIOD_OVERRIDE","26Y")/BDP($B$12,"BEST_SALES","BEST_FPERIOD_OVERRIDE","26Y"),"")</f>
        <v/>
      </c>
      <c r="K12" s="47">
        <f>BDP($B$12,"RETURN_ON_INV_CAPITAL")/100</f>
        <v/>
      </c>
      <c r="L12" s="47">
        <f>IF(AND(BDP($B$12,"BEST_SALES","BEST_FPERIOD_OVERRIDE","25Y")&gt;0,BDP($B$12,"BEST_SALES","BEST_FPERIOD_OVERRIDE","28Y")&gt;0),(BDP($B$12,"BEST_SALES","BEST_FPERIOD_OVERRIDE","28Y")/BDP($B$12,"BEST_SALES","BEST_FPERIOD_OVERRIDE","25Y"))^(1/3)-1,"")</f>
        <v/>
      </c>
      <c r="M12" s="47">
        <f>IF(AND(BDP($B$12,"BEST_EBIT","BEST_FPERIOD_OVERRIDE","25Y")&gt;0,BDP($B$12,"BEST_EBIT","BEST_FPERIOD_OVERRIDE","28Y")&gt;0),(BDP($B$12,"BEST_EBIT","BEST_FPERIOD_OVERRIDE","28Y")/BDP($B$12,"BEST_EBIT","BEST_FPERIOD_OVERRIDE","25Y"))^(1/3)-1,"")</f>
        <v/>
      </c>
      <c r="N12" s="47">
        <f>IF(AND(BDP($B$12,"BEST_EPS","BEST_FPERIOD_OVERRIDE","25Y")&gt;0,BDP($B$12,"BEST_EPS","BEST_FPERIOD_OVERRIDE","28Y")&gt;0),(BDP($B$12,"BEST_EPS","BEST_FPERIOD_OVERRIDE","28Y")/BDP($B$12,"BEST_EPS","BEST_FPERIOD_OVERRIDE","25Y"))^(1/3)-1,"")</f>
        <v/>
      </c>
      <c r="O12" s="1" t="n"/>
      <c r="P12" s="47">
        <f>BDP($B$12,"CHG_PCT_YTD")/100</f>
        <v/>
      </c>
      <c r="Q12" s="1" t="n"/>
      <c r="R12" s="1" t="n"/>
      <c r="S12" s="42">
        <f>IF(AND(E12&lt;&gt;"",N12&lt;&gt;"",N12&lt;&gt;0),E12/(N12*100),"")</f>
        <v/>
      </c>
      <c r="T12" s="1" t="n"/>
      <c r="U12" s="26" t="inlineStr">
        <is>
          <t>Sep</t>
        </is>
      </c>
      <c r="V12" s="1" t="n"/>
      <c r="W12" s="1" t="n"/>
      <c r="X12" s="1" t="n"/>
      <c r="Y12" s="1" t="n"/>
      <c r="Z12" s="1" t="n"/>
      <c r="AA12" s="48">
        <f>BDP($B$12,"TRAIL_12M_OPER_INC")</f>
        <v/>
      </c>
      <c r="AB12" s="43">
        <f>BDP($B$12,"SHORT_AND_LONG_TERM_DEBT")</f>
        <v/>
      </c>
      <c r="AC12" s="43">
        <f>BDP($B$12,"TOTAL_EQUITY")</f>
        <v/>
      </c>
      <c r="AD12" s="43">
        <f>BDP($B$12,"BS_CASH_NEAR_CASH_ITEM")</f>
        <v/>
      </c>
      <c r="AE12" s="43">
        <f>BDP($B$12,"BS_LT_INVEST")</f>
        <v/>
      </c>
      <c r="AF12" s="31">
        <f>AB12+AC12</f>
        <v/>
      </c>
      <c r="AG12" s="43">
        <f>BDP($B$12,"RETURN_ON_INV_CAPITAL")/100</f>
        <v/>
      </c>
      <c r="AH12" s="49" t="n"/>
      <c r="AI12" s="48">
        <f>BDP($B$12,"BEST_EPS","BEST_FPERIOD_OVERRIDE","24Y")</f>
        <v/>
      </c>
      <c r="AJ12" s="43">
        <f>BDP($B$12,"BEST_EPS","BEST_FPERIOD_OVERRIDE","25Y")</f>
        <v/>
      </c>
      <c r="AK12" s="43">
        <f>BDP($B$12,"BEST_EPS","BEST_FPERIOD_OVERRIDE","26Y")</f>
        <v/>
      </c>
      <c r="AL12" s="43">
        <f>BDP($B$12,"BEST_EPS","BEST_FPERIOD_OVERRIDE","27Y")</f>
        <v/>
      </c>
      <c r="AM12" s="43">
        <f>BDP($B$12,"BEST_EPS","BEST_FPERIOD_OVERRIDE","28Y")</f>
        <v/>
      </c>
      <c r="AN12" s="31" t="n"/>
      <c r="AO12" s="48">
        <f>BDP($B$12,"BEST_SALES","BEST_FPERIOD_OVERRIDE","24Y")</f>
        <v/>
      </c>
      <c r="AP12" s="43">
        <f>BDP($B$12,"BEST_SALES","BEST_FPERIOD_OVERRIDE","25Y")</f>
        <v/>
      </c>
      <c r="AQ12" s="43">
        <f>BDP($B$12,"BEST_SALES","BEST_FPERIOD_OVERRIDE","26Y")</f>
        <v/>
      </c>
      <c r="AR12" s="43">
        <f>BDP($B$12,"BEST_SALES","BEST_FPERIOD_OVERRIDE","27Y")</f>
        <v/>
      </c>
      <c r="AS12" s="43">
        <f>BDP($B$12,"BEST_SALES","BEST_FPERIOD_OVERRIDE","28Y")</f>
        <v/>
      </c>
      <c r="AT12" s="31" t="n"/>
      <c r="AU12" s="48">
        <f>BDP($B$12,"BEST_EBIT","BEST_FPERIOD_OVERRIDE","24Y")</f>
        <v/>
      </c>
      <c r="AV12" s="43">
        <f>BDP($B$12,"BEST_EBIT","BEST_FPERIOD_OVERRIDE","25Y")</f>
        <v/>
      </c>
      <c r="AW12" s="43">
        <f>BDP($B$12,"BEST_EBIT","BEST_FPERIOD_OVERRIDE","26Y")</f>
        <v/>
      </c>
      <c r="AX12" s="43">
        <f>BDP($B$12,"BEST_EBIT","BEST_FPERIOD_OVERRIDE","27Y")</f>
        <v/>
      </c>
      <c r="AY12" s="43">
        <f>BDP($B$12,"BEST_EBIT","BEST_FPERIOD_OVERRIDE","28Y")</f>
        <v/>
      </c>
      <c r="AZ12" s="31" t="n"/>
      <c r="BA12" s="1">
        <f>C12+BD12</f>
        <v/>
      </c>
      <c r="BB12" s="42">
        <f>AB12-AD12</f>
        <v/>
      </c>
      <c r="BC12" s="42">
        <f>C12</f>
        <v/>
      </c>
      <c r="BD12" s="43">
        <f>BDP($B$12,"TRAIL_12M_EBITDA")</f>
        <v/>
      </c>
      <c r="BE12" s="43">
        <f>_xll.BDP("TDG US Equity","TRAIL_12M_EBITDA")</f>
        <v/>
      </c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</row>
    <row r="13">
      <c r="A13" s="1" t="inlineStr">
        <is>
          <t>MSFT</t>
        </is>
      </c>
      <c r="B13" s="1" t="inlineStr">
        <is>
          <t>MSFT US Equity</t>
        </is>
      </c>
      <c r="C13" s="43">
        <f>BDP($B$13,"CUR_MKT_CAP")/1000000000</f>
        <v/>
      </c>
      <c r="D13" s="44">
        <f>BDP($B$13,"PX_LAST")</f>
        <v/>
      </c>
      <c r="E13" s="45">
        <f>IF(BDP($B$13,"BEST_EPS","BEST_FPERIOD_OVERRIDE","26Y")&lt;&gt;0,$D$13/BDP($B$13,"BEST_EPS","BEST_FPERIOD_OVERRIDE","26Y"),"")</f>
        <v/>
      </c>
      <c r="F13" s="45">
        <f>IF(BDP($B$13,"BEST_EPS","BEST_FPERIOD_OVERRIDE","27Y")&lt;&gt;0,$D$13/BDP($B$13,"BEST_EPS","BEST_FPERIOD_OVERRIDE","27Y"),"")</f>
        <v/>
      </c>
      <c r="G13" s="45">
        <f>IF(BDP($B$13,"BEST_EPS","BEST_FPERIOD_OVERRIDE","28Y")&lt;&gt;0,$D$13/BDP($B$13,"BEST_EPS","BEST_FPERIOD_OVERRIDE","28Y"),"")</f>
        <v/>
      </c>
      <c r="H13" s="46">
        <f>BDP($B$13,"NET_DEBT_TO_EBITDA")</f>
        <v/>
      </c>
      <c r="I13" s="43">
        <f>BDP($B$13,"BEST_SALES","BEST_FPERIOD_OVERRIDE","26Y")/1000</f>
        <v/>
      </c>
      <c r="J13" s="47">
        <f>IF(BDP($B$13,"BEST_SALES","BEST_FPERIOD_OVERRIDE","26Y")&lt;&gt;0,BDP($B$13,"BEST_EBIT","BEST_FPERIOD_OVERRIDE","26Y")/BDP($B$13,"BEST_SALES","BEST_FPERIOD_OVERRIDE","26Y"),"")</f>
        <v/>
      </c>
      <c r="K13" s="47">
        <f>BDP($B$13,"RETURN_ON_INV_CAPITAL")/100</f>
        <v/>
      </c>
      <c r="L13" s="47">
        <f>IF(AND(BDP($B$13,"BEST_SALES","BEST_FPERIOD_OVERRIDE","25Y")&gt;0,BDP($B$13,"BEST_SALES","BEST_FPERIOD_OVERRIDE","28Y")&gt;0),(BDP($B$13,"BEST_SALES","BEST_FPERIOD_OVERRIDE","28Y")/BDP($B$13,"BEST_SALES","BEST_FPERIOD_OVERRIDE","25Y"))^(1/3)-1,"")</f>
        <v/>
      </c>
      <c r="M13" s="47">
        <f>IF(AND(BDP($B$13,"BEST_EBIT","BEST_FPERIOD_OVERRIDE","25Y")&gt;0,BDP($B$13,"BEST_EBIT","BEST_FPERIOD_OVERRIDE","28Y")&gt;0),(BDP($B$13,"BEST_EBIT","BEST_FPERIOD_OVERRIDE","28Y")/BDP($B$13,"BEST_EBIT","BEST_FPERIOD_OVERRIDE","25Y"))^(1/3)-1,"")</f>
        <v/>
      </c>
      <c r="N13" s="47">
        <f>IF(AND(BDP($B$13,"BEST_EPS","BEST_FPERIOD_OVERRIDE","25Y")&gt;0,BDP($B$13,"BEST_EPS","BEST_FPERIOD_OVERRIDE","28Y")&gt;0),(BDP($B$13,"BEST_EPS","BEST_FPERIOD_OVERRIDE","28Y")/BDP($B$13,"BEST_EPS","BEST_FPERIOD_OVERRIDE","25Y"))^(1/3)-1,"")</f>
        <v/>
      </c>
      <c r="O13" s="1" t="n"/>
      <c r="P13" s="47">
        <f>BDP($B$13,"CHG_PCT_YTD")/100</f>
        <v/>
      </c>
      <c r="Q13" s="1" t="n"/>
      <c r="R13" s="1" t="n"/>
      <c r="S13" s="42">
        <f>IF(AND(E13&lt;&gt;"",N13&lt;&gt;"",N13&lt;&gt;0),E13/(N13*100),"")</f>
        <v/>
      </c>
      <c r="T13" s="1" t="n"/>
      <c r="U13" s="26" t="inlineStr">
        <is>
          <t>Jun</t>
        </is>
      </c>
      <c r="V13" s="1" t="n"/>
      <c r="W13" s="1" t="n"/>
      <c r="X13" s="1" t="n"/>
      <c r="Y13" s="1" t="n"/>
      <c r="Z13" s="1" t="n"/>
      <c r="AA13" s="48">
        <f>BDP($B$13,"TRAIL_12M_OPER_INC")</f>
        <v/>
      </c>
      <c r="AB13" s="43">
        <f>BDP($B$13,"SHORT_AND_LONG_TERM_DEBT")</f>
        <v/>
      </c>
      <c r="AC13" s="43">
        <f>BDP($B$13,"TOTAL_EQUITY")</f>
        <v/>
      </c>
      <c r="AD13" s="43">
        <f>BDP($B$13,"BS_CASH_NEAR_CASH_ITEM")</f>
        <v/>
      </c>
      <c r="AE13" s="43">
        <f>BDP($B$13,"BS_LT_INVEST")</f>
        <v/>
      </c>
      <c r="AF13" s="31">
        <f>AB13+AC13</f>
        <v/>
      </c>
      <c r="AG13" s="43">
        <f>BDP($B$13,"RETURN_ON_INV_CAPITAL")/100</f>
        <v/>
      </c>
      <c r="AH13" s="49" t="n"/>
      <c r="AI13" s="48">
        <f>BDP($B$13,"BEST_EPS","BEST_FPERIOD_OVERRIDE","24Y")</f>
        <v/>
      </c>
      <c r="AJ13" s="43">
        <f>BDP($B$13,"BEST_EPS","BEST_FPERIOD_OVERRIDE","25Y")</f>
        <v/>
      </c>
      <c r="AK13" s="43">
        <f>BDP($B$13,"BEST_EPS","BEST_FPERIOD_OVERRIDE","26Y")</f>
        <v/>
      </c>
      <c r="AL13" s="43">
        <f>BDP($B$13,"BEST_EPS","BEST_FPERIOD_OVERRIDE","27Y")</f>
        <v/>
      </c>
      <c r="AM13" s="43">
        <f>BDP($B$13,"BEST_EPS","BEST_FPERIOD_OVERRIDE","28Y")</f>
        <v/>
      </c>
      <c r="AN13" s="31" t="n"/>
      <c r="AO13" s="48">
        <f>BDP($B$13,"BEST_SALES","BEST_FPERIOD_OVERRIDE","24Y")</f>
        <v/>
      </c>
      <c r="AP13" s="43">
        <f>BDP($B$13,"BEST_SALES","BEST_FPERIOD_OVERRIDE","25Y")</f>
        <v/>
      </c>
      <c r="AQ13" s="43">
        <f>BDP($B$13,"BEST_SALES","BEST_FPERIOD_OVERRIDE","26Y")</f>
        <v/>
      </c>
      <c r="AR13" s="43">
        <f>BDP($B$13,"BEST_SALES","BEST_FPERIOD_OVERRIDE","27Y")</f>
        <v/>
      </c>
      <c r="AS13" s="43">
        <f>BDP($B$13,"BEST_SALES","BEST_FPERIOD_OVERRIDE","28Y")</f>
        <v/>
      </c>
      <c r="AT13" s="31" t="n"/>
      <c r="AU13" s="48">
        <f>BDP($B$13,"BEST_EBIT","BEST_FPERIOD_OVERRIDE","24Y")</f>
        <v/>
      </c>
      <c r="AV13" s="43">
        <f>BDP($B$13,"BEST_EBIT","BEST_FPERIOD_OVERRIDE","25Y")</f>
        <v/>
      </c>
      <c r="AW13" s="43">
        <f>BDP($B$13,"BEST_EBIT","BEST_FPERIOD_OVERRIDE","26Y")</f>
        <v/>
      </c>
      <c r="AX13" s="43">
        <f>BDP($B$13,"BEST_EBIT","BEST_FPERIOD_OVERRIDE","27Y")</f>
        <v/>
      </c>
      <c r="AY13" s="43">
        <f>BDP($B$13,"BEST_EBIT","BEST_FPERIOD_OVERRIDE","28Y")</f>
        <v/>
      </c>
      <c r="AZ13" s="31" t="n"/>
      <c r="BA13" s="1">
        <f>C13+BD13</f>
        <v/>
      </c>
      <c r="BB13" s="42">
        <f>AB13-AD13</f>
        <v/>
      </c>
      <c r="BC13" s="42">
        <f>C13</f>
        <v/>
      </c>
      <c r="BD13" s="43">
        <f>BDP($B$13,"TRAIL_12M_EBITDA")</f>
        <v/>
      </c>
      <c r="BE13" s="43">
        <f>_xll.BDP("MSFT US Equity","TRAIL_12M_EBITDA")</f>
        <v/>
      </c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</row>
    <row r="14">
      <c r="A14" s="1" t="inlineStr">
        <is>
          <t>V</t>
        </is>
      </c>
      <c r="B14" s="1" t="inlineStr">
        <is>
          <t>V US Equity</t>
        </is>
      </c>
      <c r="C14" s="43">
        <f>BDP($B$14,"CUR_MKT_CAP")/1000000000</f>
        <v/>
      </c>
      <c r="D14" s="44">
        <f>BDP($B$14,"PX_LAST")</f>
        <v/>
      </c>
      <c r="E14" s="45">
        <f>IF(BDP($B$14,"BEST_EPS","BEST_FPERIOD_OVERRIDE","26Y")&lt;&gt;0,$D$14/BDP($B$14,"BEST_EPS","BEST_FPERIOD_OVERRIDE","26Y"),"")</f>
        <v/>
      </c>
      <c r="F14" s="45">
        <f>IF(BDP($B$14,"BEST_EPS","BEST_FPERIOD_OVERRIDE","27Y")&lt;&gt;0,$D$14/BDP($B$14,"BEST_EPS","BEST_FPERIOD_OVERRIDE","27Y"),"")</f>
        <v/>
      </c>
      <c r="G14" s="45">
        <f>IF(BDP($B$14,"BEST_EPS","BEST_FPERIOD_OVERRIDE","28Y")&lt;&gt;0,$D$14/BDP($B$14,"BEST_EPS","BEST_FPERIOD_OVERRIDE","28Y"),"")</f>
        <v/>
      </c>
      <c r="H14" s="46">
        <f>BDP($B$14,"NET_DEBT_TO_EBITDA")</f>
        <v/>
      </c>
      <c r="I14" s="43">
        <f>BDP($B$14,"BEST_SALES","BEST_FPERIOD_OVERRIDE","26Y")/1000</f>
        <v/>
      </c>
      <c r="J14" s="47">
        <f>IF(BDP($B$14,"BEST_SALES","BEST_FPERIOD_OVERRIDE","26Y")&lt;&gt;0,BDP($B$14,"BEST_EBIT","BEST_FPERIOD_OVERRIDE","26Y")/BDP($B$14,"BEST_SALES","BEST_FPERIOD_OVERRIDE","26Y"),"")</f>
        <v/>
      </c>
      <c r="K14" s="47">
        <f>BDP($B$14,"RETURN_ON_INV_CAPITAL")/100</f>
        <v/>
      </c>
      <c r="L14" s="47">
        <f>IF(AND(BDP($B$14,"BEST_SALES","BEST_FPERIOD_OVERRIDE","25Y")&gt;0,BDP($B$14,"BEST_SALES","BEST_FPERIOD_OVERRIDE","28Y")&gt;0),(BDP($B$14,"BEST_SALES","BEST_FPERIOD_OVERRIDE","28Y")/BDP($B$14,"BEST_SALES","BEST_FPERIOD_OVERRIDE","25Y"))^(1/3)-1,"")</f>
        <v/>
      </c>
      <c r="M14" s="47">
        <f>IF(AND(BDP($B$14,"BEST_EBIT","BEST_FPERIOD_OVERRIDE","25Y")&gt;0,BDP($B$14,"BEST_EBIT","BEST_FPERIOD_OVERRIDE","28Y")&gt;0),(BDP($B$14,"BEST_EBIT","BEST_FPERIOD_OVERRIDE","28Y")/BDP($B$14,"BEST_EBIT","BEST_FPERIOD_OVERRIDE","25Y"))^(1/3)-1,"")</f>
        <v/>
      </c>
      <c r="N14" s="47">
        <f>IF(AND(BDP($B$14,"BEST_EPS","BEST_FPERIOD_OVERRIDE","25Y")&gt;0,BDP($B$14,"BEST_EPS","BEST_FPERIOD_OVERRIDE","28Y")&gt;0),(BDP($B$14,"BEST_EPS","BEST_FPERIOD_OVERRIDE","28Y")/BDP($B$14,"BEST_EPS","BEST_FPERIOD_OVERRIDE","25Y"))^(1/3)-1,"")</f>
        <v/>
      </c>
      <c r="O14" s="1" t="n"/>
      <c r="P14" s="47">
        <f>BDP($B$14,"CHG_PCT_YTD")/100</f>
        <v/>
      </c>
      <c r="Q14" s="1" t="n"/>
      <c r="R14" s="1" t="n"/>
      <c r="S14" s="42">
        <f>IF(AND(E14&lt;&gt;"",N14&lt;&gt;"",N14&lt;&gt;0),E14/(N14*100),"")</f>
        <v/>
      </c>
      <c r="T14" s="1" t="n"/>
      <c r="U14" s="26" t="inlineStr">
        <is>
          <t>Sep</t>
        </is>
      </c>
      <c r="V14" s="1" t="n"/>
      <c r="W14" s="1" t="n"/>
      <c r="X14" s="1" t="n"/>
      <c r="Y14" s="1" t="n"/>
      <c r="Z14" s="1" t="n"/>
      <c r="AA14" s="48">
        <f>BDP($B$14,"TRAIL_12M_OPER_INC")</f>
        <v/>
      </c>
      <c r="AB14" s="43">
        <f>BDP($B$14,"SHORT_AND_LONG_TERM_DEBT")</f>
        <v/>
      </c>
      <c r="AC14" s="43">
        <f>BDP($B$14,"TOTAL_EQUITY")</f>
        <v/>
      </c>
      <c r="AD14" s="43">
        <f>BDP($B$14,"BS_CASH_NEAR_CASH_ITEM")</f>
        <v/>
      </c>
      <c r="AE14" s="43">
        <f>BDP($B$14,"BS_LT_INVEST")</f>
        <v/>
      </c>
      <c r="AF14" s="31">
        <f>AB14+AC14</f>
        <v/>
      </c>
      <c r="AG14" s="43">
        <f>BDP($B$14,"RETURN_ON_INV_CAPITAL")/100</f>
        <v/>
      </c>
      <c r="AH14" s="49" t="n"/>
      <c r="AI14" s="48">
        <f>BDP($B$14,"BEST_EPS","BEST_FPERIOD_OVERRIDE","24Y")</f>
        <v/>
      </c>
      <c r="AJ14" s="43">
        <f>BDP($B$14,"BEST_EPS","BEST_FPERIOD_OVERRIDE","25Y")</f>
        <v/>
      </c>
      <c r="AK14" s="43">
        <f>BDP($B$14,"BEST_EPS","BEST_FPERIOD_OVERRIDE","26Y")</f>
        <v/>
      </c>
      <c r="AL14" s="43">
        <f>BDP($B$14,"BEST_EPS","BEST_FPERIOD_OVERRIDE","27Y")</f>
        <v/>
      </c>
      <c r="AM14" s="43">
        <f>BDP($B$14,"BEST_EPS","BEST_FPERIOD_OVERRIDE","28Y")</f>
        <v/>
      </c>
      <c r="AN14" s="31" t="n"/>
      <c r="AO14" s="48">
        <f>BDP($B$14,"BEST_SALES","BEST_FPERIOD_OVERRIDE","24Y")</f>
        <v/>
      </c>
      <c r="AP14" s="43">
        <f>BDP($B$14,"BEST_SALES","BEST_FPERIOD_OVERRIDE","25Y")</f>
        <v/>
      </c>
      <c r="AQ14" s="43">
        <f>BDP($B$14,"BEST_SALES","BEST_FPERIOD_OVERRIDE","26Y")</f>
        <v/>
      </c>
      <c r="AR14" s="43">
        <f>BDP($B$14,"BEST_SALES","BEST_FPERIOD_OVERRIDE","27Y")</f>
        <v/>
      </c>
      <c r="AS14" s="43">
        <f>BDP($B$14,"BEST_SALES","BEST_FPERIOD_OVERRIDE","28Y")</f>
        <v/>
      </c>
      <c r="AT14" s="31" t="n"/>
      <c r="AU14" s="48">
        <f>BDP($B$14,"BEST_EBIT","BEST_FPERIOD_OVERRIDE","24Y")</f>
        <v/>
      </c>
      <c r="AV14" s="43">
        <f>BDP($B$14,"BEST_EBIT","BEST_FPERIOD_OVERRIDE","25Y")</f>
        <v/>
      </c>
      <c r="AW14" s="43">
        <f>BDP($B$14,"BEST_EBIT","BEST_FPERIOD_OVERRIDE","26Y")</f>
        <v/>
      </c>
      <c r="AX14" s="43">
        <f>BDP($B$14,"BEST_EBIT","BEST_FPERIOD_OVERRIDE","27Y")</f>
        <v/>
      </c>
      <c r="AY14" s="43">
        <f>BDP($B$14,"BEST_EBIT","BEST_FPERIOD_OVERRIDE","28Y")</f>
        <v/>
      </c>
      <c r="AZ14" s="31" t="n"/>
      <c r="BA14" s="1">
        <f>C14+BD14</f>
        <v/>
      </c>
      <c r="BB14" s="42">
        <f>AB14-AD14</f>
        <v/>
      </c>
      <c r="BC14" s="42">
        <f>C14</f>
        <v/>
      </c>
      <c r="BD14" s="43">
        <f>BDP($B$14,"TRAIL_12M_EBITDA")</f>
        <v/>
      </c>
      <c r="BE14" s="43">
        <f>_xll.BDP("V US Equity","TRAIL_12M_EBITDA")</f>
        <v/>
      </c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</row>
    <row r="15">
      <c r="A15" s="1" t="inlineStr">
        <is>
          <t>SPGI</t>
        </is>
      </c>
      <c r="B15" s="1" t="inlineStr">
        <is>
          <t>SPGI US Equity</t>
        </is>
      </c>
      <c r="C15" s="43">
        <f>BDP($B$15,"CUR_MKT_CAP")/1000000000</f>
        <v/>
      </c>
      <c r="D15" s="44">
        <f>BDP($B$15,"PX_LAST")</f>
        <v/>
      </c>
      <c r="E15" s="45">
        <f>IF(BDP($B$15,"BEST_EPS","BEST_FPERIOD_OVERRIDE","26Y")&lt;&gt;0,$D$15/BDP($B$15,"BEST_EPS","BEST_FPERIOD_OVERRIDE","26Y"),"")</f>
        <v/>
      </c>
      <c r="F15" s="45">
        <f>IF(BDP($B$15,"BEST_EPS","BEST_FPERIOD_OVERRIDE","27Y")&lt;&gt;0,$D$15/BDP($B$15,"BEST_EPS","BEST_FPERIOD_OVERRIDE","27Y"),"")</f>
        <v/>
      </c>
      <c r="G15" s="45">
        <f>IF(BDP($B$15,"BEST_EPS","BEST_FPERIOD_OVERRIDE","28Y")&lt;&gt;0,$D$15/BDP($B$15,"BEST_EPS","BEST_FPERIOD_OVERRIDE","28Y"),"")</f>
        <v/>
      </c>
      <c r="H15" s="46">
        <f>BDP($B$15,"NET_DEBT_TO_EBITDA")</f>
        <v/>
      </c>
      <c r="I15" s="43">
        <f>BDP($B$15,"BEST_SALES","BEST_FPERIOD_OVERRIDE","26Y")/1000</f>
        <v/>
      </c>
      <c r="J15" s="47">
        <f>IF(BDP($B$15,"BEST_SALES","BEST_FPERIOD_OVERRIDE","26Y")&lt;&gt;0,BDP($B$15,"BEST_EBIT","BEST_FPERIOD_OVERRIDE","26Y")/BDP($B$15,"BEST_SALES","BEST_FPERIOD_OVERRIDE","26Y"),"")</f>
        <v/>
      </c>
      <c r="K15" s="47">
        <f>BDP($B$15,"RETURN_ON_INV_CAPITAL")/100</f>
        <v/>
      </c>
      <c r="L15" s="47">
        <f>IF(AND(BDP($B$15,"BEST_SALES","BEST_FPERIOD_OVERRIDE","25Y")&gt;0,BDP($B$15,"BEST_SALES","BEST_FPERIOD_OVERRIDE","28Y")&gt;0),(BDP($B$15,"BEST_SALES","BEST_FPERIOD_OVERRIDE","28Y")/BDP($B$15,"BEST_SALES","BEST_FPERIOD_OVERRIDE","25Y"))^(1/3)-1,"")</f>
        <v/>
      </c>
      <c r="M15" s="47">
        <f>IF(AND(BDP($B$15,"BEST_EBIT","BEST_FPERIOD_OVERRIDE","25Y")&gt;0,BDP($B$15,"BEST_EBIT","BEST_FPERIOD_OVERRIDE","28Y")&gt;0),(BDP($B$15,"BEST_EBIT","BEST_FPERIOD_OVERRIDE","28Y")/BDP($B$15,"BEST_EBIT","BEST_FPERIOD_OVERRIDE","25Y"))^(1/3)-1,"")</f>
        <v/>
      </c>
      <c r="N15" s="47">
        <f>IF(AND(BDP($B$15,"BEST_EPS","BEST_FPERIOD_OVERRIDE","25Y")&gt;0,BDP($B$15,"BEST_EPS","BEST_FPERIOD_OVERRIDE","28Y")&gt;0),(BDP($B$15,"BEST_EPS","BEST_FPERIOD_OVERRIDE","28Y")/BDP($B$15,"BEST_EPS","BEST_FPERIOD_OVERRIDE","25Y"))^(1/3)-1,"")</f>
        <v/>
      </c>
      <c r="O15" s="1" t="n"/>
      <c r="P15" s="47">
        <f>BDP($B$15,"CHG_PCT_YTD")/100</f>
        <v/>
      </c>
      <c r="Q15" s="1" t="n"/>
      <c r="R15" s="1" t="n"/>
      <c r="S15" s="42">
        <f>IF(AND(E15&lt;&gt;"",N15&lt;&gt;"",N15&lt;&gt;0),E15/(N15*100),"")</f>
        <v/>
      </c>
      <c r="T15" s="1" t="n"/>
      <c r="U15" s="26" t="inlineStr">
        <is>
          <t>Dec</t>
        </is>
      </c>
      <c r="V15" s="1" t="n"/>
      <c r="W15" s="1" t="n"/>
      <c r="X15" s="1" t="n"/>
      <c r="Y15" s="1" t="n"/>
      <c r="Z15" s="1" t="n"/>
      <c r="AA15" s="48">
        <f>BDP($B$15,"TRAIL_12M_OPER_INC")</f>
        <v/>
      </c>
      <c r="AB15" s="43">
        <f>BDP($B$15,"SHORT_AND_LONG_TERM_DEBT")</f>
        <v/>
      </c>
      <c r="AC15" s="43">
        <f>BDP($B$15,"TOTAL_EQUITY")</f>
        <v/>
      </c>
      <c r="AD15" s="43">
        <f>BDP($B$15,"BS_CASH_NEAR_CASH_ITEM")</f>
        <v/>
      </c>
      <c r="AE15" s="43">
        <f>BDP($B$15,"BS_LT_INVEST")</f>
        <v/>
      </c>
      <c r="AF15" s="31">
        <f>AB15+AC15</f>
        <v/>
      </c>
      <c r="AG15" s="43">
        <f>BDP($B$15,"RETURN_ON_INV_CAPITAL")/100</f>
        <v/>
      </c>
      <c r="AH15" s="49" t="n"/>
      <c r="AI15" s="48">
        <f>BDP($B$15,"BEST_EPS","BEST_FPERIOD_OVERRIDE","24Y")</f>
        <v/>
      </c>
      <c r="AJ15" s="43">
        <f>BDP($B$15,"BEST_EPS","BEST_FPERIOD_OVERRIDE","25Y")</f>
        <v/>
      </c>
      <c r="AK15" s="43">
        <f>BDP($B$15,"BEST_EPS","BEST_FPERIOD_OVERRIDE","26Y")</f>
        <v/>
      </c>
      <c r="AL15" s="43">
        <f>BDP($B$15,"BEST_EPS","BEST_FPERIOD_OVERRIDE","27Y")</f>
        <v/>
      </c>
      <c r="AM15" s="43">
        <f>BDP($B$15,"BEST_EPS","BEST_FPERIOD_OVERRIDE","28Y")</f>
        <v/>
      </c>
      <c r="AN15" s="31" t="n"/>
      <c r="AO15" s="48">
        <f>BDP($B$15,"BEST_SALES","BEST_FPERIOD_OVERRIDE","24Y")</f>
        <v/>
      </c>
      <c r="AP15" s="43">
        <f>BDP($B$15,"BEST_SALES","BEST_FPERIOD_OVERRIDE","25Y")</f>
        <v/>
      </c>
      <c r="AQ15" s="43">
        <f>BDP($B$15,"BEST_SALES","BEST_FPERIOD_OVERRIDE","26Y")</f>
        <v/>
      </c>
      <c r="AR15" s="43">
        <f>BDP($B$15,"BEST_SALES","BEST_FPERIOD_OVERRIDE","27Y")</f>
        <v/>
      </c>
      <c r="AS15" s="43">
        <f>BDP($B$15,"BEST_SALES","BEST_FPERIOD_OVERRIDE","28Y")</f>
        <v/>
      </c>
      <c r="AT15" s="31" t="n"/>
      <c r="AU15" s="48">
        <f>BDP($B$15,"BEST_EBIT","BEST_FPERIOD_OVERRIDE","24Y")</f>
        <v/>
      </c>
      <c r="AV15" s="43">
        <f>BDP($B$15,"BEST_EBIT","BEST_FPERIOD_OVERRIDE","25Y")</f>
        <v/>
      </c>
      <c r="AW15" s="43">
        <f>BDP($B$15,"BEST_EBIT","BEST_FPERIOD_OVERRIDE","26Y")</f>
        <v/>
      </c>
      <c r="AX15" s="43">
        <f>BDP($B$15,"BEST_EBIT","BEST_FPERIOD_OVERRIDE","27Y")</f>
        <v/>
      </c>
      <c r="AY15" s="43">
        <f>BDP($B$15,"BEST_EBIT","BEST_FPERIOD_OVERRIDE","28Y")</f>
        <v/>
      </c>
      <c r="AZ15" s="31" t="n"/>
      <c r="BA15" s="1">
        <f>C15+BD15</f>
        <v/>
      </c>
      <c r="BB15" s="42">
        <f>AB15-AD15</f>
        <v/>
      </c>
      <c r="BC15" s="42">
        <f>C15</f>
        <v/>
      </c>
      <c r="BD15" s="43">
        <f>BDP($B$15,"TRAIL_12M_EBITDA")</f>
        <v/>
      </c>
      <c r="BE15" s="43">
        <f>_xll.BDP("SPGI US Equity","TRAIL_12M_EBITDA")</f>
        <v/>
      </c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</row>
    <row r="16">
      <c r="A16" s="3" t="inlineStr">
        <is>
          <t>Average</t>
        </is>
      </c>
      <c r="B16" s="3" t="n"/>
      <c r="C16" s="11" t="n"/>
      <c r="D16" s="50" t="n"/>
      <c r="E16" s="51">
        <f>AVERAGE(E12:E15)</f>
        <v/>
      </c>
      <c r="F16" s="51">
        <f>AVERAGE(F12:F15)</f>
        <v/>
      </c>
      <c r="G16" s="51">
        <f>AVERAGE(G12:G15)</f>
        <v/>
      </c>
      <c r="H16" s="52">
        <f>AVERAGE(H12:H15)</f>
        <v/>
      </c>
      <c r="I16" s="53" t="n"/>
      <c r="J16" s="54">
        <f>AVERAGE(J12:J15)</f>
        <v/>
      </c>
      <c r="K16" s="54">
        <f>AVERAGE(K12:K15)</f>
        <v/>
      </c>
      <c r="L16" s="54">
        <f>AVERAGE(L12:L15)</f>
        <v/>
      </c>
      <c r="M16" s="54">
        <f>AVERAGE(M12:M15)</f>
        <v/>
      </c>
      <c r="N16" s="54">
        <f>AVERAGE(N12:N15)</f>
        <v/>
      </c>
      <c r="O16" s="3" t="n"/>
      <c r="P16" s="3" t="n"/>
      <c r="Q16" s="3" t="n"/>
      <c r="R16" s="3" t="n"/>
      <c r="S16" s="56" t="n">
        <v>1.976546491521751</v>
      </c>
      <c r="T16" s="1" t="n"/>
      <c r="U16" s="27" t="n"/>
      <c r="V16" s="1" t="n"/>
      <c r="W16" s="1" t="n"/>
      <c r="X16" s="1" t="n"/>
      <c r="Y16" s="1" t="n"/>
      <c r="Z16" s="1" t="n"/>
      <c r="AA16" s="1" t="n"/>
      <c r="AB16" s="4" t="n"/>
      <c r="AC16" s="4" t="n"/>
      <c r="AD16" s="4" t="n"/>
      <c r="AE16" s="4" t="n"/>
      <c r="AF16" s="4" t="n"/>
      <c r="AG16" s="4" t="n"/>
      <c r="AH16" s="41" t="n"/>
      <c r="AI16" s="1" t="n"/>
      <c r="AJ16" s="4" t="n"/>
      <c r="AK16" s="4" t="n"/>
      <c r="AL16" s="4" t="n"/>
      <c r="AM16" s="4" t="n"/>
      <c r="AN16" s="4" t="n"/>
      <c r="AO16" s="1" t="n"/>
      <c r="AP16" s="4" t="n"/>
      <c r="AQ16" s="4" t="n"/>
      <c r="AR16" s="4" t="n"/>
      <c r="AS16" s="4" t="n"/>
      <c r="AT16" s="4" t="n"/>
      <c r="AU16" s="1" t="n"/>
      <c r="AV16" s="4" t="n"/>
      <c r="AW16" s="4" t="n"/>
      <c r="AX16" s="4" t="n"/>
      <c r="AY16" s="4" t="n"/>
      <c r="AZ16" s="4" t="n"/>
      <c r="BA16" s="1" t="n"/>
      <c r="BB16" s="42" t="n"/>
      <c r="BC16" s="42" t="n"/>
      <c r="BD16" s="4" t="n"/>
      <c r="BE16" s="4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</row>
    <row r="17">
      <c r="A17" s="1" t="n"/>
      <c r="B17" s="1" t="n"/>
      <c r="C17" s="4" t="n"/>
      <c r="D17" s="38" t="n"/>
      <c r="E17" s="39" t="n"/>
      <c r="F17" s="39" t="n"/>
      <c r="G17" s="39" t="n"/>
      <c r="H17" s="40" t="n"/>
      <c r="I17" s="4" t="n"/>
      <c r="J17" s="41" t="n"/>
      <c r="K17" s="41" t="n"/>
      <c r="L17" s="41" t="n"/>
      <c r="M17" s="41" t="n"/>
      <c r="N17" s="41" t="n"/>
      <c r="O17" s="1" t="n"/>
      <c r="P17" s="1" t="n"/>
      <c r="Q17" s="1" t="n"/>
      <c r="R17" s="1" t="n"/>
      <c r="S17" s="1" t="n"/>
      <c r="T17" s="1" t="n"/>
      <c r="U17" s="26" t="n"/>
      <c r="V17" s="1" t="n"/>
      <c r="W17" s="1" t="n"/>
      <c r="X17" s="1" t="n"/>
      <c r="Y17" s="1" t="n"/>
      <c r="Z17" s="1" t="n"/>
      <c r="AA17" s="1" t="n"/>
      <c r="AB17" s="4" t="n"/>
      <c r="AC17" s="4" t="n"/>
      <c r="AD17" s="4" t="n"/>
      <c r="AE17" s="4" t="n"/>
      <c r="AF17" s="4" t="n"/>
      <c r="AG17" s="4" t="n"/>
      <c r="AH17" s="41" t="n"/>
      <c r="AI17" s="1" t="n"/>
      <c r="AJ17" s="4" t="n"/>
      <c r="AK17" s="4" t="n"/>
      <c r="AL17" s="4" t="n"/>
      <c r="AM17" s="4" t="n"/>
      <c r="AN17" s="4" t="n"/>
      <c r="AO17" s="1" t="n"/>
      <c r="AP17" s="4" t="n"/>
      <c r="AQ17" s="4" t="n"/>
      <c r="AR17" s="4" t="n"/>
      <c r="AS17" s="4" t="n"/>
      <c r="AT17" s="4" t="n"/>
      <c r="AU17" s="1" t="n"/>
      <c r="AV17" s="4" t="n"/>
      <c r="AW17" s="4" t="n"/>
      <c r="AX17" s="4" t="n"/>
      <c r="AY17" s="4" t="n"/>
      <c r="AZ17" s="4" t="n"/>
      <c r="BA17" s="1" t="n"/>
      <c r="BB17" s="42" t="n"/>
      <c r="BC17" s="42" t="n"/>
      <c r="BD17" s="4" t="n"/>
      <c r="BE17" s="4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</row>
    <row r="18">
      <c r="A18" s="3" t="inlineStr">
        <is>
          <t>CPG / health and personal care</t>
        </is>
      </c>
      <c r="B18" s="1" t="n"/>
      <c r="C18" s="4" t="n"/>
      <c r="D18" s="38" t="n"/>
      <c r="E18" s="39" t="n"/>
      <c r="F18" s="39" t="n"/>
      <c r="G18" s="39" t="n"/>
      <c r="H18" s="40" t="n"/>
      <c r="I18" s="41" t="n"/>
      <c r="J18" s="41" t="n"/>
      <c r="K18" s="41" t="n"/>
      <c r="L18" s="41" t="n"/>
      <c r="M18" s="41" t="n"/>
      <c r="N18" s="41" t="n"/>
      <c r="O18" s="1" t="n"/>
      <c r="P18" s="1" t="n"/>
      <c r="Q18" s="1" t="n"/>
      <c r="R18" s="1" t="n"/>
      <c r="S18" s="1" t="n"/>
      <c r="T18" s="1" t="n"/>
      <c r="U18" s="26" t="n"/>
      <c r="V18" s="1" t="n"/>
      <c r="W18" s="1" t="n"/>
      <c r="X18" s="1" t="n"/>
      <c r="Y18" s="1" t="n"/>
      <c r="Z18" s="1" t="n"/>
      <c r="AA18" s="1" t="n"/>
      <c r="AB18" s="4" t="n"/>
      <c r="AC18" s="4" t="n"/>
      <c r="AD18" s="4" t="n"/>
      <c r="AE18" s="4" t="n"/>
      <c r="AF18" s="4" t="n"/>
      <c r="AG18" s="4" t="n"/>
      <c r="AH18" s="41" t="n"/>
      <c r="AI18" s="1" t="n"/>
      <c r="AJ18" s="4" t="n"/>
      <c r="AK18" s="4" t="n"/>
      <c r="AL18" s="4" t="n"/>
      <c r="AM18" s="4" t="n"/>
      <c r="AN18" s="4" t="n"/>
      <c r="AO18" s="1" t="n"/>
      <c r="AP18" s="4" t="n"/>
      <c r="AQ18" s="4" t="n"/>
      <c r="AR18" s="4" t="n"/>
      <c r="AS18" s="4" t="n"/>
      <c r="AT18" s="4" t="n"/>
      <c r="AU18" s="1" t="n"/>
      <c r="AV18" s="4" t="n"/>
      <c r="AW18" s="4" t="n"/>
      <c r="AX18" s="4" t="n"/>
      <c r="AY18" s="4" t="n"/>
      <c r="AZ18" s="4" t="n"/>
      <c r="BA18" s="1" t="n"/>
      <c r="BB18" s="42" t="n"/>
      <c r="BC18" s="42" t="n"/>
      <c r="BD18" s="4" t="n"/>
      <c r="BE18" s="4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</row>
    <row r="19">
      <c r="A19" s="1" t="inlineStr">
        <is>
          <t>PG</t>
        </is>
      </c>
      <c r="B19" s="1" t="inlineStr">
        <is>
          <t>PG US Equity</t>
        </is>
      </c>
      <c r="C19" s="43">
        <f>BDP($B$19,"CUR_MKT_CAP")/1000000000</f>
        <v/>
      </c>
      <c r="D19" s="44">
        <f>BDP($B$19,"PX_LAST")</f>
        <v/>
      </c>
      <c r="E19" s="45">
        <f>IF(BDP($B$19,"BEST_EPS","BEST_FPERIOD_OVERRIDE","26Y")&lt;&gt;0,$D$19/BDP($B$19,"BEST_EPS","BEST_FPERIOD_OVERRIDE","26Y"),"")</f>
        <v/>
      </c>
      <c r="F19" s="45">
        <f>IF(BDP($B$19,"BEST_EPS","BEST_FPERIOD_OVERRIDE","27Y")&lt;&gt;0,$D$19/BDP($B$19,"BEST_EPS","BEST_FPERIOD_OVERRIDE","27Y"),"")</f>
        <v/>
      </c>
      <c r="G19" s="45">
        <f>IF(BDP($B$19,"BEST_EPS","BEST_FPERIOD_OVERRIDE","28Y")&lt;&gt;0,$D$19/BDP($B$19,"BEST_EPS","BEST_FPERIOD_OVERRIDE","28Y"),"")</f>
        <v/>
      </c>
      <c r="H19" s="46">
        <f>BDP($B$19,"NET_DEBT_TO_EBITDA")</f>
        <v/>
      </c>
      <c r="I19" s="43">
        <f>BDP($B$19,"BEST_SALES","BEST_FPERIOD_OVERRIDE","26Y")/1000</f>
        <v/>
      </c>
      <c r="J19" s="47">
        <f>IF(BDP($B$19,"BEST_SALES","BEST_FPERIOD_OVERRIDE","26Y")&lt;&gt;0,BDP($B$19,"BEST_EBIT","BEST_FPERIOD_OVERRIDE","26Y")/BDP($B$19,"BEST_SALES","BEST_FPERIOD_OVERRIDE","26Y"),"")</f>
        <v/>
      </c>
      <c r="K19" s="47">
        <f>BDP($B$19,"RETURN_ON_INV_CAPITAL")/100</f>
        <v/>
      </c>
      <c r="L19" s="47">
        <f>IF(AND(BDP($B$19,"BEST_SALES","BEST_FPERIOD_OVERRIDE","25Y")&gt;0,BDP($B$19,"BEST_SALES","BEST_FPERIOD_OVERRIDE","28Y")&gt;0),(BDP($B$19,"BEST_SALES","BEST_FPERIOD_OVERRIDE","28Y")/BDP($B$19,"BEST_SALES","BEST_FPERIOD_OVERRIDE","25Y"))^(1/3)-1,"")</f>
        <v/>
      </c>
      <c r="M19" s="47">
        <f>IF(AND(BDP($B$19,"BEST_EBIT","BEST_FPERIOD_OVERRIDE","25Y")&gt;0,BDP($B$19,"BEST_EBIT","BEST_FPERIOD_OVERRIDE","28Y")&gt;0),(BDP($B$19,"BEST_EBIT","BEST_FPERIOD_OVERRIDE","28Y")/BDP($B$19,"BEST_EBIT","BEST_FPERIOD_OVERRIDE","25Y"))^(1/3)-1,"")</f>
        <v/>
      </c>
      <c r="N19" s="47">
        <f>IF(AND(BDP($B$19,"BEST_EPS","BEST_FPERIOD_OVERRIDE","25Y")&gt;0,BDP($B$19,"BEST_EPS","BEST_FPERIOD_OVERRIDE","28Y")&gt;0),(BDP($B$19,"BEST_EPS","BEST_FPERIOD_OVERRIDE","28Y")/BDP($B$19,"BEST_EPS","BEST_FPERIOD_OVERRIDE","25Y"))^(1/3)-1,"")</f>
        <v/>
      </c>
      <c r="O19" s="1" t="n"/>
      <c r="P19" s="47">
        <f>BDP($B$19,"CHG_PCT_YTD")/100</f>
        <v/>
      </c>
      <c r="Q19" s="1" t="n"/>
      <c r="R19" s="1" t="n"/>
      <c r="S19" s="42">
        <f>IF(AND(E19&lt;&gt;"",N19&lt;&gt;"",N19&lt;&gt;0),E19/(N19*100),"")</f>
        <v/>
      </c>
      <c r="T19" s="1" t="n"/>
      <c r="U19" s="26" t="inlineStr">
        <is>
          <t>Jun</t>
        </is>
      </c>
      <c r="V19" s="1" t="n"/>
      <c r="W19" s="1" t="n"/>
      <c r="X19" s="1" t="n"/>
      <c r="Y19" s="1" t="n"/>
      <c r="Z19" s="1" t="n"/>
      <c r="AA19" s="48">
        <f>BDP($B$19,"TRAIL_12M_OPER_INC")</f>
        <v/>
      </c>
      <c r="AB19" s="43">
        <f>BDP($B$19,"SHORT_AND_LONG_TERM_DEBT")</f>
        <v/>
      </c>
      <c r="AC19" s="43">
        <f>BDP($B$19,"TOTAL_EQUITY")</f>
        <v/>
      </c>
      <c r="AD19" s="43">
        <f>BDP($B$19,"BS_CASH_NEAR_CASH_ITEM")</f>
        <v/>
      </c>
      <c r="AE19" s="43">
        <f>BDP($B$19,"BS_LT_INVEST")</f>
        <v/>
      </c>
      <c r="AF19" s="31">
        <f>AB19+AC19</f>
        <v/>
      </c>
      <c r="AG19" s="43">
        <f>BDP($B$19,"RETURN_ON_INV_CAPITAL")/100</f>
        <v/>
      </c>
      <c r="AH19" s="49" t="n"/>
      <c r="AI19" s="48">
        <f>BDP($B$19,"BEST_EPS","BEST_FPERIOD_OVERRIDE","24Y")</f>
        <v/>
      </c>
      <c r="AJ19" s="43">
        <f>BDP($B$19,"BEST_EPS","BEST_FPERIOD_OVERRIDE","25Y")</f>
        <v/>
      </c>
      <c r="AK19" s="43">
        <f>BDP($B$19,"BEST_EPS","BEST_FPERIOD_OVERRIDE","26Y")</f>
        <v/>
      </c>
      <c r="AL19" s="43">
        <f>BDP($B$19,"BEST_EPS","BEST_FPERIOD_OVERRIDE","27Y")</f>
        <v/>
      </c>
      <c r="AM19" s="43">
        <f>BDP($B$19,"BEST_EPS","BEST_FPERIOD_OVERRIDE","28Y")</f>
        <v/>
      </c>
      <c r="AN19" s="31" t="n"/>
      <c r="AO19" s="48">
        <f>BDP($B$19,"BEST_SALES","BEST_FPERIOD_OVERRIDE","24Y")</f>
        <v/>
      </c>
      <c r="AP19" s="43">
        <f>BDP($B$19,"BEST_SALES","BEST_FPERIOD_OVERRIDE","25Y")</f>
        <v/>
      </c>
      <c r="AQ19" s="43">
        <f>BDP($B$19,"BEST_SALES","BEST_FPERIOD_OVERRIDE","26Y")</f>
        <v/>
      </c>
      <c r="AR19" s="43">
        <f>BDP($B$19,"BEST_SALES","BEST_FPERIOD_OVERRIDE","27Y")</f>
        <v/>
      </c>
      <c r="AS19" s="43">
        <f>BDP($B$19,"BEST_SALES","BEST_FPERIOD_OVERRIDE","28Y")</f>
        <v/>
      </c>
      <c r="AT19" s="31" t="n"/>
      <c r="AU19" s="48">
        <f>BDP($B$19,"BEST_EBIT","BEST_FPERIOD_OVERRIDE","24Y")</f>
        <v/>
      </c>
      <c r="AV19" s="43">
        <f>BDP($B$19,"BEST_EBIT","BEST_FPERIOD_OVERRIDE","25Y")</f>
        <v/>
      </c>
      <c r="AW19" s="43">
        <f>BDP($B$19,"BEST_EBIT","BEST_FPERIOD_OVERRIDE","26Y")</f>
        <v/>
      </c>
      <c r="AX19" s="43">
        <f>BDP($B$19,"BEST_EBIT","BEST_FPERIOD_OVERRIDE","27Y")</f>
        <v/>
      </c>
      <c r="AY19" s="43">
        <f>BDP($B$19,"BEST_EBIT","BEST_FPERIOD_OVERRIDE","28Y")</f>
        <v/>
      </c>
      <c r="AZ19" s="31" t="n"/>
      <c r="BA19" s="1">
        <f>C19+BD19</f>
        <v/>
      </c>
      <c r="BB19" s="42">
        <f>AB19-AD19</f>
        <v/>
      </c>
      <c r="BC19" s="42">
        <f>C19</f>
        <v/>
      </c>
      <c r="BD19" s="43">
        <f>BDP($B$19,"TRAIL_12M_EBITDA")</f>
        <v/>
      </c>
      <c r="BE19" s="43">
        <f>_xll.BDP("PG US Equity","TRAIL_12M_EBITDA")</f>
        <v/>
      </c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</row>
    <row r="20">
      <c r="A20" s="1" t="inlineStr">
        <is>
          <t>KO</t>
        </is>
      </c>
      <c r="B20" s="1" t="inlineStr">
        <is>
          <t>KO US Equity</t>
        </is>
      </c>
      <c r="C20" s="43">
        <f>BDP($B$20,"CUR_MKT_CAP")/1000000000</f>
        <v/>
      </c>
      <c r="D20" s="44">
        <f>BDP($B$20,"PX_LAST")</f>
        <v/>
      </c>
      <c r="E20" s="45">
        <f>IF(BDP($B$20,"BEST_EPS","BEST_FPERIOD_OVERRIDE","26Y")&lt;&gt;0,$D$20/BDP($B$20,"BEST_EPS","BEST_FPERIOD_OVERRIDE","26Y"),"")</f>
        <v/>
      </c>
      <c r="F20" s="45">
        <f>IF(BDP($B$20,"BEST_EPS","BEST_FPERIOD_OVERRIDE","27Y")&lt;&gt;0,$D$20/BDP($B$20,"BEST_EPS","BEST_FPERIOD_OVERRIDE","27Y"),"")</f>
        <v/>
      </c>
      <c r="G20" s="45">
        <f>IF(BDP($B$20,"BEST_EPS","BEST_FPERIOD_OVERRIDE","28Y")&lt;&gt;0,$D$20/BDP($B$20,"BEST_EPS","BEST_FPERIOD_OVERRIDE","28Y"),"")</f>
        <v/>
      </c>
      <c r="H20" s="46">
        <f>BDP($B$20,"NET_DEBT_TO_EBITDA")</f>
        <v/>
      </c>
      <c r="I20" s="43">
        <f>BDP($B$20,"BEST_SALES","BEST_FPERIOD_OVERRIDE","26Y")/1000</f>
        <v/>
      </c>
      <c r="J20" s="47">
        <f>IF(BDP($B$20,"BEST_SALES","BEST_FPERIOD_OVERRIDE","26Y")&lt;&gt;0,BDP($B$20,"BEST_EBIT","BEST_FPERIOD_OVERRIDE","26Y")/BDP($B$20,"BEST_SALES","BEST_FPERIOD_OVERRIDE","26Y"),"")</f>
        <v/>
      </c>
      <c r="K20" s="47">
        <f>BDP($B$20,"RETURN_ON_INV_CAPITAL")/100</f>
        <v/>
      </c>
      <c r="L20" s="47">
        <f>IF(AND(BDP($B$20,"BEST_SALES","BEST_FPERIOD_OVERRIDE","25Y")&gt;0,BDP($B$20,"BEST_SALES","BEST_FPERIOD_OVERRIDE","28Y")&gt;0),(BDP($B$20,"BEST_SALES","BEST_FPERIOD_OVERRIDE","28Y")/BDP($B$20,"BEST_SALES","BEST_FPERIOD_OVERRIDE","25Y"))^(1/3)-1,"")</f>
        <v/>
      </c>
      <c r="M20" s="47">
        <f>IF(AND(BDP($B$20,"BEST_EBIT","BEST_FPERIOD_OVERRIDE","25Y")&gt;0,BDP($B$20,"BEST_EBIT","BEST_FPERIOD_OVERRIDE","28Y")&gt;0),(BDP($B$20,"BEST_EBIT","BEST_FPERIOD_OVERRIDE","28Y")/BDP($B$20,"BEST_EBIT","BEST_FPERIOD_OVERRIDE","25Y"))^(1/3)-1,"")</f>
        <v/>
      </c>
      <c r="N20" s="47">
        <f>IF(AND(BDP($B$20,"BEST_EPS","BEST_FPERIOD_OVERRIDE","25Y")&gt;0,BDP($B$20,"BEST_EPS","BEST_FPERIOD_OVERRIDE","28Y")&gt;0),(BDP($B$20,"BEST_EPS","BEST_FPERIOD_OVERRIDE","28Y")/BDP($B$20,"BEST_EPS","BEST_FPERIOD_OVERRIDE","25Y"))^(1/3)-1,"")</f>
        <v/>
      </c>
      <c r="O20" s="1" t="n"/>
      <c r="P20" s="47">
        <f>BDP($B$20,"CHG_PCT_YTD")/100</f>
        <v/>
      </c>
      <c r="Q20" s="1" t="n"/>
      <c r="R20" s="1" t="n"/>
      <c r="S20" s="42">
        <f>IF(AND(E20&lt;&gt;"",N20&lt;&gt;"",N20&lt;&gt;0),E20/(N20*100),"")</f>
        <v/>
      </c>
      <c r="T20" s="1" t="n"/>
      <c r="U20" s="26" t="inlineStr">
        <is>
          <t>Dec</t>
        </is>
      </c>
      <c r="V20" s="1" t="n"/>
      <c r="W20" s="1" t="n"/>
      <c r="X20" s="1" t="n"/>
      <c r="Y20" s="1" t="n"/>
      <c r="Z20" s="1" t="n"/>
      <c r="AA20" s="48">
        <f>BDP($B$20,"TRAIL_12M_OPER_INC")</f>
        <v/>
      </c>
      <c r="AB20" s="43">
        <f>BDP($B$20,"SHORT_AND_LONG_TERM_DEBT")</f>
        <v/>
      </c>
      <c r="AC20" s="43">
        <f>BDP($B$20,"TOTAL_EQUITY")</f>
        <v/>
      </c>
      <c r="AD20" s="43">
        <f>BDP($B$20,"BS_CASH_NEAR_CASH_ITEM")</f>
        <v/>
      </c>
      <c r="AE20" s="43">
        <f>BDP($B$20,"BS_LT_INVEST")</f>
        <v/>
      </c>
      <c r="AF20" s="31">
        <f>AB20+AC20</f>
        <v/>
      </c>
      <c r="AG20" s="43">
        <f>BDP($B$20,"RETURN_ON_INV_CAPITAL")/100</f>
        <v/>
      </c>
      <c r="AH20" s="49" t="n"/>
      <c r="AI20" s="48">
        <f>BDP($B$20,"BEST_EPS","BEST_FPERIOD_OVERRIDE","24Y")</f>
        <v/>
      </c>
      <c r="AJ20" s="43">
        <f>BDP($B$20,"BEST_EPS","BEST_FPERIOD_OVERRIDE","25Y")</f>
        <v/>
      </c>
      <c r="AK20" s="43">
        <f>BDP($B$20,"BEST_EPS","BEST_FPERIOD_OVERRIDE","26Y")</f>
        <v/>
      </c>
      <c r="AL20" s="43">
        <f>BDP($B$20,"BEST_EPS","BEST_FPERIOD_OVERRIDE","27Y")</f>
        <v/>
      </c>
      <c r="AM20" s="43">
        <f>BDP($B$20,"BEST_EPS","BEST_FPERIOD_OVERRIDE","28Y")</f>
        <v/>
      </c>
      <c r="AN20" s="31" t="n"/>
      <c r="AO20" s="48">
        <f>BDP($B$20,"BEST_SALES","BEST_FPERIOD_OVERRIDE","24Y")</f>
        <v/>
      </c>
      <c r="AP20" s="43">
        <f>BDP($B$20,"BEST_SALES","BEST_FPERIOD_OVERRIDE","25Y")</f>
        <v/>
      </c>
      <c r="AQ20" s="43">
        <f>BDP($B$20,"BEST_SALES","BEST_FPERIOD_OVERRIDE","26Y")</f>
        <v/>
      </c>
      <c r="AR20" s="43">
        <f>BDP($B$20,"BEST_SALES","BEST_FPERIOD_OVERRIDE","27Y")</f>
        <v/>
      </c>
      <c r="AS20" s="43">
        <f>BDP($B$20,"BEST_SALES","BEST_FPERIOD_OVERRIDE","28Y")</f>
        <v/>
      </c>
      <c r="AT20" s="31" t="n"/>
      <c r="AU20" s="48">
        <f>BDP($B$20,"BEST_EBIT","BEST_FPERIOD_OVERRIDE","24Y")</f>
        <v/>
      </c>
      <c r="AV20" s="43">
        <f>BDP($B$20,"BEST_EBIT","BEST_FPERIOD_OVERRIDE","25Y")</f>
        <v/>
      </c>
      <c r="AW20" s="43">
        <f>BDP($B$20,"BEST_EBIT","BEST_FPERIOD_OVERRIDE","26Y")</f>
        <v/>
      </c>
      <c r="AX20" s="43">
        <f>BDP($B$20,"BEST_EBIT","BEST_FPERIOD_OVERRIDE","27Y")</f>
        <v/>
      </c>
      <c r="AY20" s="43">
        <f>BDP($B$20,"BEST_EBIT","BEST_FPERIOD_OVERRIDE","28Y")</f>
        <v/>
      </c>
      <c r="AZ20" s="31" t="n"/>
      <c r="BA20" s="1">
        <f>C20+BD20</f>
        <v/>
      </c>
      <c r="BB20" s="42">
        <f>AB20-AD20</f>
        <v/>
      </c>
      <c r="BC20" s="42">
        <f>C20</f>
        <v/>
      </c>
      <c r="BD20" s="43">
        <f>BDP($B$20,"TRAIL_12M_EBITDA")</f>
        <v/>
      </c>
      <c r="BE20" s="43">
        <f>_xll.BDP("KO US Equity","TRAIL_12M_EBITDA")</f>
        <v/>
      </c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</row>
    <row r="21">
      <c r="A21" s="1" t="inlineStr">
        <is>
          <t>CHD</t>
        </is>
      </c>
      <c r="B21" s="1" t="inlineStr">
        <is>
          <t>CHD US Equity</t>
        </is>
      </c>
      <c r="C21" s="43">
        <f>BDP($B$21,"CUR_MKT_CAP")/1000000000</f>
        <v/>
      </c>
      <c r="D21" s="44">
        <f>BDP($B$21,"PX_LAST")</f>
        <v/>
      </c>
      <c r="E21" s="45">
        <f>IF(BDP($B$21,"BEST_EPS","BEST_FPERIOD_OVERRIDE","26Y")&lt;&gt;0,$D$21/BDP($B$21,"BEST_EPS","BEST_FPERIOD_OVERRIDE","26Y"),"")</f>
        <v/>
      </c>
      <c r="F21" s="45">
        <f>IF(BDP($B$21,"BEST_EPS","BEST_FPERIOD_OVERRIDE","27Y")&lt;&gt;0,$D$21/BDP($B$21,"BEST_EPS","BEST_FPERIOD_OVERRIDE","27Y"),"")</f>
        <v/>
      </c>
      <c r="G21" s="45">
        <f>IF(BDP($B$21,"BEST_EPS","BEST_FPERIOD_OVERRIDE","28Y")&lt;&gt;0,$D$21/BDP($B$21,"BEST_EPS","BEST_FPERIOD_OVERRIDE","28Y"),"")</f>
        <v/>
      </c>
      <c r="H21" s="46">
        <f>BDP($B$21,"NET_DEBT_TO_EBITDA")</f>
        <v/>
      </c>
      <c r="I21" s="43">
        <f>BDP($B$21,"BEST_SALES","BEST_FPERIOD_OVERRIDE","26Y")/1000</f>
        <v/>
      </c>
      <c r="J21" s="47">
        <f>IF(BDP($B$21,"BEST_SALES","BEST_FPERIOD_OVERRIDE","26Y")&lt;&gt;0,BDP($B$21,"BEST_EBIT","BEST_FPERIOD_OVERRIDE","26Y")/BDP($B$21,"BEST_SALES","BEST_FPERIOD_OVERRIDE","26Y"),"")</f>
        <v/>
      </c>
      <c r="K21" s="47">
        <f>BDP($B$21,"RETURN_ON_INV_CAPITAL")/100</f>
        <v/>
      </c>
      <c r="L21" s="47">
        <f>IF(AND(BDP($B$21,"BEST_SALES","BEST_FPERIOD_OVERRIDE","25Y")&gt;0,BDP($B$21,"BEST_SALES","BEST_FPERIOD_OVERRIDE","28Y")&gt;0),(BDP($B$21,"BEST_SALES","BEST_FPERIOD_OVERRIDE","28Y")/BDP($B$21,"BEST_SALES","BEST_FPERIOD_OVERRIDE","25Y"))^(1/3)-1,"")</f>
        <v/>
      </c>
      <c r="M21" s="47">
        <f>IF(AND(BDP($B$21,"BEST_EBIT","BEST_FPERIOD_OVERRIDE","25Y")&gt;0,BDP($B$21,"BEST_EBIT","BEST_FPERIOD_OVERRIDE","28Y")&gt;0),(BDP($B$21,"BEST_EBIT","BEST_FPERIOD_OVERRIDE","28Y")/BDP($B$21,"BEST_EBIT","BEST_FPERIOD_OVERRIDE","25Y"))^(1/3)-1,"")</f>
        <v/>
      </c>
      <c r="N21" s="47">
        <f>IF(AND(BDP($B$21,"BEST_EPS","BEST_FPERIOD_OVERRIDE","25Y")&gt;0,BDP($B$21,"BEST_EPS","BEST_FPERIOD_OVERRIDE","28Y")&gt;0),(BDP($B$21,"BEST_EPS","BEST_FPERIOD_OVERRIDE","28Y")/BDP($B$21,"BEST_EPS","BEST_FPERIOD_OVERRIDE","25Y"))^(1/3)-1,"")</f>
        <v/>
      </c>
      <c r="O21" s="1" t="n"/>
      <c r="P21" s="47">
        <f>BDP($B$21,"CHG_PCT_YTD")/100</f>
        <v/>
      </c>
      <c r="Q21" s="1" t="n"/>
      <c r="R21" s="1" t="n"/>
      <c r="S21" s="42">
        <f>IF(AND(E21&lt;&gt;"",N21&lt;&gt;"",N21&lt;&gt;0),E21/(N21*100),"")</f>
        <v/>
      </c>
      <c r="T21" s="1" t="n"/>
      <c r="U21" s="26" t="inlineStr">
        <is>
          <t>Dec</t>
        </is>
      </c>
      <c r="V21" s="1" t="n"/>
      <c r="W21" s="1" t="n"/>
      <c r="X21" s="1" t="n"/>
      <c r="Y21" s="1" t="n"/>
      <c r="Z21" s="1" t="n"/>
      <c r="AA21" s="48">
        <f>BDP($B$21,"TRAIL_12M_OPER_INC")</f>
        <v/>
      </c>
      <c r="AB21" s="43">
        <f>BDP($B$21,"SHORT_AND_LONG_TERM_DEBT")</f>
        <v/>
      </c>
      <c r="AC21" s="43">
        <f>BDP($B$21,"TOTAL_EQUITY")</f>
        <v/>
      </c>
      <c r="AD21" s="43">
        <f>BDP($B$21,"BS_CASH_NEAR_CASH_ITEM")</f>
        <v/>
      </c>
      <c r="AE21" s="43">
        <f>BDP($B$21,"BS_LT_INVEST")</f>
        <v/>
      </c>
      <c r="AF21" s="31">
        <f>AB21+AC21</f>
        <v/>
      </c>
      <c r="AG21" s="43">
        <f>BDP($B$21,"RETURN_ON_INV_CAPITAL")/100</f>
        <v/>
      </c>
      <c r="AH21" s="49" t="n"/>
      <c r="AI21" s="48">
        <f>BDP($B$21,"BEST_EPS","BEST_FPERIOD_OVERRIDE","24Y")</f>
        <v/>
      </c>
      <c r="AJ21" s="43">
        <f>BDP($B$21,"BEST_EPS","BEST_FPERIOD_OVERRIDE","25Y")</f>
        <v/>
      </c>
      <c r="AK21" s="43">
        <f>BDP($B$21,"BEST_EPS","BEST_FPERIOD_OVERRIDE","26Y")</f>
        <v/>
      </c>
      <c r="AL21" s="43">
        <f>BDP($B$21,"BEST_EPS","BEST_FPERIOD_OVERRIDE","27Y")</f>
        <v/>
      </c>
      <c r="AM21" s="43">
        <f>BDP($B$21,"BEST_EPS","BEST_FPERIOD_OVERRIDE","28Y")</f>
        <v/>
      </c>
      <c r="AN21" s="31" t="n"/>
      <c r="AO21" s="48">
        <f>BDP($B$21,"BEST_SALES","BEST_FPERIOD_OVERRIDE","24Y")</f>
        <v/>
      </c>
      <c r="AP21" s="43">
        <f>BDP($B$21,"BEST_SALES","BEST_FPERIOD_OVERRIDE","25Y")</f>
        <v/>
      </c>
      <c r="AQ21" s="43">
        <f>BDP($B$21,"BEST_SALES","BEST_FPERIOD_OVERRIDE","26Y")</f>
        <v/>
      </c>
      <c r="AR21" s="43">
        <f>BDP($B$21,"BEST_SALES","BEST_FPERIOD_OVERRIDE","27Y")</f>
        <v/>
      </c>
      <c r="AS21" s="43">
        <f>BDP($B$21,"BEST_SALES","BEST_FPERIOD_OVERRIDE","28Y")</f>
        <v/>
      </c>
      <c r="AT21" s="31" t="n"/>
      <c r="AU21" s="48">
        <f>BDP($B$21,"BEST_EBIT","BEST_FPERIOD_OVERRIDE","24Y")</f>
        <v/>
      </c>
      <c r="AV21" s="43">
        <f>BDP($B$21,"BEST_EBIT","BEST_FPERIOD_OVERRIDE","25Y")</f>
        <v/>
      </c>
      <c r="AW21" s="43">
        <f>BDP($B$21,"BEST_EBIT","BEST_FPERIOD_OVERRIDE","26Y")</f>
        <v/>
      </c>
      <c r="AX21" s="43">
        <f>BDP($B$21,"BEST_EBIT","BEST_FPERIOD_OVERRIDE","27Y")</f>
        <v/>
      </c>
      <c r="AY21" s="43">
        <f>BDP($B$21,"BEST_EBIT","BEST_FPERIOD_OVERRIDE","28Y")</f>
        <v/>
      </c>
      <c r="AZ21" s="31" t="n"/>
      <c r="BA21" s="1">
        <f>C21+BD21</f>
        <v/>
      </c>
      <c r="BB21" s="42">
        <f>AB21-AD21</f>
        <v/>
      </c>
      <c r="BC21" s="42">
        <f>C21</f>
        <v/>
      </c>
      <c r="BD21" s="43">
        <f>BDP($B$21,"TRAIL_12M_EBITDA")</f>
        <v/>
      </c>
      <c r="BE21" s="43">
        <f>_xll.BDP("CHD US Equity","TRAIL_12M_EBITDA")</f>
        <v/>
      </c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</row>
    <row r="22">
      <c r="A22" s="1" t="inlineStr">
        <is>
          <t>CL</t>
        </is>
      </c>
      <c r="B22" s="1" t="inlineStr">
        <is>
          <t>CL US Equity</t>
        </is>
      </c>
      <c r="C22" s="43">
        <f>BDP($B$22,"CUR_MKT_CAP")/1000000000</f>
        <v/>
      </c>
      <c r="D22" s="44">
        <f>BDP($B$22,"PX_LAST")</f>
        <v/>
      </c>
      <c r="E22" s="45">
        <f>IF(BDP($B$22,"BEST_EPS","BEST_FPERIOD_OVERRIDE","26Y")&lt;&gt;0,$D$22/BDP($B$22,"BEST_EPS","BEST_FPERIOD_OVERRIDE","26Y"),"")</f>
        <v/>
      </c>
      <c r="F22" s="45">
        <f>IF(BDP($B$22,"BEST_EPS","BEST_FPERIOD_OVERRIDE","27Y")&lt;&gt;0,$D$22/BDP($B$22,"BEST_EPS","BEST_FPERIOD_OVERRIDE","27Y"),"")</f>
        <v/>
      </c>
      <c r="G22" s="45">
        <f>IF(BDP($B$22,"BEST_EPS","BEST_FPERIOD_OVERRIDE","28Y")&lt;&gt;0,$D$22/BDP($B$22,"BEST_EPS","BEST_FPERIOD_OVERRIDE","28Y"),"")</f>
        <v/>
      </c>
      <c r="H22" s="46">
        <f>BDP($B$22,"NET_DEBT_TO_EBITDA")</f>
        <v/>
      </c>
      <c r="I22" s="43">
        <f>BDP($B$22,"BEST_SALES","BEST_FPERIOD_OVERRIDE","26Y")/1000</f>
        <v/>
      </c>
      <c r="J22" s="47">
        <f>IF(BDP($B$22,"BEST_SALES","BEST_FPERIOD_OVERRIDE","26Y")&lt;&gt;0,BDP($B$22,"BEST_EBIT","BEST_FPERIOD_OVERRIDE","26Y")/BDP($B$22,"BEST_SALES","BEST_FPERIOD_OVERRIDE","26Y"),"")</f>
        <v/>
      </c>
      <c r="K22" s="47">
        <f>BDP($B$22,"RETURN_ON_INV_CAPITAL")/100</f>
        <v/>
      </c>
      <c r="L22" s="47">
        <f>IF(AND(BDP($B$22,"BEST_SALES","BEST_FPERIOD_OVERRIDE","25Y")&gt;0,BDP($B$22,"BEST_SALES","BEST_FPERIOD_OVERRIDE","28Y")&gt;0),(BDP($B$22,"BEST_SALES","BEST_FPERIOD_OVERRIDE","28Y")/BDP($B$22,"BEST_SALES","BEST_FPERIOD_OVERRIDE","25Y"))^(1/3)-1,"")</f>
        <v/>
      </c>
      <c r="M22" s="47">
        <f>IF(AND(BDP($B$22,"BEST_EBIT","BEST_FPERIOD_OVERRIDE","25Y")&gt;0,BDP($B$22,"BEST_EBIT","BEST_FPERIOD_OVERRIDE","28Y")&gt;0),(BDP($B$22,"BEST_EBIT","BEST_FPERIOD_OVERRIDE","28Y")/BDP($B$22,"BEST_EBIT","BEST_FPERIOD_OVERRIDE","25Y"))^(1/3)-1,"")</f>
        <v/>
      </c>
      <c r="N22" s="47">
        <f>IF(AND(BDP($B$22,"BEST_EPS","BEST_FPERIOD_OVERRIDE","25Y")&gt;0,BDP($B$22,"BEST_EPS","BEST_FPERIOD_OVERRIDE","28Y")&gt;0),(BDP($B$22,"BEST_EPS","BEST_FPERIOD_OVERRIDE","28Y")/BDP($B$22,"BEST_EPS","BEST_FPERIOD_OVERRIDE","25Y"))^(1/3)-1,"")</f>
        <v/>
      </c>
      <c r="O22" s="1" t="n"/>
      <c r="P22" s="47">
        <f>BDP($B$22,"CHG_PCT_YTD")/100</f>
        <v/>
      </c>
      <c r="Q22" s="1" t="n"/>
      <c r="R22" s="1" t="n"/>
      <c r="S22" s="42">
        <f>IF(AND(E22&lt;&gt;"",N22&lt;&gt;"",N22&lt;&gt;0),E22/(N22*100),"")</f>
        <v/>
      </c>
      <c r="T22" s="1" t="n"/>
      <c r="U22" s="26" t="inlineStr">
        <is>
          <t>Dec</t>
        </is>
      </c>
      <c r="V22" s="1" t="n"/>
      <c r="W22" s="1" t="n"/>
      <c r="X22" s="1" t="n"/>
      <c r="Y22" s="1" t="n"/>
      <c r="Z22" s="1" t="n"/>
      <c r="AA22" s="48">
        <f>BDP($B$22,"TRAIL_12M_OPER_INC")</f>
        <v/>
      </c>
      <c r="AB22" s="43">
        <f>BDP($B$22,"SHORT_AND_LONG_TERM_DEBT")</f>
        <v/>
      </c>
      <c r="AC22" s="43">
        <f>BDP($B$22,"TOTAL_EQUITY")</f>
        <v/>
      </c>
      <c r="AD22" s="43">
        <f>BDP($B$22,"BS_CASH_NEAR_CASH_ITEM")</f>
        <v/>
      </c>
      <c r="AE22" s="43">
        <f>BDP($B$22,"BS_LT_INVEST")</f>
        <v/>
      </c>
      <c r="AF22" s="31">
        <f>AB22+AC22</f>
        <v/>
      </c>
      <c r="AG22" s="43">
        <f>BDP($B$22,"RETURN_ON_INV_CAPITAL")/100</f>
        <v/>
      </c>
      <c r="AH22" s="49" t="n"/>
      <c r="AI22" s="48">
        <f>BDP($B$22,"BEST_EPS","BEST_FPERIOD_OVERRIDE","24Y")</f>
        <v/>
      </c>
      <c r="AJ22" s="43">
        <f>BDP($B$22,"BEST_EPS","BEST_FPERIOD_OVERRIDE","25Y")</f>
        <v/>
      </c>
      <c r="AK22" s="43">
        <f>BDP($B$22,"BEST_EPS","BEST_FPERIOD_OVERRIDE","26Y")</f>
        <v/>
      </c>
      <c r="AL22" s="43">
        <f>BDP($B$22,"BEST_EPS","BEST_FPERIOD_OVERRIDE","27Y")</f>
        <v/>
      </c>
      <c r="AM22" s="43">
        <f>BDP($B$22,"BEST_EPS","BEST_FPERIOD_OVERRIDE","28Y")</f>
        <v/>
      </c>
      <c r="AN22" s="31" t="n"/>
      <c r="AO22" s="48">
        <f>BDP($B$22,"BEST_SALES","BEST_FPERIOD_OVERRIDE","24Y")</f>
        <v/>
      </c>
      <c r="AP22" s="43">
        <f>BDP($B$22,"BEST_SALES","BEST_FPERIOD_OVERRIDE","25Y")</f>
        <v/>
      </c>
      <c r="AQ22" s="43">
        <f>BDP($B$22,"BEST_SALES","BEST_FPERIOD_OVERRIDE","26Y")</f>
        <v/>
      </c>
      <c r="AR22" s="43">
        <f>BDP($B$22,"BEST_SALES","BEST_FPERIOD_OVERRIDE","27Y")</f>
        <v/>
      </c>
      <c r="AS22" s="43">
        <f>BDP($B$22,"BEST_SALES","BEST_FPERIOD_OVERRIDE","28Y")</f>
        <v/>
      </c>
      <c r="AT22" s="31" t="n"/>
      <c r="AU22" s="48">
        <f>BDP($B$22,"BEST_EBIT","BEST_FPERIOD_OVERRIDE","24Y")</f>
        <v/>
      </c>
      <c r="AV22" s="43">
        <f>BDP($B$22,"BEST_EBIT","BEST_FPERIOD_OVERRIDE","25Y")</f>
        <v/>
      </c>
      <c r="AW22" s="43">
        <f>BDP($B$22,"BEST_EBIT","BEST_FPERIOD_OVERRIDE","26Y")</f>
        <v/>
      </c>
      <c r="AX22" s="43">
        <f>BDP($B$22,"BEST_EBIT","BEST_FPERIOD_OVERRIDE","27Y")</f>
        <v/>
      </c>
      <c r="AY22" s="43">
        <f>BDP($B$22,"BEST_EBIT","BEST_FPERIOD_OVERRIDE","28Y")</f>
        <v/>
      </c>
      <c r="AZ22" s="31" t="n"/>
      <c r="BA22" s="1">
        <f>C22+BD22</f>
        <v/>
      </c>
      <c r="BB22" s="42">
        <f>AB22-AD22</f>
        <v/>
      </c>
      <c r="BC22" s="42">
        <f>C22</f>
        <v/>
      </c>
      <c r="BD22" s="43">
        <f>BDP($B$22,"TRAIL_12M_EBITDA")</f>
        <v/>
      </c>
      <c r="BE22" s="43">
        <f>_xll.BDP("CL US Equity","TRAIL_12M_EBITDA")</f>
        <v/>
      </c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</row>
    <row r="23">
      <c r="A23" s="1" t="inlineStr">
        <is>
          <t>CLX</t>
        </is>
      </c>
      <c r="B23" s="1" t="inlineStr">
        <is>
          <t>CLX US Equity</t>
        </is>
      </c>
      <c r="C23" s="43">
        <f>BDP($B$23,"CUR_MKT_CAP")/1000000000</f>
        <v/>
      </c>
      <c r="D23" s="44">
        <f>BDP($B$23,"PX_LAST")</f>
        <v/>
      </c>
      <c r="E23" s="45">
        <f>IF(BDP($B$23,"BEST_EPS","BEST_FPERIOD_OVERRIDE","26Y")&lt;&gt;0,$D$23/BDP($B$23,"BEST_EPS","BEST_FPERIOD_OVERRIDE","26Y"),"")</f>
        <v/>
      </c>
      <c r="F23" s="45">
        <f>IF(BDP($B$23,"BEST_EPS","BEST_FPERIOD_OVERRIDE","27Y")&lt;&gt;0,$D$23/BDP($B$23,"BEST_EPS","BEST_FPERIOD_OVERRIDE","27Y"),"")</f>
        <v/>
      </c>
      <c r="G23" s="45">
        <f>IF(BDP($B$23,"BEST_EPS","BEST_FPERIOD_OVERRIDE","28Y")&lt;&gt;0,$D$23/BDP($B$23,"BEST_EPS","BEST_FPERIOD_OVERRIDE","28Y"),"")</f>
        <v/>
      </c>
      <c r="H23" s="46">
        <f>BDP($B$23,"NET_DEBT_TO_EBITDA")</f>
        <v/>
      </c>
      <c r="I23" s="43">
        <f>BDP($B$23,"BEST_SALES","BEST_FPERIOD_OVERRIDE","26Y")/1000</f>
        <v/>
      </c>
      <c r="J23" s="47">
        <f>IF(BDP($B$23,"BEST_SALES","BEST_FPERIOD_OVERRIDE","26Y")&lt;&gt;0,BDP($B$23,"BEST_EBIT","BEST_FPERIOD_OVERRIDE","26Y")/BDP($B$23,"BEST_SALES","BEST_FPERIOD_OVERRIDE","26Y"),"")</f>
        <v/>
      </c>
      <c r="K23" s="47">
        <f>BDP($B$23,"RETURN_ON_INV_CAPITAL")/100</f>
        <v/>
      </c>
      <c r="L23" s="47">
        <f>IF(AND(BDP($B$23,"BEST_SALES","BEST_FPERIOD_OVERRIDE","25Y")&gt;0,BDP($B$23,"BEST_SALES","BEST_FPERIOD_OVERRIDE","28Y")&gt;0),(BDP($B$23,"BEST_SALES","BEST_FPERIOD_OVERRIDE","28Y")/BDP($B$23,"BEST_SALES","BEST_FPERIOD_OVERRIDE","25Y"))^(1/3)-1,"")</f>
        <v/>
      </c>
      <c r="M23" s="47">
        <f>IF(AND(BDP($B$23,"BEST_EBIT","BEST_FPERIOD_OVERRIDE","25Y")&gt;0,BDP($B$23,"BEST_EBIT","BEST_FPERIOD_OVERRIDE","28Y")&gt;0),(BDP($B$23,"BEST_EBIT","BEST_FPERIOD_OVERRIDE","28Y")/BDP($B$23,"BEST_EBIT","BEST_FPERIOD_OVERRIDE","25Y"))^(1/3)-1,"")</f>
        <v/>
      </c>
      <c r="N23" s="47">
        <f>IF(AND(BDP($B$23,"BEST_EPS","BEST_FPERIOD_OVERRIDE","25Y")&gt;0,BDP($B$23,"BEST_EPS","BEST_FPERIOD_OVERRIDE","28Y")&gt;0),(BDP($B$23,"BEST_EPS","BEST_FPERIOD_OVERRIDE","28Y")/BDP($B$23,"BEST_EPS","BEST_FPERIOD_OVERRIDE","25Y"))^(1/3)-1,"")</f>
        <v/>
      </c>
      <c r="O23" s="1" t="n"/>
      <c r="P23" s="47">
        <f>BDP($B$23,"CHG_PCT_YTD")/100</f>
        <v/>
      </c>
      <c r="Q23" s="1" t="n"/>
      <c r="R23" s="1" t="n"/>
      <c r="S23" s="42">
        <f>IF(AND(E23&lt;&gt;"",N23&lt;&gt;"",N23&lt;&gt;0),E23/(N23*100),"")</f>
        <v/>
      </c>
      <c r="T23" s="1" t="n"/>
      <c r="U23" s="26" t="inlineStr">
        <is>
          <t>Jun</t>
        </is>
      </c>
      <c r="V23" s="1" t="n"/>
      <c r="W23" s="1" t="n"/>
      <c r="X23" s="1" t="n"/>
      <c r="Y23" s="1" t="n"/>
      <c r="Z23" s="1" t="n"/>
      <c r="AA23" s="48">
        <f>BDP($B$23,"TRAIL_12M_OPER_INC")</f>
        <v/>
      </c>
      <c r="AB23" s="43">
        <f>BDP($B$23,"SHORT_AND_LONG_TERM_DEBT")</f>
        <v/>
      </c>
      <c r="AC23" s="43">
        <f>BDP($B$23,"TOTAL_EQUITY")</f>
        <v/>
      </c>
      <c r="AD23" s="43">
        <f>BDP($B$23,"BS_CASH_NEAR_CASH_ITEM")</f>
        <v/>
      </c>
      <c r="AE23" s="43">
        <f>BDP($B$23,"BS_LT_INVEST")</f>
        <v/>
      </c>
      <c r="AF23" s="31">
        <f>AB23+AC23</f>
        <v/>
      </c>
      <c r="AG23" s="43">
        <f>BDP($B$23,"RETURN_ON_INV_CAPITAL")/100</f>
        <v/>
      </c>
      <c r="AH23" s="49" t="n"/>
      <c r="AI23" s="48">
        <f>BDP($B$23,"BEST_EPS","BEST_FPERIOD_OVERRIDE","24Y")</f>
        <v/>
      </c>
      <c r="AJ23" s="43">
        <f>BDP($B$23,"BEST_EPS","BEST_FPERIOD_OVERRIDE","25Y")</f>
        <v/>
      </c>
      <c r="AK23" s="43">
        <f>BDP($B$23,"BEST_EPS","BEST_FPERIOD_OVERRIDE","26Y")</f>
        <v/>
      </c>
      <c r="AL23" s="43">
        <f>BDP($B$23,"BEST_EPS","BEST_FPERIOD_OVERRIDE","27Y")</f>
        <v/>
      </c>
      <c r="AM23" s="43">
        <f>BDP($B$23,"BEST_EPS","BEST_FPERIOD_OVERRIDE","28Y")</f>
        <v/>
      </c>
      <c r="AN23" s="31" t="n"/>
      <c r="AO23" s="48">
        <f>BDP($B$23,"BEST_SALES","BEST_FPERIOD_OVERRIDE","24Y")</f>
        <v/>
      </c>
      <c r="AP23" s="43">
        <f>BDP($B$23,"BEST_SALES","BEST_FPERIOD_OVERRIDE","25Y")</f>
        <v/>
      </c>
      <c r="AQ23" s="43">
        <f>BDP($B$23,"BEST_SALES","BEST_FPERIOD_OVERRIDE","26Y")</f>
        <v/>
      </c>
      <c r="AR23" s="43">
        <f>BDP($B$23,"BEST_SALES","BEST_FPERIOD_OVERRIDE","27Y")</f>
        <v/>
      </c>
      <c r="AS23" s="43">
        <f>BDP($B$23,"BEST_SALES","BEST_FPERIOD_OVERRIDE","28Y")</f>
        <v/>
      </c>
      <c r="AT23" s="31" t="n"/>
      <c r="AU23" s="48">
        <f>BDP($B$23,"BEST_EBIT","BEST_FPERIOD_OVERRIDE","24Y")</f>
        <v/>
      </c>
      <c r="AV23" s="43">
        <f>BDP($B$23,"BEST_EBIT","BEST_FPERIOD_OVERRIDE","25Y")</f>
        <v/>
      </c>
      <c r="AW23" s="43">
        <f>BDP($B$23,"BEST_EBIT","BEST_FPERIOD_OVERRIDE","26Y")</f>
        <v/>
      </c>
      <c r="AX23" s="43">
        <f>BDP($B$23,"BEST_EBIT","BEST_FPERIOD_OVERRIDE","27Y")</f>
        <v/>
      </c>
      <c r="AY23" s="43">
        <f>BDP($B$23,"BEST_EBIT","BEST_FPERIOD_OVERRIDE","28Y")</f>
        <v/>
      </c>
      <c r="AZ23" s="31" t="n"/>
      <c r="BA23" s="1">
        <f>C23+BD23</f>
        <v/>
      </c>
      <c r="BB23" s="42">
        <f>AB23-AD23</f>
        <v/>
      </c>
      <c r="BC23" s="42">
        <f>C23</f>
        <v/>
      </c>
      <c r="BD23" s="43">
        <f>BDP($B$23,"TRAIL_12M_EBITDA")</f>
        <v/>
      </c>
      <c r="BE23" s="43">
        <f>_xll.BDP("CLX US Equity","TRAIL_12M_EBITDA")</f>
        <v/>
      </c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</row>
    <row r="24">
      <c r="A24" s="1" t="inlineStr">
        <is>
          <t>KMB</t>
        </is>
      </c>
      <c r="B24" s="1" t="inlineStr">
        <is>
          <t>KMB US Equity</t>
        </is>
      </c>
      <c r="C24" s="43">
        <f>BDP($B$24,"CUR_MKT_CAP")/1000000000</f>
        <v/>
      </c>
      <c r="D24" s="44">
        <f>BDP($B$24,"PX_LAST")</f>
        <v/>
      </c>
      <c r="E24" s="45">
        <f>IF(BDP($B$24,"BEST_EPS","BEST_FPERIOD_OVERRIDE","26Y")&lt;&gt;0,$D$24/BDP($B$24,"BEST_EPS","BEST_FPERIOD_OVERRIDE","26Y"),"")</f>
        <v/>
      </c>
      <c r="F24" s="45">
        <f>IF(BDP($B$24,"BEST_EPS","BEST_FPERIOD_OVERRIDE","27Y")&lt;&gt;0,$D$24/BDP($B$24,"BEST_EPS","BEST_FPERIOD_OVERRIDE","27Y"),"")</f>
        <v/>
      </c>
      <c r="G24" s="45">
        <f>IF(BDP($B$24,"BEST_EPS","BEST_FPERIOD_OVERRIDE","28Y")&lt;&gt;0,$D$24/BDP($B$24,"BEST_EPS","BEST_FPERIOD_OVERRIDE","28Y"),"")</f>
        <v/>
      </c>
      <c r="H24" s="46">
        <f>BDP($B$24,"NET_DEBT_TO_EBITDA")</f>
        <v/>
      </c>
      <c r="I24" s="43">
        <f>BDP($B$24,"BEST_SALES","BEST_FPERIOD_OVERRIDE","26Y")/1000</f>
        <v/>
      </c>
      <c r="J24" s="47">
        <f>IF(BDP($B$24,"BEST_SALES","BEST_FPERIOD_OVERRIDE","26Y")&lt;&gt;0,BDP($B$24,"BEST_EBIT","BEST_FPERIOD_OVERRIDE","26Y")/BDP($B$24,"BEST_SALES","BEST_FPERIOD_OVERRIDE","26Y"),"")</f>
        <v/>
      </c>
      <c r="K24" s="47">
        <f>BDP($B$24,"RETURN_ON_INV_CAPITAL")/100</f>
        <v/>
      </c>
      <c r="L24" s="47">
        <f>IF(AND(BDP($B$24,"BEST_SALES","BEST_FPERIOD_OVERRIDE","25Y")&gt;0,BDP($B$24,"BEST_SALES","BEST_FPERIOD_OVERRIDE","28Y")&gt;0),(BDP($B$24,"BEST_SALES","BEST_FPERIOD_OVERRIDE","28Y")/BDP($B$24,"BEST_SALES","BEST_FPERIOD_OVERRIDE","25Y"))^(1/3)-1,"")</f>
        <v/>
      </c>
      <c r="M24" s="47">
        <f>IF(AND(BDP($B$24,"BEST_EBIT","BEST_FPERIOD_OVERRIDE","25Y")&gt;0,BDP($B$24,"BEST_EBIT","BEST_FPERIOD_OVERRIDE","28Y")&gt;0),(BDP($B$24,"BEST_EBIT","BEST_FPERIOD_OVERRIDE","28Y")/BDP($B$24,"BEST_EBIT","BEST_FPERIOD_OVERRIDE","25Y"))^(1/3)-1,"")</f>
        <v/>
      </c>
      <c r="N24" s="47">
        <f>IF(AND(BDP($B$24,"BEST_EPS","BEST_FPERIOD_OVERRIDE","25Y")&gt;0,BDP($B$24,"BEST_EPS","BEST_FPERIOD_OVERRIDE","28Y")&gt;0),(BDP($B$24,"BEST_EPS","BEST_FPERIOD_OVERRIDE","28Y")/BDP($B$24,"BEST_EPS","BEST_FPERIOD_OVERRIDE","25Y"))^(1/3)-1,"")</f>
        <v/>
      </c>
      <c r="O24" s="1" t="n"/>
      <c r="P24" s="47">
        <f>BDP($B$24,"CHG_PCT_YTD")/100</f>
        <v/>
      </c>
      <c r="Q24" s="1" t="n"/>
      <c r="R24" s="1" t="n"/>
      <c r="S24" s="42">
        <f>IF(AND(E24&lt;&gt;"",N24&lt;&gt;"",N24&lt;&gt;0),E24/(N24*100),"")</f>
        <v/>
      </c>
      <c r="T24" s="1" t="n"/>
      <c r="U24" s="26" t="inlineStr">
        <is>
          <t>Dec</t>
        </is>
      </c>
      <c r="V24" s="1" t="n"/>
      <c r="W24" s="1" t="n"/>
      <c r="X24" s="1" t="n"/>
      <c r="Y24" s="1" t="n"/>
      <c r="Z24" s="1" t="n"/>
      <c r="AA24" s="48">
        <f>BDP($B$24,"TRAIL_12M_OPER_INC")</f>
        <v/>
      </c>
      <c r="AB24" s="43">
        <f>BDP($B$24,"SHORT_AND_LONG_TERM_DEBT")</f>
        <v/>
      </c>
      <c r="AC24" s="43">
        <f>BDP($B$24,"TOTAL_EQUITY")</f>
        <v/>
      </c>
      <c r="AD24" s="43">
        <f>BDP($B$24,"BS_CASH_NEAR_CASH_ITEM")</f>
        <v/>
      </c>
      <c r="AE24" s="43">
        <f>BDP($B$24,"BS_LT_INVEST")</f>
        <v/>
      </c>
      <c r="AF24" s="31">
        <f>AB24+AC24</f>
        <v/>
      </c>
      <c r="AG24" s="43">
        <f>BDP($B$24,"RETURN_ON_INV_CAPITAL")/100</f>
        <v/>
      </c>
      <c r="AH24" s="49" t="n"/>
      <c r="AI24" s="48">
        <f>BDP($B$24,"BEST_EPS","BEST_FPERIOD_OVERRIDE","24Y")</f>
        <v/>
      </c>
      <c r="AJ24" s="43">
        <f>BDP($B$24,"BEST_EPS","BEST_FPERIOD_OVERRIDE","25Y")</f>
        <v/>
      </c>
      <c r="AK24" s="43">
        <f>BDP($B$24,"BEST_EPS","BEST_FPERIOD_OVERRIDE","26Y")</f>
        <v/>
      </c>
      <c r="AL24" s="43">
        <f>BDP($B$24,"BEST_EPS","BEST_FPERIOD_OVERRIDE","27Y")</f>
        <v/>
      </c>
      <c r="AM24" s="43">
        <f>BDP($B$24,"BEST_EPS","BEST_FPERIOD_OVERRIDE","28Y")</f>
        <v/>
      </c>
      <c r="AN24" s="31" t="n"/>
      <c r="AO24" s="48">
        <f>BDP($B$24,"BEST_SALES","BEST_FPERIOD_OVERRIDE","24Y")</f>
        <v/>
      </c>
      <c r="AP24" s="43">
        <f>BDP($B$24,"BEST_SALES","BEST_FPERIOD_OVERRIDE","25Y")</f>
        <v/>
      </c>
      <c r="AQ24" s="43">
        <f>BDP($B$24,"BEST_SALES","BEST_FPERIOD_OVERRIDE","26Y")</f>
        <v/>
      </c>
      <c r="AR24" s="43">
        <f>BDP($B$24,"BEST_SALES","BEST_FPERIOD_OVERRIDE","27Y")</f>
        <v/>
      </c>
      <c r="AS24" s="43">
        <f>BDP($B$24,"BEST_SALES","BEST_FPERIOD_OVERRIDE","28Y")</f>
        <v/>
      </c>
      <c r="AT24" s="31" t="n"/>
      <c r="AU24" s="48">
        <f>BDP($B$24,"BEST_EBIT","BEST_FPERIOD_OVERRIDE","24Y")</f>
        <v/>
      </c>
      <c r="AV24" s="43">
        <f>BDP($B$24,"BEST_EBIT","BEST_FPERIOD_OVERRIDE","25Y")</f>
        <v/>
      </c>
      <c r="AW24" s="43">
        <f>BDP($B$24,"BEST_EBIT","BEST_FPERIOD_OVERRIDE","26Y")</f>
        <v/>
      </c>
      <c r="AX24" s="43">
        <f>BDP($B$24,"BEST_EBIT","BEST_FPERIOD_OVERRIDE","27Y")</f>
        <v/>
      </c>
      <c r="AY24" s="43">
        <f>BDP($B$24,"BEST_EBIT","BEST_FPERIOD_OVERRIDE","28Y")</f>
        <v/>
      </c>
      <c r="AZ24" s="31" t="n"/>
      <c r="BA24" s="1">
        <f>C24+BD24</f>
        <v/>
      </c>
      <c r="BB24" s="42">
        <f>AB24-AD24</f>
        <v/>
      </c>
      <c r="BC24" s="42">
        <f>C24</f>
        <v/>
      </c>
      <c r="BD24" s="43">
        <f>BDP($B$24,"TRAIL_12M_EBITDA")</f>
        <v/>
      </c>
      <c r="BE24" s="43">
        <f>_xll.BDP("KMB US Equity","TRAIL_12M_EBITDA")</f>
        <v/>
      </c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</row>
    <row r="25">
      <c r="A25" s="1" t="inlineStr">
        <is>
          <t>CLX</t>
        </is>
      </c>
      <c r="B25" s="1" t="inlineStr">
        <is>
          <t>CLX US Equity</t>
        </is>
      </c>
      <c r="C25" s="43">
        <f>BDP($B$25,"CUR_MKT_CAP")/1000000000</f>
        <v/>
      </c>
      <c r="D25" s="44">
        <f>BDP($B$25,"PX_LAST")</f>
        <v/>
      </c>
      <c r="E25" s="45">
        <f>IF(BDP($B$25,"BEST_EPS","BEST_FPERIOD_OVERRIDE","26Y")&lt;&gt;0,$D$25/BDP($B$25,"BEST_EPS","BEST_FPERIOD_OVERRIDE","26Y"),"")</f>
        <v/>
      </c>
      <c r="F25" s="45">
        <f>IF(BDP($B$25,"BEST_EPS","BEST_FPERIOD_OVERRIDE","27Y")&lt;&gt;0,$D$25/BDP($B$25,"BEST_EPS","BEST_FPERIOD_OVERRIDE","27Y"),"")</f>
        <v/>
      </c>
      <c r="G25" s="45">
        <f>IF(BDP($B$25,"BEST_EPS","BEST_FPERIOD_OVERRIDE","28Y")&lt;&gt;0,$D$25/BDP($B$25,"BEST_EPS","BEST_FPERIOD_OVERRIDE","28Y"),"")</f>
        <v/>
      </c>
      <c r="H25" s="46">
        <f>BDP($B$25,"NET_DEBT_TO_EBITDA")</f>
        <v/>
      </c>
      <c r="I25" s="43">
        <f>BDP($B$25,"BEST_SALES","BEST_FPERIOD_OVERRIDE","26Y")/1000</f>
        <v/>
      </c>
      <c r="J25" s="47">
        <f>IF(BDP($B$25,"BEST_SALES","BEST_FPERIOD_OVERRIDE","26Y")&lt;&gt;0,BDP($B$25,"BEST_EBIT","BEST_FPERIOD_OVERRIDE","26Y")/BDP($B$25,"BEST_SALES","BEST_FPERIOD_OVERRIDE","26Y"),"")</f>
        <v/>
      </c>
      <c r="K25" s="47">
        <f>BDP($B$25,"RETURN_ON_INV_CAPITAL")/100</f>
        <v/>
      </c>
      <c r="L25" s="47">
        <f>IF(AND(BDP($B$25,"BEST_SALES","BEST_FPERIOD_OVERRIDE","25Y")&gt;0,BDP($B$25,"BEST_SALES","BEST_FPERIOD_OVERRIDE","28Y")&gt;0),(BDP($B$25,"BEST_SALES","BEST_FPERIOD_OVERRIDE","28Y")/BDP($B$25,"BEST_SALES","BEST_FPERIOD_OVERRIDE","25Y"))^(1/3)-1,"")</f>
        <v/>
      </c>
      <c r="M25" s="47">
        <f>IF(AND(BDP($B$25,"BEST_EBIT","BEST_FPERIOD_OVERRIDE","25Y")&gt;0,BDP($B$25,"BEST_EBIT","BEST_FPERIOD_OVERRIDE","28Y")&gt;0),(BDP($B$25,"BEST_EBIT","BEST_FPERIOD_OVERRIDE","28Y")/BDP($B$25,"BEST_EBIT","BEST_FPERIOD_OVERRIDE","25Y"))^(1/3)-1,"")</f>
        <v/>
      </c>
      <c r="N25" s="47">
        <f>IF(AND(BDP($B$25,"BEST_EPS","BEST_FPERIOD_OVERRIDE","25Y")&gt;0,BDP($B$25,"BEST_EPS","BEST_FPERIOD_OVERRIDE","28Y")&gt;0),(BDP($B$25,"BEST_EPS","BEST_FPERIOD_OVERRIDE","28Y")/BDP($B$25,"BEST_EPS","BEST_FPERIOD_OVERRIDE","25Y"))^(1/3)-1,"")</f>
        <v/>
      </c>
      <c r="O25" s="1" t="n"/>
      <c r="P25" s="47">
        <f>BDP($B$25,"CHG_PCT_YTD")/100</f>
        <v/>
      </c>
      <c r="Q25" s="1" t="n"/>
      <c r="R25" s="1" t="n"/>
      <c r="S25" s="42">
        <f>IF(AND(E25&lt;&gt;"",N25&lt;&gt;"",N25&lt;&gt;0),E25/(N25*100),"")</f>
        <v/>
      </c>
      <c r="T25" s="1" t="n"/>
      <c r="U25" s="26" t="inlineStr">
        <is>
          <t>Jun</t>
        </is>
      </c>
      <c r="V25" s="1" t="n"/>
      <c r="W25" s="1" t="n"/>
      <c r="X25" s="1" t="n"/>
      <c r="Y25" s="1" t="n"/>
      <c r="Z25" s="1" t="n"/>
      <c r="AA25" s="48">
        <f>BDP($B$25,"TRAIL_12M_OPER_INC")</f>
        <v/>
      </c>
      <c r="AB25" s="43">
        <f>BDP($B$25,"SHORT_AND_LONG_TERM_DEBT")</f>
        <v/>
      </c>
      <c r="AC25" s="43">
        <f>BDP($B$25,"TOTAL_EQUITY")</f>
        <v/>
      </c>
      <c r="AD25" s="43">
        <f>BDP($B$25,"BS_CASH_NEAR_CASH_ITEM")</f>
        <v/>
      </c>
      <c r="AE25" s="43">
        <f>BDP($B$25,"BS_LT_INVEST")</f>
        <v/>
      </c>
      <c r="AF25" s="31">
        <f>AB25+AC25</f>
        <v/>
      </c>
      <c r="AG25" s="43">
        <f>BDP($B$25,"RETURN_ON_INV_CAPITAL")/100</f>
        <v/>
      </c>
      <c r="AH25" s="49" t="n"/>
      <c r="AI25" s="48">
        <f>BDP($B$25,"BEST_EPS","BEST_FPERIOD_OVERRIDE","24Y")</f>
        <v/>
      </c>
      <c r="AJ25" s="43">
        <f>BDP($B$25,"BEST_EPS","BEST_FPERIOD_OVERRIDE","25Y")</f>
        <v/>
      </c>
      <c r="AK25" s="43">
        <f>BDP($B$25,"BEST_EPS","BEST_FPERIOD_OVERRIDE","26Y")</f>
        <v/>
      </c>
      <c r="AL25" s="43">
        <f>BDP($B$25,"BEST_EPS","BEST_FPERIOD_OVERRIDE","27Y")</f>
        <v/>
      </c>
      <c r="AM25" s="43">
        <f>BDP($B$25,"BEST_EPS","BEST_FPERIOD_OVERRIDE","28Y")</f>
        <v/>
      </c>
      <c r="AN25" s="31" t="n"/>
      <c r="AO25" s="48">
        <f>BDP($B$25,"BEST_SALES","BEST_FPERIOD_OVERRIDE","24Y")</f>
        <v/>
      </c>
      <c r="AP25" s="43">
        <f>BDP($B$25,"BEST_SALES","BEST_FPERIOD_OVERRIDE","25Y")</f>
        <v/>
      </c>
      <c r="AQ25" s="43">
        <f>BDP($B$25,"BEST_SALES","BEST_FPERIOD_OVERRIDE","26Y")</f>
        <v/>
      </c>
      <c r="AR25" s="43">
        <f>BDP($B$25,"BEST_SALES","BEST_FPERIOD_OVERRIDE","27Y")</f>
        <v/>
      </c>
      <c r="AS25" s="43">
        <f>BDP($B$25,"BEST_SALES","BEST_FPERIOD_OVERRIDE","28Y")</f>
        <v/>
      </c>
      <c r="AT25" s="31" t="n"/>
      <c r="AU25" s="48">
        <f>BDP($B$25,"BEST_EBIT","BEST_FPERIOD_OVERRIDE","24Y")</f>
        <v/>
      </c>
      <c r="AV25" s="43">
        <f>BDP($B$25,"BEST_EBIT","BEST_FPERIOD_OVERRIDE","25Y")</f>
        <v/>
      </c>
      <c r="AW25" s="43">
        <f>BDP($B$25,"BEST_EBIT","BEST_FPERIOD_OVERRIDE","26Y")</f>
        <v/>
      </c>
      <c r="AX25" s="43">
        <f>BDP($B$25,"BEST_EBIT","BEST_FPERIOD_OVERRIDE","27Y")</f>
        <v/>
      </c>
      <c r="AY25" s="43">
        <f>BDP($B$25,"BEST_EBIT","BEST_FPERIOD_OVERRIDE","28Y")</f>
        <v/>
      </c>
      <c r="AZ25" s="31" t="n"/>
      <c r="BA25" s="1">
        <f>C25+BD25</f>
        <v/>
      </c>
      <c r="BB25" s="42">
        <f>AB25-AD25</f>
        <v/>
      </c>
      <c r="BC25" s="42">
        <f>C25</f>
        <v/>
      </c>
      <c r="BD25" s="43">
        <f>BDP($B$25,"TRAIL_12M_EBITDA")</f>
        <v/>
      </c>
      <c r="BE25" s="43">
        <f>_xll.BDP("CLX US Equity","TRAIL_12M_EBITDA")</f>
        <v/>
      </c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</row>
    <row r="26">
      <c r="A26" s="3" t="inlineStr">
        <is>
          <t>Average</t>
        </is>
      </c>
      <c r="B26" s="3" t="n"/>
      <c r="C26" s="11" t="n"/>
      <c r="D26" s="50" t="n"/>
      <c r="E26" s="51">
        <f>AVERAGE(E19:E25)</f>
        <v/>
      </c>
      <c r="F26" s="51">
        <f>AVERAGE(F19:F25)</f>
        <v/>
      </c>
      <c r="G26" s="51">
        <f>AVERAGE(G19:G25)</f>
        <v/>
      </c>
      <c r="H26" s="52">
        <f>AVERAGE(H19:H25)</f>
        <v/>
      </c>
      <c r="I26" s="53" t="n"/>
      <c r="J26" s="54">
        <f>AVERAGE(J19:J25)</f>
        <v/>
      </c>
      <c r="K26" s="54">
        <f>AVERAGE(K19:K25)</f>
        <v/>
      </c>
      <c r="L26" s="54">
        <f>AVERAGE(L19:L25)</f>
        <v/>
      </c>
      <c r="M26" s="54">
        <f>AVERAGE(M19:M25)</f>
        <v/>
      </c>
      <c r="N26" s="54">
        <f>AVERAGE(N19:N25)</f>
        <v/>
      </c>
      <c r="O26" s="3" t="n"/>
      <c r="P26" s="3" t="n"/>
      <c r="Q26" s="3" t="n"/>
      <c r="R26" s="3" t="n"/>
      <c r="S26" s="56" t="n">
        <v>4.629997707401285</v>
      </c>
      <c r="T26" s="1" t="n"/>
      <c r="U26" s="27" t="n"/>
      <c r="V26" s="1" t="n"/>
      <c r="W26" s="1" t="n"/>
      <c r="X26" s="1" t="n"/>
      <c r="Y26" s="1" t="n"/>
      <c r="Z26" s="1" t="n"/>
      <c r="AA26" s="1" t="n"/>
      <c r="AB26" s="4" t="n"/>
      <c r="AC26" s="4" t="n"/>
      <c r="AD26" s="4" t="n"/>
      <c r="AE26" s="4" t="n"/>
      <c r="AF26" s="4" t="n"/>
      <c r="AG26" s="4" t="n"/>
      <c r="AH26" s="41" t="n"/>
      <c r="AI26" s="1" t="n"/>
      <c r="AJ26" s="4" t="n"/>
      <c r="AK26" s="4" t="n"/>
      <c r="AL26" s="4" t="n"/>
      <c r="AM26" s="4" t="n"/>
      <c r="AN26" s="4" t="n"/>
      <c r="AO26" s="1" t="n"/>
      <c r="AP26" s="4" t="n"/>
      <c r="AQ26" s="4" t="n"/>
      <c r="AR26" s="4" t="n"/>
      <c r="AS26" s="4" t="n"/>
      <c r="AT26" s="4" t="n"/>
      <c r="AU26" s="1" t="n"/>
      <c r="AV26" s="4" t="n"/>
      <c r="AW26" s="4" t="n"/>
      <c r="AX26" s="4" t="n"/>
      <c r="AY26" s="4" t="n"/>
      <c r="AZ26" s="4" t="n"/>
      <c r="BA26" s="1" t="n"/>
      <c r="BB26" s="42" t="n"/>
      <c r="BC26" s="42" t="n"/>
      <c r="BD26" s="4" t="n"/>
      <c r="BE26" s="4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</row>
    <row r="27">
      <c r="A27" s="1" t="n"/>
      <c r="B27" s="1" t="n"/>
      <c r="C27" s="4" t="n"/>
      <c r="D27" s="38" t="n"/>
      <c r="E27" s="39" t="n"/>
      <c r="F27" s="39" t="n"/>
      <c r="G27" s="39" t="n"/>
      <c r="H27" s="40" t="n"/>
      <c r="I27" s="4" t="n"/>
      <c r="J27" s="41" t="n"/>
      <c r="K27" s="41" t="n"/>
      <c r="L27" s="41" t="n"/>
      <c r="M27" s="41" t="n"/>
      <c r="N27" s="41" t="n"/>
      <c r="O27" s="1" t="n"/>
      <c r="P27" s="1" t="n"/>
      <c r="Q27" s="1" t="n"/>
      <c r="R27" s="1" t="n"/>
      <c r="S27" s="1" t="n"/>
      <c r="T27" s="1" t="n"/>
      <c r="U27" s="26" t="n"/>
      <c r="V27" s="1" t="n"/>
      <c r="W27" s="1" t="n"/>
      <c r="X27" s="1" t="n"/>
      <c r="Y27" s="1" t="n"/>
      <c r="Z27" s="1" t="n"/>
      <c r="AA27" s="1" t="n"/>
      <c r="AB27" s="4" t="n"/>
      <c r="AC27" s="4" t="n"/>
      <c r="AD27" s="4" t="n"/>
      <c r="AE27" s="4" t="n"/>
      <c r="AF27" s="4" t="n"/>
      <c r="AG27" s="4" t="n"/>
      <c r="AH27" s="41" t="n"/>
      <c r="AI27" s="1" t="n"/>
      <c r="AJ27" s="4" t="n"/>
      <c r="AK27" s="4" t="n"/>
      <c r="AL27" s="4" t="n"/>
      <c r="AM27" s="4" t="n"/>
      <c r="AN27" s="4" t="n"/>
      <c r="AO27" s="1" t="n"/>
      <c r="AP27" s="4" t="n"/>
      <c r="AQ27" s="4" t="n"/>
      <c r="AR27" s="4" t="n"/>
      <c r="AS27" s="4" t="n"/>
      <c r="AT27" s="4" t="n"/>
      <c r="AU27" s="1" t="n"/>
      <c r="AV27" s="4" t="n"/>
      <c r="AW27" s="4" t="n"/>
      <c r="AX27" s="4" t="n"/>
      <c r="AY27" s="4" t="n"/>
      <c r="AZ27" s="4" t="n"/>
      <c r="BA27" s="1" t="n"/>
      <c r="BB27" s="42" t="n"/>
      <c r="BC27" s="42" t="n"/>
      <c r="BD27" s="4" t="n"/>
      <c r="BE27" s="4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</row>
    <row r="28">
      <c r="A28" s="3" t="inlineStr">
        <is>
          <t xml:space="preserve">S&amp;P stalwarts </t>
        </is>
      </c>
      <c r="B28" s="1" t="n"/>
      <c r="C28" s="4" t="n"/>
      <c r="D28" s="38" t="n"/>
      <c r="E28" s="39" t="n"/>
      <c r="F28" s="39" t="n"/>
      <c r="G28" s="39" t="n"/>
      <c r="H28" s="40" t="n"/>
      <c r="I28" s="41" t="n"/>
      <c r="J28" s="41" t="n"/>
      <c r="K28" s="41" t="n"/>
      <c r="L28" s="41" t="n"/>
      <c r="M28" s="41" t="n"/>
      <c r="N28" s="41" t="n"/>
      <c r="O28" s="1" t="n"/>
      <c r="P28" s="1" t="n"/>
      <c r="Q28" s="1" t="n"/>
      <c r="R28" s="1" t="n"/>
      <c r="S28" s="1" t="n"/>
      <c r="T28" s="1" t="n"/>
      <c r="U28" s="26" t="n"/>
      <c r="V28" s="1" t="n"/>
      <c r="W28" s="1" t="n"/>
      <c r="X28" s="1" t="n"/>
      <c r="Y28" s="1" t="n"/>
      <c r="Z28" s="1" t="n"/>
      <c r="AA28" s="1" t="n"/>
      <c r="AB28" s="4" t="n"/>
      <c r="AC28" s="4" t="n"/>
      <c r="AD28" s="4" t="n"/>
      <c r="AE28" s="4" t="n"/>
      <c r="AF28" s="4" t="n"/>
      <c r="AG28" s="4" t="n"/>
      <c r="AH28" s="41" t="n"/>
      <c r="AI28" s="1" t="n"/>
      <c r="AJ28" s="4" t="n"/>
      <c r="AK28" s="4" t="n"/>
      <c r="AL28" s="4" t="n"/>
      <c r="AM28" s="4" t="n"/>
      <c r="AN28" s="4" t="n"/>
      <c r="AO28" s="1" t="n"/>
      <c r="AP28" s="4" t="n"/>
      <c r="AQ28" s="4" t="n"/>
      <c r="AR28" s="4" t="n"/>
      <c r="AS28" s="4" t="n"/>
      <c r="AT28" s="4" t="n"/>
      <c r="AU28" s="1" t="n"/>
      <c r="AV28" s="4" t="n"/>
      <c r="AW28" s="4" t="n"/>
      <c r="AX28" s="4" t="n"/>
      <c r="AY28" s="4" t="n"/>
      <c r="AZ28" s="4" t="n"/>
      <c r="BA28" s="1" t="n"/>
      <c r="BB28" s="42" t="n"/>
      <c r="BC28" s="42" t="n"/>
      <c r="BD28" s="4" t="n"/>
      <c r="BE28" s="4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</row>
    <row r="29">
      <c r="A29" s="1" t="inlineStr">
        <is>
          <t>HD</t>
        </is>
      </c>
      <c r="B29" s="1" t="inlineStr">
        <is>
          <t>HD US Equity</t>
        </is>
      </c>
      <c r="C29" s="43">
        <f>BDP($B$29,"CUR_MKT_CAP")/1000000000</f>
        <v/>
      </c>
      <c r="D29" s="44">
        <f>BDP($B$29,"PX_LAST")</f>
        <v/>
      </c>
      <c r="E29" s="45">
        <f>IF(BDP($B$29,"BEST_EPS","BEST_FPERIOD_OVERRIDE","27Y")&lt;&gt;0,$D$29/BDP($B$29,"BEST_EPS","BEST_FPERIOD_OVERRIDE","27Y"),"")</f>
        <v/>
      </c>
      <c r="F29" s="45">
        <f>IF(BDP($B$29,"BEST_EPS","BEST_FPERIOD_OVERRIDE","28Y")&lt;&gt;0,$D$29/BDP($B$29,"BEST_EPS","BEST_FPERIOD_OVERRIDE","28Y"),"")</f>
        <v/>
      </c>
      <c r="G29" s="45">
        <f>IF(BDP($B$29,"BEST_EPS","BEST_FPERIOD_OVERRIDE","29Y")&lt;&gt;0,$D$29/BDP($B$29,"BEST_EPS","BEST_FPERIOD_OVERRIDE","29Y"),"")</f>
        <v/>
      </c>
      <c r="H29" s="46">
        <f>BDP($B$29,"NET_DEBT_TO_EBITDA")</f>
        <v/>
      </c>
      <c r="I29" s="43">
        <f>BDP($B$29,"BEST_SALES","BEST_FPERIOD_OVERRIDE","27Y")/1000</f>
        <v/>
      </c>
      <c r="J29" s="47">
        <f>IF(BDP($B$29,"BEST_SALES","BEST_FPERIOD_OVERRIDE","27Y")&lt;&gt;0,BDP($B$29,"BEST_EBIT","BEST_FPERIOD_OVERRIDE","27Y")/BDP($B$29,"BEST_SALES","BEST_FPERIOD_OVERRIDE","27Y"),"")</f>
        <v/>
      </c>
      <c r="K29" s="47">
        <f>BDP($B$29,"RETURN_ON_INV_CAPITAL")/100</f>
        <v/>
      </c>
      <c r="L29" s="47">
        <f>IF(AND(BDP($B$29,"BEST_SALES","BEST_FPERIOD_OVERRIDE","26Y")&gt;0,BDP($B$29,"BEST_SALES","BEST_FPERIOD_OVERRIDE","29Y")&gt;0),(BDP($B$29,"BEST_SALES","BEST_FPERIOD_OVERRIDE","29Y")/BDP($B$29,"BEST_SALES","BEST_FPERIOD_OVERRIDE","26Y"))^(1/3)-1,"")</f>
        <v/>
      </c>
      <c r="M29" s="47">
        <f>IF(AND(BDP($B$29,"BEST_EBIT","BEST_FPERIOD_OVERRIDE","26Y")&gt;0,BDP($B$29,"BEST_EBIT","BEST_FPERIOD_OVERRIDE","29Y")&gt;0),(BDP($B$29,"BEST_EBIT","BEST_FPERIOD_OVERRIDE","29Y")/BDP($B$29,"BEST_EBIT","BEST_FPERIOD_OVERRIDE","26Y"))^(1/3)-1,"")</f>
        <v/>
      </c>
      <c r="N29" s="47">
        <f>IF(AND(BDP($B$29,"BEST_EPS","BEST_FPERIOD_OVERRIDE","26Y")&gt;0,BDP($B$29,"BEST_EPS","BEST_FPERIOD_OVERRIDE","29Y")&gt;0),(BDP($B$29,"BEST_EPS","BEST_FPERIOD_OVERRIDE","29Y")/BDP($B$29,"BEST_EPS","BEST_FPERIOD_OVERRIDE","26Y"))^(1/3)-1,"")</f>
        <v/>
      </c>
      <c r="O29" s="1" t="n"/>
      <c r="P29" s="47">
        <f>BDP($B$29,"CHG_PCT_YTD")/100</f>
        <v/>
      </c>
      <c r="Q29" s="1" t="n"/>
      <c r="R29" s="1" t="n"/>
      <c r="S29" s="42">
        <f>IF(AND(E29&lt;&gt;"",N29&lt;&gt;"",N29&lt;&gt;0),E29/(N29*100),"")</f>
        <v/>
      </c>
      <c r="T29" s="1" t="n"/>
      <c r="U29" s="26" t="inlineStr">
        <is>
          <t>Jan</t>
        </is>
      </c>
      <c r="V29" s="1" t="n"/>
      <c r="W29" s="1" t="n"/>
      <c r="X29" s="1" t="n"/>
      <c r="Y29" s="1" t="n"/>
      <c r="Z29" s="1" t="n"/>
      <c r="AA29" s="48">
        <f>BDP($B$29,"TRAIL_12M_OPER_INC")</f>
        <v/>
      </c>
      <c r="AB29" s="43">
        <f>BDP($B$29,"SHORT_AND_LONG_TERM_DEBT")</f>
        <v/>
      </c>
      <c r="AC29" s="43">
        <f>BDP($B$29,"TOTAL_EQUITY")</f>
        <v/>
      </c>
      <c r="AD29" s="43">
        <f>BDP($B$29,"BS_CASH_NEAR_CASH_ITEM")</f>
        <v/>
      </c>
      <c r="AE29" s="43">
        <f>BDP($B$29,"BS_LT_INVEST")</f>
        <v/>
      </c>
      <c r="AF29" s="31">
        <f>AB29+AC29</f>
        <v/>
      </c>
      <c r="AG29" s="43">
        <f>BDP($B$29,"RETURN_ON_INV_CAPITAL")/100</f>
        <v/>
      </c>
      <c r="AH29" s="49" t="n"/>
      <c r="AI29" s="48">
        <f>BDP($B$29,"BEST_EPS","BEST_FPERIOD_OVERRIDE","25Y")</f>
        <v/>
      </c>
      <c r="AJ29" s="43">
        <f>BDP($B$29,"BEST_EPS","BEST_FPERIOD_OVERRIDE","26Y")</f>
        <v/>
      </c>
      <c r="AK29" s="43">
        <f>BDP($B$29,"BEST_EPS","BEST_FPERIOD_OVERRIDE","27Y")</f>
        <v/>
      </c>
      <c r="AL29" s="43">
        <f>BDP($B$29,"BEST_EPS","BEST_FPERIOD_OVERRIDE","28Y")</f>
        <v/>
      </c>
      <c r="AM29" s="43">
        <f>BDP($B$29,"BEST_EPS","BEST_FPERIOD_OVERRIDE","29Y")</f>
        <v/>
      </c>
      <c r="AN29" s="31" t="n"/>
      <c r="AO29" s="48">
        <f>BDP($B$29,"BEST_SALES","BEST_FPERIOD_OVERRIDE","25Y")</f>
        <v/>
      </c>
      <c r="AP29" s="43">
        <f>BDP($B$29,"BEST_SALES","BEST_FPERIOD_OVERRIDE","26Y")</f>
        <v/>
      </c>
      <c r="AQ29" s="43">
        <f>BDP($B$29,"BEST_SALES","BEST_FPERIOD_OVERRIDE","27Y")</f>
        <v/>
      </c>
      <c r="AR29" s="43">
        <f>BDP($B$29,"BEST_SALES","BEST_FPERIOD_OVERRIDE","28Y")</f>
        <v/>
      </c>
      <c r="AS29" s="43">
        <f>BDP($B$29,"BEST_SALES","BEST_FPERIOD_OVERRIDE","29Y")</f>
        <v/>
      </c>
      <c r="AT29" s="31" t="n"/>
      <c r="AU29" s="48">
        <f>BDP($B$29,"BEST_EBIT","BEST_FPERIOD_OVERRIDE","25Y")</f>
        <v/>
      </c>
      <c r="AV29" s="43">
        <f>BDP($B$29,"BEST_EBIT","BEST_FPERIOD_OVERRIDE","26Y")</f>
        <v/>
      </c>
      <c r="AW29" s="43">
        <f>BDP($B$29,"BEST_EBIT","BEST_FPERIOD_OVERRIDE","27Y")</f>
        <v/>
      </c>
      <c r="AX29" s="43">
        <f>BDP($B$29,"BEST_EBIT","BEST_FPERIOD_OVERRIDE","28Y")</f>
        <v/>
      </c>
      <c r="AY29" s="43">
        <f>BDP($B$29,"BEST_EBIT","BEST_FPERIOD_OVERRIDE","29Y")</f>
        <v/>
      </c>
      <c r="AZ29" s="31" t="n"/>
      <c r="BA29" s="1">
        <f>C29+BD29</f>
        <v/>
      </c>
      <c r="BB29" s="42">
        <f>AB29-AD29</f>
        <v/>
      </c>
      <c r="BC29" s="42">
        <f>C29</f>
        <v/>
      </c>
      <c r="BD29" s="43">
        <f>BDP($B$29,"TRAIL_12M_EBITDA")</f>
        <v/>
      </c>
      <c r="BE29" s="43">
        <f>_xll.BDP("HD US Equity","TRAIL_12M_EBITDA")</f>
        <v/>
      </c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</row>
    <row r="30">
      <c r="A30" s="1" t="inlineStr">
        <is>
          <t>WMT</t>
        </is>
      </c>
      <c r="B30" s="1" t="inlineStr">
        <is>
          <t>WMT US Equity</t>
        </is>
      </c>
      <c r="C30" s="43">
        <f>BDP($B$30,"CUR_MKT_CAP")/1000000000</f>
        <v/>
      </c>
      <c r="D30" s="44">
        <f>BDP($B$30,"PX_LAST")</f>
        <v/>
      </c>
      <c r="E30" s="45">
        <f>IF(BDP($B$30,"BEST_EPS","BEST_FPERIOD_OVERRIDE","27Y")&lt;&gt;0,$D$30/BDP($B$30,"BEST_EPS","BEST_FPERIOD_OVERRIDE","27Y"),"")</f>
        <v/>
      </c>
      <c r="F30" s="45">
        <f>IF(BDP($B$30,"BEST_EPS","BEST_FPERIOD_OVERRIDE","28Y")&lt;&gt;0,$D$30/BDP($B$30,"BEST_EPS","BEST_FPERIOD_OVERRIDE","28Y"),"")</f>
        <v/>
      </c>
      <c r="G30" s="45">
        <f>IF(BDP($B$30,"BEST_EPS","BEST_FPERIOD_OVERRIDE","29Y")&lt;&gt;0,$D$30/BDP($B$30,"BEST_EPS","BEST_FPERIOD_OVERRIDE","29Y"),"")</f>
        <v/>
      </c>
      <c r="H30" s="46">
        <f>BDP($B$30,"NET_DEBT_TO_EBITDA")</f>
        <v/>
      </c>
      <c r="I30" s="43">
        <f>BDP($B$30,"BEST_SALES","BEST_FPERIOD_OVERRIDE","27Y")/1000</f>
        <v/>
      </c>
      <c r="J30" s="47">
        <f>IF(BDP($B$30,"BEST_SALES","BEST_FPERIOD_OVERRIDE","27Y")&lt;&gt;0,BDP($B$30,"BEST_EBIT","BEST_FPERIOD_OVERRIDE","27Y")/BDP($B$30,"BEST_SALES","BEST_FPERIOD_OVERRIDE","27Y"),"")</f>
        <v/>
      </c>
      <c r="K30" s="47">
        <f>BDP($B$30,"RETURN_ON_INV_CAPITAL")/100</f>
        <v/>
      </c>
      <c r="L30" s="47">
        <f>IF(AND(BDP($B$30,"BEST_SALES","BEST_FPERIOD_OVERRIDE","26Y")&gt;0,BDP($B$30,"BEST_SALES","BEST_FPERIOD_OVERRIDE","29Y")&gt;0),(BDP($B$30,"BEST_SALES","BEST_FPERIOD_OVERRIDE","29Y")/BDP($B$30,"BEST_SALES","BEST_FPERIOD_OVERRIDE","26Y"))^(1/3)-1,"")</f>
        <v/>
      </c>
      <c r="M30" s="47">
        <f>IF(AND(BDP($B$30,"BEST_EBIT","BEST_FPERIOD_OVERRIDE","26Y")&gt;0,BDP($B$30,"BEST_EBIT","BEST_FPERIOD_OVERRIDE","29Y")&gt;0),(BDP($B$30,"BEST_EBIT","BEST_FPERIOD_OVERRIDE","29Y")/BDP($B$30,"BEST_EBIT","BEST_FPERIOD_OVERRIDE","26Y"))^(1/3)-1,"")</f>
        <v/>
      </c>
      <c r="N30" s="47">
        <f>IF(AND(BDP($B$30,"BEST_EPS","BEST_FPERIOD_OVERRIDE","26Y")&gt;0,BDP($B$30,"BEST_EPS","BEST_FPERIOD_OVERRIDE","29Y")&gt;0),(BDP($B$30,"BEST_EPS","BEST_FPERIOD_OVERRIDE","29Y")/BDP($B$30,"BEST_EPS","BEST_FPERIOD_OVERRIDE","26Y"))^(1/3)-1,"")</f>
        <v/>
      </c>
      <c r="O30" s="1" t="n"/>
      <c r="P30" s="47">
        <f>BDP($B$30,"CHG_PCT_YTD")/100</f>
        <v/>
      </c>
      <c r="Q30" s="1" t="n"/>
      <c r="R30" s="1" t="n"/>
      <c r="S30" s="42">
        <f>IF(AND(E30&lt;&gt;"",N30&lt;&gt;"",N30&lt;&gt;0),E30/(N30*100),"")</f>
        <v/>
      </c>
      <c r="T30" s="1" t="n"/>
      <c r="U30" s="26" t="inlineStr">
        <is>
          <t>Jan</t>
        </is>
      </c>
      <c r="V30" s="1" t="n"/>
      <c r="W30" s="1" t="n"/>
      <c r="X30" s="1" t="n"/>
      <c r="Y30" s="1" t="n"/>
      <c r="Z30" s="1" t="n"/>
      <c r="AA30" s="48">
        <f>BDP($B$30,"TRAIL_12M_OPER_INC")</f>
        <v/>
      </c>
      <c r="AB30" s="43">
        <f>BDP($B$30,"SHORT_AND_LONG_TERM_DEBT")</f>
        <v/>
      </c>
      <c r="AC30" s="43">
        <f>BDP($B$30,"TOTAL_EQUITY")</f>
        <v/>
      </c>
      <c r="AD30" s="43">
        <f>BDP($B$30,"BS_CASH_NEAR_CASH_ITEM")</f>
        <v/>
      </c>
      <c r="AE30" s="43">
        <f>BDP($B$30,"BS_LT_INVEST")</f>
        <v/>
      </c>
      <c r="AF30" s="31">
        <f>AB30+AC30</f>
        <v/>
      </c>
      <c r="AG30" s="43">
        <f>BDP($B$30,"RETURN_ON_INV_CAPITAL")/100</f>
        <v/>
      </c>
      <c r="AH30" s="49" t="n"/>
      <c r="AI30" s="48">
        <f>BDP($B$30,"BEST_EPS","BEST_FPERIOD_OVERRIDE","25Y")</f>
        <v/>
      </c>
      <c r="AJ30" s="43">
        <f>BDP($B$30,"BEST_EPS","BEST_FPERIOD_OVERRIDE","26Y")</f>
        <v/>
      </c>
      <c r="AK30" s="43">
        <f>BDP($B$30,"BEST_EPS","BEST_FPERIOD_OVERRIDE","27Y")</f>
        <v/>
      </c>
      <c r="AL30" s="43">
        <f>BDP($B$30,"BEST_EPS","BEST_FPERIOD_OVERRIDE","28Y")</f>
        <v/>
      </c>
      <c r="AM30" s="43">
        <f>BDP($B$30,"BEST_EPS","BEST_FPERIOD_OVERRIDE","29Y")</f>
        <v/>
      </c>
      <c r="AN30" s="31" t="n"/>
      <c r="AO30" s="48">
        <f>BDP($B$30,"BEST_SALES","BEST_FPERIOD_OVERRIDE","25Y")</f>
        <v/>
      </c>
      <c r="AP30" s="43">
        <f>BDP($B$30,"BEST_SALES","BEST_FPERIOD_OVERRIDE","26Y")</f>
        <v/>
      </c>
      <c r="AQ30" s="43">
        <f>BDP($B$30,"BEST_SALES","BEST_FPERIOD_OVERRIDE","27Y")</f>
        <v/>
      </c>
      <c r="AR30" s="43">
        <f>BDP($B$30,"BEST_SALES","BEST_FPERIOD_OVERRIDE","28Y")</f>
        <v/>
      </c>
      <c r="AS30" s="43">
        <f>BDP($B$30,"BEST_SALES","BEST_FPERIOD_OVERRIDE","29Y")</f>
        <v/>
      </c>
      <c r="AT30" s="31" t="n"/>
      <c r="AU30" s="48">
        <f>BDP($B$30,"BEST_EBIT","BEST_FPERIOD_OVERRIDE","25Y")</f>
        <v/>
      </c>
      <c r="AV30" s="43">
        <f>BDP($B$30,"BEST_EBIT","BEST_FPERIOD_OVERRIDE","26Y")</f>
        <v/>
      </c>
      <c r="AW30" s="43">
        <f>BDP($B$30,"BEST_EBIT","BEST_FPERIOD_OVERRIDE","27Y")</f>
        <v/>
      </c>
      <c r="AX30" s="43">
        <f>BDP($B$30,"BEST_EBIT","BEST_FPERIOD_OVERRIDE","28Y")</f>
        <v/>
      </c>
      <c r="AY30" s="43">
        <f>BDP($B$30,"BEST_EBIT","BEST_FPERIOD_OVERRIDE","29Y")</f>
        <v/>
      </c>
      <c r="AZ30" s="31" t="n"/>
      <c r="BA30" s="1">
        <f>C30+BD30</f>
        <v/>
      </c>
      <c r="BB30" s="42">
        <f>AB30-AD30</f>
        <v/>
      </c>
      <c r="BC30" s="42">
        <f>C30</f>
        <v/>
      </c>
      <c r="BD30" s="43">
        <f>BDP($B$30,"TRAIL_12M_EBITDA")</f>
        <v/>
      </c>
      <c r="BE30" s="43">
        <f>_xll.BDP("WMT US Equity","TRAIL_12M_EBITDA")</f>
        <v/>
      </c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</row>
    <row r="31">
      <c r="A31" s="1" t="inlineStr">
        <is>
          <t>ADP</t>
        </is>
      </c>
      <c r="B31" s="1" t="inlineStr">
        <is>
          <t>ADP US Equity</t>
        </is>
      </c>
      <c r="C31" s="43">
        <f>BDP($B$31,"CUR_MKT_CAP")/1000000000</f>
        <v/>
      </c>
      <c r="D31" s="44">
        <f>BDP($B$31,"PX_LAST")</f>
        <v/>
      </c>
      <c r="E31" s="45">
        <f>IF(BDP($B$31,"BEST_EPS","BEST_FPERIOD_OVERRIDE","26Y")&lt;&gt;0,$D$31/BDP($B$31,"BEST_EPS","BEST_FPERIOD_OVERRIDE","26Y"),"")</f>
        <v/>
      </c>
      <c r="F31" s="45">
        <f>IF(BDP($B$31,"BEST_EPS","BEST_FPERIOD_OVERRIDE","27Y")&lt;&gt;0,$D$31/BDP($B$31,"BEST_EPS","BEST_FPERIOD_OVERRIDE","27Y"),"")</f>
        <v/>
      </c>
      <c r="G31" s="45">
        <f>IF(BDP($B$31,"BEST_EPS","BEST_FPERIOD_OVERRIDE","28Y")&lt;&gt;0,$D$31/BDP($B$31,"BEST_EPS","BEST_FPERIOD_OVERRIDE","28Y"),"")</f>
        <v/>
      </c>
      <c r="H31" s="46">
        <f>BDP($B$31,"NET_DEBT_TO_EBITDA")</f>
        <v/>
      </c>
      <c r="I31" s="43">
        <f>BDP($B$31,"BEST_SALES","BEST_FPERIOD_OVERRIDE","26Y")/1000</f>
        <v/>
      </c>
      <c r="J31" s="47">
        <f>IF(BDP($B$31,"BEST_SALES","BEST_FPERIOD_OVERRIDE","26Y")&lt;&gt;0,BDP($B$31,"BEST_EBIT","BEST_FPERIOD_OVERRIDE","26Y")/BDP($B$31,"BEST_SALES","BEST_FPERIOD_OVERRIDE","26Y"),"")</f>
        <v/>
      </c>
      <c r="K31" s="47">
        <f>BDP($B$31,"RETURN_ON_INV_CAPITAL")/100</f>
        <v/>
      </c>
      <c r="L31" s="47">
        <f>IF(AND(BDP($B$31,"BEST_SALES","BEST_FPERIOD_OVERRIDE","25Y")&gt;0,BDP($B$31,"BEST_SALES","BEST_FPERIOD_OVERRIDE","28Y")&gt;0),(BDP($B$31,"BEST_SALES","BEST_FPERIOD_OVERRIDE","28Y")/BDP($B$31,"BEST_SALES","BEST_FPERIOD_OVERRIDE","25Y"))^(1/3)-1,"")</f>
        <v/>
      </c>
      <c r="M31" s="47">
        <f>IF(AND(BDP($B$31,"BEST_EBIT","BEST_FPERIOD_OVERRIDE","25Y")&gt;0,BDP($B$31,"BEST_EBIT","BEST_FPERIOD_OVERRIDE","28Y")&gt;0),(BDP($B$31,"BEST_EBIT","BEST_FPERIOD_OVERRIDE","28Y")/BDP($B$31,"BEST_EBIT","BEST_FPERIOD_OVERRIDE","25Y"))^(1/3)-1,"")</f>
        <v/>
      </c>
      <c r="N31" s="47">
        <f>IF(AND(BDP($B$31,"BEST_EPS","BEST_FPERIOD_OVERRIDE","25Y")&gt;0,BDP($B$31,"BEST_EPS","BEST_FPERIOD_OVERRIDE","28Y")&gt;0),(BDP($B$31,"BEST_EPS","BEST_FPERIOD_OVERRIDE","28Y")/BDP($B$31,"BEST_EPS","BEST_FPERIOD_OVERRIDE","25Y"))^(1/3)-1,"")</f>
        <v/>
      </c>
      <c r="O31" s="1" t="n"/>
      <c r="P31" s="47">
        <f>BDP($B$31,"CHG_PCT_YTD")/100</f>
        <v/>
      </c>
      <c r="Q31" s="1" t="n"/>
      <c r="R31" s="1" t="n"/>
      <c r="S31" s="42">
        <f>IF(AND(E31&lt;&gt;"",N31&lt;&gt;"",N31&lt;&gt;0),E31/(N31*100),"")</f>
        <v/>
      </c>
      <c r="T31" s="1" t="n"/>
      <c r="U31" s="26" t="inlineStr">
        <is>
          <t>Jun</t>
        </is>
      </c>
      <c r="V31" s="1" t="n"/>
      <c r="W31" s="1" t="n"/>
      <c r="X31" s="1" t="n"/>
      <c r="Y31" s="1" t="n"/>
      <c r="Z31" s="1" t="n"/>
      <c r="AA31" s="48">
        <f>BDP($B$31,"TRAIL_12M_OPER_INC")</f>
        <v/>
      </c>
      <c r="AB31" s="43">
        <f>BDP($B$31,"SHORT_AND_LONG_TERM_DEBT")</f>
        <v/>
      </c>
      <c r="AC31" s="43">
        <f>BDP($B$31,"TOTAL_EQUITY")</f>
        <v/>
      </c>
      <c r="AD31" s="43">
        <f>BDP($B$31,"BS_CASH_NEAR_CASH_ITEM")</f>
        <v/>
      </c>
      <c r="AE31" s="43">
        <f>BDP($B$31,"BS_LT_INVEST")</f>
        <v/>
      </c>
      <c r="AF31" s="31">
        <f>AB31+AC31</f>
        <v/>
      </c>
      <c r="AG31" s="43">
        <f>BDP($B$31,"RETURN_ON_INV_CAPITAL")/100</f>
        <v/>
      </c>
      <c r="AH31" s="49" t="n"/>
      <c r="AI31" s="48">
        <f>BDP($B$31,"BEST_EPS","BEST_FPERIOD_OVERRIDE","24Y")</f>
        <v/>
      </c>
      <c r="AJ31" s="43">
        <f>BDP($B$31,"BEST_EPS","BEST_FPERIOD_OVERRIDE","25Y")</f>
        <v/>
      </c>
      <c r="AK31" s="43">
        <f>BDP($B$31,"BEST_EPS","BEST_FPERIOD_OVERRIDE","26Y")</f>
        <v/>
      </c>
      <c r="AL31" s="43">
        <f>BDP($B$31,"BEST_EPS","BEST_FPERIOD_OVERRIDE","27Y")</f>
        <v/>
      </c>
      <c r="AM31" s="43">
        <f>BDP($B$31,"BEST_EPS","BEST_FPERIOD_OVERRIDE","28Y")</f>
        <v/>
      </c>
      <c r="AN31" s="31" t="n"/>
      <c r="AO31" s="48">
        <f>BDP($B$31,"BEST_SALES","BEST_FPERIOD_OVERRIDE","24Y")</f>
        <v/>
      </c>
      <c r="AP31" s="43">
        <f>BDP($B$31,"BEST_SALES","BEST_FPERIOD_OVERRIDE","25Y")</f>
        <v/>
      </c>
      <c r="AQ31" s="43">
        <f>BDP($B$31,"BEST_SALES","BEST_FPERIOD_OVERRIDE","26Y")</f>
        <v/>
      </c>
      <c r="AR31" s="43">
        <f>BDP($B$31,"BEST_SALES","BEST_FPERIOD_OVERRIDE","27Y")</f>
        <v/>
      </c>
      <c r="AS31" s="43">
        <f>BDP($B$31,"BEST_SALES","BEST_FPERIOD_OVERRIDE","28Y")</f>
        <v/>
      </c>
      <c r="AT31" s="31" t="n"/>
      <c r="AU31" s="48">
        <f>BDP($B$31,"BEST_EBIT","BEST_FPERIOD_OVERRIDE","24Y")</f>
        <v/>
      </c>
      <c r="AV31" s="43">
        <f>BDP($B$31,"BEST_EBIT","BEST_FPERIOD_OVERRIDE","25Y")</f>
        <v/>
      </c>
      <c r="AW31" s="43">
        <f>BDP($B$31,"BEST_EBIT","BEST_FPERIOD_OVERRIDE","26Y")</f>
        <v/>
      </c>
      <c r="AX31" s="43">
        <f>BDP($B$31,"BEST_EBIT","BEST_FPERIOD_OVERRIDE","27Y")</f>
        <v/>
      </c>
      <c r="AY31" s="43">
        <f>BDP($B$31,"BEST_EBIT","BEST_FPERIOD_OVERRIDE","28Y")</f>
        <v/>
      </c>
      <c r="AZ31" s="31" t="n"/>
      <c r="BA31" s="1">
        <f>C31+BD31</f>
        <v/>
      </c>
      <c r="BB31" s="42">
        <f>AB31-AD31</f>
        <v/>
      </c>
      <c r="BC31" s="42">
        <f>C31</f>
        <v/>
      </c>
      <c r="BD31" s="43">
        <f>BDP($B$31,"TRAIL_12M_EBITDA")</f>
        <v/>
      </c>
      <c r="BE31" s="43">
        <f>_xll.BDP("ADP US Equity","TRAIL_12M_EBITDA")</f>
        <v/>
      </c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</row>
    <row r="32">
      <c r="A32" s="1" t="inlineStr">
        <is>
          <t>IBM</t>
        </is>
      </c>
      <c r="B32" s="1" t="inlineStr">
        <is>
          <t>IBM US Equity</t>
        </is>
      </c>
      <c r="C32" s="43">
        <f>BDP($B$32,"CUR_MKT_CAP")/1000000000</f>
        <v/>
      </c>
      <c r="D32" s="44">
        <f>BDP($B$32,"PX_LAST")</f>
        <v/>
      </c>
      <c r="E32" s="45">
        <f>IF(BDP($B$32,"BEST_EPS","BEST_FPERIOD_OVERRIDE","26Y")&lt;&gt;0,$D$32/BDP($B$32,"BEST_EPS","BEST_FPERIOD_OVERRIDE","26Y"),"")</f>
        <v/>
      </c>
      <c r="F32" s="45">
        <f>IF(BDP($B$32,"BEST_EPS","BEST_FPERIOD_OVERRIDE","27Y")&lt;&gt;0,$D$32/BDP($B$32,"BEST_EPS","BEST_FPERIOD_OVERRIDE","27Y"),"")</f>
        <v/>
      </c>
      <c r="G32" s="45">
        <f>IF(BDP($B$32,"BEST_EPS","BEST_FPERIOD_OVERRIDE","28Y")&lt;&gt;0,$D$32/BDP($B$32,"BEST_EPS","BEST_FPERIOD_OVERRIDE","28Y"),"")</f>
        <v/>
      </c>
      <c r="H32" s="46">
        <f>BDP($B$32,"NET_DEBT_TO_EBITDA")</f>
        <v/>
      </c>
      <c r="I32" s="43">
        <f>BDP($B$32,"BEST_SALES","BEST_FPERIOD_OVERRIDE","26Y")/1000</f>
        <v/>
      </c>
      <c r="J32" s="47">
        <f>IF(BDP($B$32,"BEST_SALES","BEST_FPERIOD_OVERRIDE","26Y")&lt;&gt;0,BDP($B$32,"BEST_EBIT","BEST_FPERIOD_OVERRIDE","26Y")/BDP($B$32,"BEST_SALES","BEST_FPERIOD_OVERRIDE","26Y"),"")</f>
        <v/>
      </c>
      <c r="K32" s="47">
        <f>BDP($B$32,"RETURN_ON_INV_CAPITAL")/100</f>
        <v/>
      </c>
      <c r="L32" s="47">
        <f>IF(AND(BDP($B$32,"BEST_SALES","BEST_FPERIOD_OVERRIDE","25Y")&gt;0,BDP($B$32,"BEST_SALES","BEST_FPERIOD_OVERRIDE","28Y")&gt;0),(BDP($B$32,"BEST_SALES","BEST_FPERIOD_OVERRIDE","28Y")/BDP($B$32,"BEST_SALES","BEST_FPERIOD_OVERRIDE","25Y"))^(1/3)-1,"")</f>
        <v/>
      </c>
      <c r="M32" s="47">
        <f>IF(AND(BDP($B$32,"BEST_EBIT","BEST_FPERIOD_OVERRIDE","25Y")&gt;0,BDP($B$32,"BEST_EBIT","BEST_FPERIOD_OVERRIDE","28Y")&gt;0),(BDP($B$32,"BEST_EBIT","BEST_FPERIOD_OVERRIDE","28Y")/BDP($B$32,"BEST_EBIT","BEST_FPERIOD_OVERRIDE","25Y"))^(1/3)-1,"")</f>
        <v/>
      </c>
      <c r="N32" s="47">
        <f>IF(AND(BDP($B$32,"BEST_EPS","BEST_FPERIOD_OVERRIDE","25Y")&gt;0,BDP($B$32,"BEST_EPS","BEST_FPERIOD_OVERRIDE","28Y")&gt;0),(BDP($B$32,"BEST_EPS","BEST_FPERIOD_OVERRIDE","28Y")/BDP($B$32,"BEST_EPS","BEST_FPERIOD_OVERRIDE","25Y"))^(1/3)-1,"")</f>
        <v/>
      </c>
      <c r="O32" s="1" t="n"/>
      <c r="P32" s="47">
        <f>BDP($B$32,"CHG_PCT_YTD")/100</f>
        <v/>
      </c>
      <c r="Q32" s="1" t="n"/>
      <c r="R32" s="1" t="n"/>
      <c r="S32" s="42">
        <f>IF(AND(E32&lt;&gt;"",N32&lt;&gt;"",N32&lt;&gt;0),E32/(N32*100),"")</f>
        <v/>
      </c>
      <c r="T32" s="1" t="n"/>
      <c r="U32" s="26" t="inlineStr">
        <is>
          <t>Dec</t>
        </is>
      </c>
      <c r="V32" s="1" t="n"/>
      <c r="W32" s="1" t="n"/>
      <c r="X32" s="1" t="n"/>
      <c r="Y32" s="1" t="n"/>
      <c r="Z32" s="1" t="n"/>
      <c r="AA32" s="48">
        <f>BDP($B$32,"TRAIL_12M_OPER_INC")</f>
        <v/>
      </c>
      <c r="AB32" s="43">
        <f>BDP($B$32,"SHORT_AND_LONG_TERM_DEBT")</f>
        <v/>
      </c>
      <c r="AC32" s="43">
        <f>BDP($B$32,"TOTAL_EQUITY")</f>
        <v/>
      </c>
      <c r="AD32" s="43">
        <f>BDP($B$32,"BS_CASH_NEAR_CASH_ITEM")</f>
        <v/>
      </c>
      <c r="AE32" s="43">
        <f>BDP($B$32,"BS_LT_INVEST")</f>
        <v/>
      </c>
      <c r="AF32" s="31">
        <f>AB32+AC32</f>
        <v/>
      </c>
      <c r="AG32" s="43">
        <f>BDP($B$32,"RETURN_ON_INV_CAPITAL")/100</f>
        <v/>
      </c>
      <c r="AH32" s="49" t="n"/>
      <c r="AI32" s="48">
        <f>BDP($B$32,"BEST_EPS","BEST_FPERIOD_OVERRIDE","24Y")</f>
        <v/>
      </c>
      <c r="AJ32" s="43">
        <f>BDP($B$32,"BEST_EPS","BEST_FPERIOD_OVERRIDE","25Y")</f>
        <v/>
      </c>
      <c r="AK32" s="43">
        <f>BDP($B$32,"BEST_EPS","BEST_FPERIOD_OVERRIDE","26Y")</f>
        <v/>
      </c>
      <c r="AL32" s="43">
        <f>BDP($B$32,"BEST_EPS","BEST_FPERIOD_OVERRIDE","27Y")</f>
        <v/>
      </c>
      <c r="AM32" s="43">
        <f>BDP($B$32,"BEST_EPS","BEST_FPERIOD_OVERRIDE","28Y")</f>
        <v/>
      </c>
      <c r="AN32" s="31" t="n"/>
      <c r="AO32" s="48">
        <f>BDP($B$32,"BEST_SALES","BEST_FPERIOD_OVERRIDE","24Y")</f>
        <v/>
      </c>
      <c r="AP32" s="43">
        <f>BDP($B$32,"BEST_SALES","BEST_FPERIOD_OVERRIDE","25Y")</f>
        <v/>
      </c>
      <c r="AQ32" s="43">
        <f>BDP($B$32,"BEST_SALES","BEST_FPERIOD_OVERRIDE","26Y")</f>
        <v/>
      </c>
      <c r="AR32" s="43">
        <f>BDP($B$32,"BEST_SALES","BEST_FPERIOD_OVERRIDE","27Y")</f>
        <v/>
      </c>
      <c r="AS32" s="43">
        <f>BDP($B$32,"BEST_SALES","BEST_FPERIOD_OVERRIDE","28Y")</f>
        <v/>
      </c>
      <c r="AT32" s="31" t="n"/>
      <c r="AU32" s="48">
        <f>BDP($B$32,"BEST_EBIT","BEST_FPERIOD_OVERRIDE","24Y")</f>
        <v/>
      </c>
      <c r="AV32" s="43">
        <f>BDP($B$32,"BEST_EBIT","BEST_FPERIOD_OVERRIDE","25Y")</f>
        <v/>
      </c>
      <c r="AW32" s="43">
        <f>BDP($B$32,"BEST_EBIT","BEST_FPERIOD_OVERRIDE","26Y")</f>
        <v/>
      </c>
      <c r="AX32" s="43">
        <f>BDP($B$32,"BEST_EBIT","BEST_FPERIOD_OVERRIDE","27Y")</f>
        <v/>
      </c>
      <c r="AY32" s="43">
        <f>BDP($B$32,"BEST_EBIT","BEST_FPERIOD_OVERRIDE","28Y")</f>
        <v/>
      </c>
      <c r="AZ32" s="31" t="n"/>
      <c r="BA32" s="1">
        <f>C32+BD32</f>
        <v/>
      </c>
      <c r="BB32" s="42">
        <f>AB32-AD32</f>
        <v/>
      </c>
      <c r="BC32" s="42">
        <f>C32</f>
        <v/>
      </c>
      <c r="BD32" s="43">
        <f>BDP($B$32,"TRAIL_12M_EBITDA")</f>
        <v/>
      </c>
      <c r="BE32" s="43">
        <f>_xll.BDP("IBM US Equity","TRAIL_12M_EBITDA")</f>
        <v/>
      </c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</row>
    <row r="33">
      <c r="A33" s="1" t="inlineStr">
        <is>
          <t>MCD</t>
        </is>
      </c>
      <c r="B33" s="1" t="inlineStr">
        <is>
          <t>MCD US Equity</t>
        </is>
      </c>
      <c r="C33" s="43">
        <f>BDP($B$33,"CUR_MKT_CAP")/1000000000</f>
        <v/>
      </c>
      <c r="D33" s="44">
        <f>BDP($B$33,"PX_LAST")</f>
        <v/>
      </c>
      <c r="E33" s="45">
        <f>IF(BDP($B$33,"BEST_EPS","BEST_FPERIOD_OVERRIDE","26Y")&lt;&gt;0,$D$33/BDP($B$33,"BEST_EPS","BEST_FPERIOD_OVERRIDE","26Y"),"")</f>
        <v/>
      </c>
      <c r="F33" s="45">
        <f>IF(BDP($B$33,"BEST_EPS","BEST_FPERIOD_OVERRIDE","27Y")&lt;&gt;0,$D$33/BDP($B$33,"BEST_EPS","BEST_FPERIOD_OVERRIDE","27Y"),"")</f>
        <v/>
      </c>
      <c r="G33" s="45">
        <f>IF(BDP($B$33,"BEST_EPS","BEST_FPERIOD_OVERRIDE","28Y")&lt;&gt;0,$D$33/BDP($B$33,"BEST_EPS","BEST_FPERIOD_OVERRIDE","28Y"),"")</f>
        <v/>
      </c>
      <c r="H33" s="46">
        <f>BDP($B$33,"NET_DEBT_TO_EBITDA")</f>
        <v/>
      </c>
      <c r="I33" s="43">
        <f>BDP($B$33,"BEST_SALES","BEST_FPERIOD_OVERRIDE","26Y")/1000</f>
        <v/>
      </c>
      <c r="J33" s="47">
        <f>IF(BDP($B$33,"BEST_SALES","BEST_FPERIOD_OVERRIDE","26Y")&lt;&gt;0,BDP($B$33,"BEST_EBIT","BEST_FPERIOD_OVERRIDE","26Y")/BDP($B$33,"BEST_SALES","BEST_FPERIOD_OVERRIDE","26Y"),"")</f>
        <v/>
      </c>
      <c r="K33" s="47">
        <f>BDP($B$33,"RETURN_ON_INV_CAPITAL")/100</f>
        <v/>
      </c>
      <c r="L33" s="47">
        <f>IF(AND(BDP($B$33,"BEST_SALES","BEST_FPERIOD_OVERRIDE","25Y")&gt;0,BDP($B$33,"BEST_SALES","BEST_FPERIOD_OVERRIDE","28Y")&gt;0),(BDP($B$33,"BEST_SALES","BEST_FPERIOD_OVERRIDE","28Y")/BDP($B$33,"BEST_SALES","BEST_FPERIOD_OVERRIDE","25Y"))^(1/3)-1,"")</f>
        <v/>
      </c>
      <c r="M33" s="47">
        <f>IF(AND(BDP($B$33,"BEST_EBIT","BEST_FPERIOD_OVERRIDE","25Y")&gt;0,BDP($B$33,"BEST_EBIT","BEST_FPERIOD_OVERRIDE","28Y")&gt;0),(BDP($B$33,"BEST_EBIT","BEST_FPERIOD_OVERRIDE","28Y")/BDP($B$33,"BEST_EBIT","BEST_FPERIOD_OVERRIDE","25Y"))^(1/3)-1,"")</f>
        <v/>
      </c>
      <c r="N33" s="47">
        <f>IF(AND(BDP($B$33,"BEST_EPS","BEST_FPERIOD_OVERRIDE","25Y")&gt;0,BDP($B$33,"BEST_EPS","BEST_FPERIOD_OVERRIDE","28Y")&gt;0),(BDP($B$33,"BEST_EPS","BEST_FPERIOD_OVERRIDE","28Y")/BDP($B$33,"BEST_EPS","BEST_FPERIOD_OVERRIDE","25Y"))^(1/3)-1,"")</f>
        <v/>
      </c>
      <c r="O33" s="1" t="n"/>
      <c r="P33" s="47">
        <f>BDP($B$33,"CHG_PCT_YTD")/100</f>
        <v/>
      </c>
      <c r="Q33" s="1" t="n"/>
      <c r="R33" s="1" t="n"/>
      <c r="S33" s="42">
        <f>IF(AND(E33&lt;&gt;"",N33&lt;&gt;"",N33&lt;&gt;0),E33/(N33*100),"")</f>
        <v/>
      </c>
      <c r="T33" s="1" t="n"/>
      <c r="U33" s="26" t="inlineStr">
        <is>
          <t>Dec</t>
        </is>
      </c>
      <c r="V33" s="1" t="n"/>
      <c r="W33" s="1" t="n"/>
      <c r="X33" s="1" t="n"/>
      <c r="Y33" s="1" t="n"/>
      <c r="Z33" s="1" t="n"/>
      <c r="AA33" s="48">
        <f>BDP($B$33,"TRAIL_12M_OPER_INC")</f>
        <v/>
      </c>
      <c r="AB33" s="43">
        <f>BDP($B$33,"SHORT_AND_LONG_TERM_DEBT")</f>
        <v/>
      </c>
      <c r="AC33" s="43">
        <f>BDP($B$33,"TOTAL_EQUITY")</f>
        <v/>
      </c>
      <c r="AD33" s="43">
        <f>BDP($B$33,"BS_CASH_NEAR_CASH_ITEM")</f>
        <v/>
      </c>
      <c r="AE33" s="43">
        <f>BDP($B$33,"BS_LT_INVEST")</f>
        <v/>
      </c>
      <c r="AF33" s="31">
        <f>AB33+AC33</f>
        <v/>
      </c>
      <c r="AG33" s="43">
        <f>BDP($B$33,"RETURN_ON_INV_CAPITAL")/100</f>
        <v/>
      </c>
      <c r="AH33" s="49" t="n"/>
      <c r="AI33" s="48">
        <f>BDP($B$33,"BEST_EPS","BEST_FPERIOD_OVERRIDE","24Y")</f>
        <v/>
      </c>
      <c r="AJ33" s="43">
        <f>BDP($B$33,"BEST_EPS","BEST_FPERIOD_OVERRIDE","25Y")</f>
        <v/>
      </c>
      <c r="AK33" s="43">
        <f>BDP($B$33,"BEST_EPS","BEST_FPERIOD_OVERRIDE","26Y")</f>
        <v/>
      </c>
      <c r="AL33" s="43">
        <f>BDP($B$33,"BEST_EPS","BEST_FPERIOD_OVERRIDE","27Y")</f>
        <v/>
      </c>
      <c r="AM33" s="43">
        <f>BDP($B$33,"BEST_EPS","BEST_FPERIOD_OVERRIDE","28Y")</f>
        <v/>
      </c>
      <c r="AN33" s="31" t="n"/>
      <c r="AO33" s="48">
        <f>BDP($B$33,"BEST_SALES","BEST_FPERIOD_OVERRIDE","24Y")</f>
        <v/>
      </c>
      <c r="AP33" s="43">
        <f>BDP($B$33,"BEST_SALES","BEST_FPERIOD_OVERRIDE","25Y")</f>
        <v/>
      </c>
      <c r="AQ33" s="43">
        <f>BDP($B$33,"BEST_SALES","BEST_FPERIOD_OVERRIDE","26Y")</f>
        <v/>
      </c>
      <c r="AR33" s="43">
        <f>BDP($B$33,"BEST_SALES","BEST_FPERIOD_OVERRIDE","27Y")</f>
        <v/>
      </c>
      <c r="AS33" s="43">
        <f>BDP($B$33,"BEST_SALES","BEST_FPERIOD_OVERRIDE","28Y")</f>
        <v/>
      </c>
      <c r="AT33" s="31" t="n"/>
      <c r="AU33" s="48">
        <f>BDP($B$33,"BEST_EBIT","BEST_FPERIOD_OVERRIDE","24Y")</f>
        <v/>
      </c>
      <c r="AV33" s="43">
        <f>BDP($B$33,"BEST_EBIT","BEST_FPERIOD_OVERRIDE","25Y")</f>
        <v/>
      </c>
      <c r="AW33" s="43">
        <f>BDP($B$33,"BEST_EBIT","BEST_FPERIOD_OVERRIDE","26Y")</f>
        <v/>
      </c>
      <c r="AX33" s="43">
        <f>BDP($B$33,"BEST_EBIT","BEST_FPERIOD_OVERRIDE","27Y")</f>
        <v/>
      </c>
      <c r="AY33" s="43">
        <f>BDP($B$33,"BEST_EBIT","BEST_FPERIOD_OVERRIDE","28Y")</f>
        <v/>
      </c>
      <c r="AZ33" s="31" t="n"/>
      <c r="BA33" s="1">
        <f>C33+BD33</f>
        <v/>
      </c>
      <c r="BB33" s="42">
        <f>AB33-AD33</f>
        <v/>
      </c>
      <c r="BC33" s="42">
        <f>C33</f>
        <v/>
      </c>
      <c r="BD33" s="43">
        <f>BDP($B$33,"TRAIL_12M_EBITDA")</f>
        <v/>
      </c>
      <c r="BE33" s="43">
        <f>_xll.BDP("MCD US Equity","TRAIL_12M_EBITDA")</f>
        <v/>
      </c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</row>
    <row r="34">
      <c r="A34" s="1" t="inlineStr">
        <is>
          <t>HON</t>
        </is>
      </c>
      <c r="B34" s="1" t="inlineStr">
        <is>
          <t>HON US Equity</t>
        </is>
      </c>
      <c r="C34" s="43">
        <f>BDP($B$34,"CUR_MKT_CAP")/1000000000</f>
        <v/>
      </c>
      <c r="D34" s="44">
        <f>BDP($B$34,"PX_LAST")</f>
        <v/>
      </c>
      <c r="E34" s="45">
        <f>IF(BDP($B$34,"BEST_EPS","BEST_FPERIOD_OVERRIDE","26Y")&lt;&gt;0,$D$34/BDP($B$34,"BEST_EPS","BEST_FPERIOD_OVERRIDE","26Y"),"")</f>
        <v/>
      </c>
      <c r="F34" s="45">
        <f>IF(BDP($B$34,"BEST_EPS","BEST_FPERIOD_OVERRIDE","27Y")&lt;&gt;0,$D$34/BDP($B$34,"BEST_EPS","BEST_FPERIOD_OVERRIDE","27Y"),"")</f>
        <v/>
      </c>
      <c r="G34" s="45">
        <f>IF(BDP($B$34,"BEST_EPS","BEST_FPERIOD_OVERRIDE","28Y")&lt;&gt;0,$D$34/BDP($B$34,"BEST_EPS","BEST_FPERIOD_OVERRIDE","28Y"),"")</f>
        <v/>
      </c>
      <c r="H34" s="46">
        <f>BDP($B$34,"NET_DEBT_TO_EBITDA")</f>
        <v/>
      </c>
      <c r="I34" s="43">
        <f>BDP($B$34,"BEST_SALES","BEST_FPERIOD_OVERRIDE","26Y")/1000</f>
        <v/>
      </c>
      <c r="J34" s="47">
        <f>IF(BDP($B$34,"BEST_SALES","BEST_FPERIOD_OVERRIDE","26Y")&lt;&gt;0,BDP($B$34,"BEST_EBIT","BEST_FPERIOD_OVERRIDE","26Y")/BDP($B$34,"BEST_SALES","BEST_FPERIOD_OVERRIDE","26Y"),"")</f>
        <v/>
      </c>
      <c r="K34" s="47">
        <f>BDP($B$34,"RETURN_ON_INV_CAPITAL")/100</f>
        <v/>
      </c>
      <c r="L34" s="47">
        <f>IF(AND(BDP($B$34,"BEST_SALES","BEST_FPERIOD_OVERRIDE","25Y")&gt;0,BDP($B$34,"BEST_SALES","BEST_FPERIOD_OVERRIDE","28Y")&gt;0),(BDP($B$34,"BEST_SALES","BEST_FPERIOD_OVERRIDE","28Y")/BDP($B$34,"BEST_SALES","BEST_FPERIOD_OVERRIDE","25Y"))^(1/3)-1,"")</f>
        <v/>
      </c>
      <c r="M34" s="47">
        <f>IF(AND(BDP($B$34,"BEST_EBIT","BEST_FPERIOD_OVERRIDE","25Y")&gt;0,BDP($B$34,"BEST_EBIT","BEST_FPERIOD_OVERRIDE","28Y")&gt;0),(BDP($B$34,"BEST_EBIT","BEST_FPERIOD_OVERRIDE","28Y")/BDP($B$34,"BEST_EBIT","BEST_FPERIOD_OVERRIDE","25Y"))^(1/3)-1,"")</f>
        <v/>
      </c>
      <c r="N34" s="47">
        <f>IF(AND(BDP($B$34,"BEST_EPS","BEST_FPERIOD_OVERRIDE","25Y")&gt;0,BDP($B$34,"BEST_EPS","BEST_FPERIOD_OVERRIDE","28Y")&gt;0),(BDP($B$34,"BEST_EPS","BEST_FPERIOD_OVERRIDE","28Y")/BDP($B$34,"BEST_EPS","BEST_FPERIOD_OVERRIDE","25Y"))^(1/3)-1,"")</f>
        <v/>
      </c>
      <c r="O34" s="1" t="n"/>
      <c r="P34" s="47">
        <f>BDP($B$34,"CHG_PCT_YTD")/100</f>
        <v/>
      </c>
      <c r="Q34" s="1" t="n"/>
      <c r="R34" s="1" t="n"/>
      <c r="S34" s="42">
        <f>IF(AND(E34&lt;&gt;"",N34&lt;&gt;"",N34&lt;&gt;0),E34/(N34*100),"")</f>
        <v/>
      </c>
      <c r="T34" s="1" t="n"/>
      <c r="U34" s="26" t="inlineStr">
        <is>
          <t>Dec</t>
        </is>
      </c>
      <c r="V34" s="1" t="n"/>
      <c r="W34" s="1" t="n"/>
      <c r="X34" s="1" t="n"/>
      <c r="Y34" s="1" t="n"/>
      <c r="Z34" s="1" t="n"/>
      <c r="AA34" s="48">
        <f>BDP($B$34,"TRAIL_12M_OPER_INC")</f>
        <v/>
      </c>
      <c r="AB34" s="43">
        <f>BDP($B$34,"SHORT_AND_LONG_TERM_DEBT")</f>
        <v/>
      </c>
      <c r="AC34" s="43">
        <f>BDP($B$34,"TOTAL_EQUITY")</f>
        <v/>
      </c>
      <c r="AD34" s="43">
        <f>BDP($B$34,"BS_CASH_NEAR_CASH_ITEM")</f>
        <v/>
      </c>
      <c r="AE34" s="43">
        <f>BDP($B$34,"BS_LT_INVEST")</f>
        <v/>
      </c>
      <c r="AF34" s="31">
        <f>AB34+AC34</f>
        <v/>
      </c>
      <c r="AG34" s="43">
        <f>BDP($B$34,"RETURN_ON_INV_CAPITAL")/100</f>
        <v/>
      </c>
      <c r="AH34" s="49" t="n"/>
      <c r="AI34" s="48">
        <f>BDP($B$34,"BEST_EPS","BEST_FPERIOD_OVERRIDE","24Y")</f>
        <v/>
      </c>
      <c r="AJ34" s="43">
        <f>BDP($B$34,"BEST_EPS","BEST_FPERIOD_OVERRIDE","25Y")</f>
        <v/>
      </c>
      <c r="AK34" s="43">
        <f>BDP($B$34,"BEST_EPS","BEST_FPERIOD_OVERRIDE","26Y")</f>
        <v/>
      </c>
      <c r="AL34" s="43">
        <f>BDP($B$34,"BEST_EPS","BEST_FPERIOD_OVERRIDE","27Y")</f>
        <v/>
      </c>
      <c r="AM34" s="43">
        <f>BDP($B$34,"BEST_EPS","BEST_FPERIOD_OVERRIDE","28Y")</f>
        <v/>
      </c>
      <c r="AN34" s="31" t="n"/>
      <c r="AO34" s="48">
        <f>BDP($B$34,"BEST_SALES","BEST_FPERIOD_OVERRIDE","24Y")</f>
        <v/>
      </c>
      <c r="AP34" s="43">
        <f>BDP($B$34,"BEST_SALES","BEST_FPERIOD_OVERRIDE","25Y")</f>
        <v/>
      </c>
      <c r="AQ34" s="43">
        <f>BDP($B$34,"BEST_SALES","BEST_FPERIOD_OVERRIDE","26Y")</f>
        <v/>
      </c>
      <c r="AR34" s="43">
        <f>BDP($B$34,"BEST_SALES","BEST_FPERIOD_OVERRIDE","27Y")</f>
        <v/>
      </c>
      <c r="AS34" s="43">
        <f>BDP($B$34,"BEST_SALES","BEST_FPERIOD_OVERRIDE","28Y")</f>
        <v/>
      </c>
      <c r="AT34" s="31" t="n"/>
      <c r="AU34" s="48">
        <f>BDP($B$34,"BEST_EBIT","BEST_FPERIOD_OVERRIDE","24Y")</f>
        <v/>
      </c>
      <c r="AV34" s="43">
        <f>BDP($B$34,"BEST_EBIT","BEST_FPERIOD_OVERRIDE","25Y")</f>
        <v/>
      </c>
      <c r="AW34" s="43">
        <f>BDP($B$34,"BEST_EBIT","BEST_FPERIOD_OVERRIDE","26Y")</f>
        <v/>
      </c>
      <c r="AX34" s="43">
        <f>BDP($B$34,"BEST_EBIT","BEST_FPERIOD_OVERRIDE","27Y")</f>
        <v/>
      </c>
      <c r="AY34" s="43">
        <f>BDP($B$34,"BEST_EBIT","BEST_FPERIOD_OVERRIDE","28Y")</f>
        <v/>
      </c>
      <c r="AZ34" s="31" t="n"/>
      <c r="BA34" s="1">
        <f>C34+BD34</f>
        <v/>
      </c>
      <c r="BB34" s="42">
        <f>AB34-AD34</f>
        <v/>
      </c>
      <c r="BC34" s="42">
        <f>C34</f>
        <v/>
      </c>
      <c r="BD34" s="43">
        <f>BDP($B$34,"TRAIL_12M_EBITDA")</f>
        <v/>
      </c>
      <c r="BE34" s="43">
        <f>_xll.BDP("HON US Equity","TRAIL_12M_EBITDA")</f>
        <v/>
      </c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</row>
    <row r="35">
      <c r="A35" s="1" t="inlineStr">
        <is>
          <t>SBUX</t>
        </is>
      </c>
      <c r="B35" s="1" t="inlineStr">
        <is>
          <t>SBUX US Equity</t>
        </is>
      </c>
      <c r="C35" s="43">
        <f>BDP($B$35,"CUR_MKT_CAP")/1000000000</f>
        <v/>
      </c>
      <c r="D35" s="44">
        <f>BDP($B$35,"PX_LAST")</f>
        <v/>
      </c>
      <c r="E35" s="45">
        <f>IF(BDP($B$35,"BEST_EPS","BEST_FPERIOD_OVERRIDE","26Y")&lt;&gt;0,$D$35/BDP($B$35,"BEST_EPS","BEST_FPERIOD_OVERRIDE","26Y"),"")</f>
        <v/>
      </c>
      <c r="F35" s="45">
        <f>IF(BDP($B$35,"BEST_EPS","BEST_FPERIOD_OVERRIDE","27Y")&lt;&gt;0,$D$35/BDP($B$35,"BEST_EPS","BEST_FPERIOD_OVERRIDE","27Y"),"")</f>
        <v/>
      </c>
      <c r="G35" s="45">
        <f>IF(BDP($B$35,"BEST_EPS","BEST_FPERIOD_OVERRIDE","28Y")&lt;&gt;0,$D$35/BDP($B$35,"BEST_EPS","BEST_FPERIOD_OVERRIDE","28Y"),"")</f>
        <v/>
      </c>
      <c r="H35" s="46">
        <f>BDP($B$35,"NET_DEBT_TO_EBITDA")</f>
        <v/>
      </c>
      <c r="I35" s="43">
        <f>BDP($B$35,"BEST_SALES","BEST_FPERIOD_OVERRIDE","26Y")/1000</f>
        <v/>
      </c>
      <c r="J35" s="47">
        <f>IF(BDP($B$35,"BEST_SALES","BEST_FPERIOD_OVERRIDE","26Y")&lt;&gt;0,BDP($B$35,"BEST_EBIT","BEST_FPERIOD_OVERRIDE","26Y")/BDP($B$35,"BEST_SALES","BEST_FPERIOD_OVERRIDE","26Y"),"")</f>
        <v/>
      </c>
      <c r="K35" s="47">
        <f>BDP($B$35,"RETURN_ON_INV_CAPITAL")/100</f>
        <v/>
      </c>
      <c r="L35" s="47">
        <f>IF(AND(BDP($B$35,"BEST_SALES","BEST_FPERIOD_OVERRIDE","25Y")&gt;0,BDP($B$35,"BEST_SALES","BEST_FPERIOD_OVERRIDE","28Y")&gt;0),(BDP($B$35,"BEST_SALES","BEST_FPERIOD_OVERRIDE","28Y")/BDP($B$35,"BEST_SALES","BEST_FPERIOD_OVERRIDE","25Y"))^(1/3)-1,"")</f>
        <v/>
      </c>
      <c r="M35" s="47">
        <f>IF(AND(BDP($B$35,"BEST_EBIT","BEST_FPERIOD_OVERRIDE","25Y")&gt;0,BDP($B$35,"BEST_EBIT","BEST_FPERIOD_OVERRIDE","28Y")&gt;0),(BDP($B$35,"BEST_EBIT","BEST_FPERIOD_OVERRIDE","28Y")/BDP($B$35,"BEST_EBIT","BEST_FPERIOD_OVERRIDE","25Y"))^(1/3)-1,"")</f>
        <v/>
      </c>
      <c r="N35" s="47">
        <f>IF(AND(BDP($B$35,"BEST_EPS","BEST_FPERIOD_OVERRIDE","25Y")&gt;0,BDP($B$35,"BEST_EPS","BEST_FPERIOD_OVERRIDE","28Y")&gt;0),(BDP($B$35,"BEST_EPS","BEST_FPERIOD_OVERRIDE","28Y")/BDP($B$35,"BEST_EPS","BEST_FPERIOD_OVERRIDE","25Y"))^(1/3)-1,"")</f>
        <v/>
      </c>
      <c r="O35" s="1" t="n"/>
      <c r="P35" s="47">
        <f>BDP($B$35,"CHG_PCT_YTD")/100</f>
        <v/>
      </c>
      <c r="Q35" s="1" t="n"/>
      <c r="R35" s="1" t="n"/>
      <c r="S35" s="42">
        <f>IF(AND(E35&lt;&gt;"",N35&lt;&gt;"",N35&lt;&gt;0),E35/(N35*100),"")</f>
        <v/>
      </c>
      <c r="T35" s="1" t="n"/>
      <c r="U35" s="26" t="inlineStr">
        <is>
          <t>Sep</t>
        </is>
      </c>
      <c r="V35" s="1" t="n"/>
      <c r="W35" s="1" t="n"/>
      <c r="X35" s="1" t="n"/>
      <c r="Y35" s="1" t="n"/>
      <c r="Z35" s="1" t="n"/>
      <c r="AA35" s="48">
        <f>BDP($B$35,"TRAIL_12M_OPER_INC")</f>
        <v/>
      </c>
      <c r="AB35" s="43">
        <f>BDP($B$35,"SHORT_AND_LONG_TERM_DEBT")</f>
        <v/>
      </c>
      <c r="AC35" s="43">
        <f>BDP($B$35,"TOTAL_EQUITY")</f>
        <v/>
      </c>
      <c r="AD35" s="43">
        <f>BDP($B$35,"BS_CASH_NEAR_CASH_ITEM")</f>
        <v/>
      </c>
      <c r="AE35" s="43">
        <f>BDP($B$35,"BS_LT_INVEST")</f>
        <v/>
      </c>
      <c r="AF35" s="31">
        <f>AB35+AC35</f>
        <v/>
      </c>
      <c r="AG35" s="43">
        <f>BDP($B$35,"RETURN_ON_INV_CAPITAL")/100</f>
        <v/>
      </c>
      <c r="AH35" s="49" t="n"/>
      <c r="AI35" s="48">
        <f>BDP($B$35,"BEST_EPS","BEST_FPERIOD_OVERRIDE","24Y")</f>
        <v/>
      </c>
      <c r="AJ35" s="43">
        <f>BDP($B$35,"BEST_EPS","BEST_FPERIOD_OVERRIDE","25Y")</f>
        <v/>
      </c>
      <c r="AK35" s="43">
        <f>BDP($B$35,"BEST_EPS","BEST_FPERIOD_OVERRIDE","26Y")</f>
        <v/>
      </c>
      <c r="AL35" s="43">
        <f>BDP($B$35,"BEST_EPS","BEST_FPERIOD_OVERRIDE","27Y")</f>
        <v/>
      </c>
      <c r="AM35" s="43">
        <f>BDP($B$35,"BEST_EPS","BEST_FPERIOD_OVERRIDE","28Y")</f>
        <v/>
      </c>
      <c r="AN35" s="31" t="n"/>
      <c r="AO35" s="48">
        <f>BDP($B$35,"BEST_SALES","BEST_FPERIOD_OVERRIDE","24Y")</f>
        <v/>
      </c>
      <c r="AP35" s="43">
        <f>BDP($B$35,"BEST_SALES","BEST_FPERIOD_OVERRIDE","25Y")</f>
        <v/>
      </c>
      <c r="AQ35" s="43">
        <f>BDP($B$35,"BEST_SALES","BEST_FPERIOD_OVERRIDE","26Y")</f>
        <v/>
      </c>
      <c r="AR35" s="43">
        <f>BDP($B$35,"BEST_SALES","BEST_FPERIOD_OVERRIDE","27Y")</f>
        <v/>
      </c>
      <c r="AS35" s="43">
        <f>BDP($B$35,"BEST_SALES","BEST_FPERIOD_OVERRIDE","28Y")</f>
        <v/>
      </c>
      <c r="AT35" s="31" t="n"/>
      <c r="AU35" s="48">
        <f>BDP($B$35,"BEST_EBIT","BEST_FPERIOD_OVERRIDE","24Y")</f>
        <v/>
      </c>
      <c r="AV35" s="43">
        <f>BDP($B$35,"BEST_EBIT","BEST_FPERIOD_OVERRIDE","25Y")</f>
        <v/>
      </c>
      <c r="AW35" s="43">
        <f>BDP($B$35,"BEST_EBIT","BEST_FPERIOD_OVERRIDE","26Y")</f>
        <v/>
      </c>
      <c r="AX35" s="43">
        <f>BDP($B$35,"BEST_EBIT","BEST_FPERIOD_OVERRIDE","27Y")</f>
        <v/>
      </c>
      <c r="AY35" s="43">
        <f>BDP($B$35,"BEST_EBIT","BEST_FPERIOD_OVERRIDE","28Y")</f>
        <v/>
      </c>
      <c r="AZ35" s="31" t="n"/>
      <c r="BA35" s="1">
        <f>C35+BD35</f>
        <v/>
      </c>
      <c r="BB35" s="42">
        <f>AB35-AD35</f>
        <v/>
      </c>
      <c r="BC35" s="42">
        <f>C35</f>
        <v/>
      </c>
      <c r="BD35" s="43">
        <f>BDP($B$35,"TRAIL_12M_EBITDA")</f>
        <v/>
      </c>
      <c r="BE35" s="43">
        <f>_xll.BDP("SBUX US Equity","TRAIL_12M_EBITDA")</f>
        <v/>
      </c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</row>
    <row r="36">
      <c r="A36" s="1" t="inlineStr">
        <is>
          <t>NKE</t>
        </is>
      </c>
      <c r="B36" s="1" t="inlineStr">
        <is>
          <t>NKE US Equity</t>
        </is>
      </c>
      <c r="C36" s="43">
        <f>BDP($B$36,"CUR_MKT_CAP")/1000000000</f>
        <v/>
      </c>
      <c r="D36" s="44">
        <f>BDP($B$36,"PX_LAST")</f>
        <v/>
      </c>
      <c r="E36" s="45">
        <f>IF(BDP($B$36,"BEST_EPS","BEST_FPERIOD_OVERRIDE","26Y")&lt;&gt;0,$D$36/BDP($B$36,"BEST_EPS","BEST_FPERIOD_OVERRIDE","26Y"),"")</f>
        <v/>
      </c>
      <c r="F36" s="45">
        <f>IF(BDP($B$36,"BEST_EPS","BEST_FPERIOD_OVERRIDE","27Y")&lt;&gt;0,$D$36/BDP($B$36,"BEST_EPS","BEST_FPERIOD_OVERRIDE","27Y"),"")</f>
        <v/>
      </c>
      <c r="G36" s="45">
        <f>IF(BDP($B$36,"BEST_EPS","BEST_FPERIOD_OVERRIDE","28Y")&lt;&gt;0,$D$36/BDP($B$36,"BEST_EPS","BEST_FPERIOD_OVERRIDE","28Y"),"")</f>
        <v/>
      </c>
      <c r="H36" s="46">
        <f>BDP($B$36,"NET_DEBT_TO_EBITDA")</f>
        <v/>
      </c>
      <c r="I36" s="43">
        <f>BDP($B$36,"BEST_SALES","BEST_FPERIOD_OVERRIDE","26Y")/1000</f>
        <v/>
      </c>
      <c r="J36" s="47">
        <f>IF(BDP($B$36,"BEST_SALES","BEST_FPERIOD_OVERRIDE","26Y")&lt;&gt;0,BDP($B$36,"BEST_EBIT","BEST_FPERIOD_OVERRIDE","26Y")/BDP($B$36,"BEST_SALES","BEST_FPERIOD_OVERRIDE","26Y"),"")</f>
        <v/>
      </c>
      <c r="K36" s="47">
        <f>BDP($B$36,"RETURN_ON_INV_CAPITAL")/100</f>
        <v/>
      </c>
      <c r="L36" s="47">
        <f>IF(AND(BDP($B$36,"BEST_SALES","BEST_FPERIOD_OVERRIDE","25Y")&gt;0,BDP($B$36,"BEST_SALES","BEST_FPERIOD_OVERRIDE","28Y")&gt;0),(BDP($B$36,"BEST_SALES","BEST_FPERIOD_OVERRIDE","28Y")/BDP($B$36,"BEST_SALES","BEST_FPERIOD_OVERRIDE","25Y"))^(1/3)-1,"")</f>
        <v/>
      </c>
      <c r="M36" s="47">
        <f>IF(AND(BDP($B$36,"BEST_EBIT","BEST_FPERIOD_OVERRIDE","25Y")&gt;0,BDP($B$36,"BEST_EBIT","BEST_FPERIOD_OVERRIDE","28Y")&gt;0),(BDP($B$36,"BEST_EBIT","BEST_FPERIOD_OVERRIDE","28Y")/BDP($B$36,"BEST_EBIT","BEST_FPERIOD_OVERRIDE","25Y"))^(1/3)-1,"")</f>
        <v/>
      </c>
      <c r="N36" s="47">
        <f>IF(AND(BDP($B$36,"BEST_EPS","BEST_FPERIOD_OVERRIDE","25Y")&gt;0,BDP($B$36,"BEST_EPS","BEST_FPERIOD_OVERRIDE","28Y")&gt;0),(BDP($B$36,"BEST_EPS","BEST_FPERIOD_OVERRIDE","28Y")/BDP($B$36,"BEST_EPS","BEST_FPERIOD_OVERRIDE","25Y"))^(1/3)-1,"")</f>
        <v/>
      </c>
      <c r="O36" s="1" t="n"/>
      <c r="P36" s="47">
        <f>BDP($B$36,"CHG_PCT_YTD")/100</f>
        <v/>
      </c>
      <c r="Q36" s="1" t="n"/>
      <c r="R36" s="1" t="n"/>
      <c r="S36" s="42">
        <f>IF(AND(E36&lt;&gt;"",N36&lt;&gt;"",N36&lt;&gt;0),E36/(N36*100),"")</f>
        <v/>
      </c>
      <c r="T36" s="1" t="n"/>
      <c r="U36" s="26" t="inlineStr">
        <is>
          <t>May</t>
        </is>
      </c>
      <c r="V36" s="1" t="n"/>
      <c r="W36" s="1" t="n"/>
      <c r="X36" s="1" t="n"/>
      <c r="Y36" s="1" t="n"/>
      <c r="Z36" s="1" t="n"/>
      <c r="AA36" s="48">
        <f>BDP($B$36,"TRAIL_12M_OPER_INC")</f>
        <v/>
      </c>
      <c r="AB36" s="43">
        <f>BDP($B$36,"SHORT_AND_LONG_TERM_DEBT")</f>
        <v/>
      </c>
      <c r="AC36" s="43">
        <f>BDP($B$36,"TOTAL_EQUITY")</f>
        <v/>
      </c>
      <c r="AD36" s="43">
        <f>BDP($B$36,"BS_CASH_NEAR_CASH_ITEM")</f>
        <v/>
      </c>
      <c r="AE36" s="43">
        <f>BDP($B$36,"BS_LT_INVEST")</f>
        <v/>
      </c>
      <c r="AF36" s="31">
        <f>AB36+AC36</f>
        <v/>
      </c>
      <c r="AG36" s="43">
        <f>BDP($B$36,"RETURN_ON_INV_CAPITAL")/100</f>
        <v/>
      </c>
      <c r="AH36" s="49" t="n"/>
      <c r="AI36" s="48">
        <f>BDP($B$36,"BEST_EPS","BEST_FPERIOD_OVERRIDE","24Y")</f>
        <v/>
      </c>
      <c r="AJ36" s="43">
        <f>BDP($B$36,"BEST_EPS","BEST_FPERIOD_OVERRIDE","25Y")</f>
        <v/>
      </c>
      <c r="AK36" s="43">
        <f>BDP($B$36,"BEST_EPS","BEST_FPERIOD_OVERRIDE","26Y")</f>
        <v/>
      </c>
      <c r="AL36" s="43">
        <f>BDP($B$36,"BEST_EPS","BEST_FPERIOD_OVERRIDE","27Y")</f>
        <v/>
      </c>
      <c r="AM36" s="43">
        <f>BDP($B$36,"BEST_EPS","BEST_FPERIOD_OVERRIDE","28Y")</f>
        <v/>
      </c>
      <c r="AN36" s="31" t="n"/>
      <c r="AO36" s="48">
        <f>BDP($B$36,"BEST_SALES","BEST_FPERIOD_OVERRIDE","24Y")</f>
        <v/>
      </c>
      <c r="AP36" s="43">
        <f>BDP($B$36,"BEST_SALES","BEST_FPERIOD_OVERRIDE","25Y")</f>
        <v/>
      </c>
      <c r="AQ36" s="43">
        <f>BDP($B$36,"BEST_SALES","BEST_FPERIOD_OVERRIDE","26Y")</f>
        <v/>
      </c>
      <c r="AR36" s="43">
        <f>BDP($B$36,"BEST_SALES","BEST_FPERIOD_OVERRIDE","27Y")</f>
        <v/>
      </c>
      <c r="AS36" s="43">
        <f>BDP($B$36,"BEST_SALES","BEST_FPERIOD_OVERRIDE","28Y")</f>
        <v/>
      </c>
      <c r="AT36" s="31" t="n"/>
      <c r="AU36" s="48">
        <f>BDP($B$36,"BEST_EBIT","BEST_FPERIOD_OVERRIDE","24Y")</f>
        <v/>
      </c>
      <c r="AV36" s="43">
        <f>BDP($B$36,"BEST_EBIT","BEST_FPERIOD_OVERRIDE","25Y")</f>
        <v/>
      </c>
      <c r="AW36" s="43">
        <f>BDP($B$36,"BEST_EBIT","BEST_FPERIOD_OVERRIDE","26Y")</f>
        <v/>
      </c>
      <c r="AX36" s="43">
        <f>BDP($B$36,"BEST_EBIT","BEST_FPERIOD_OVERRIDE","27Y")</f>
        <v/>
      </c>
      <c r="AY36" s="43">
        <f>BDP($B$36,"BEST_EBIT","BEST_FPERIOD_OVERRIDE","28Y")</f>
        <v/>
      </c>
      <c r="AZ36" s="31" t="n"/>
      <c r="BA36" s="1">
        <f>C36+BD36</f>
        <v/>
      </c>
      <c r="BB36" s="42">
        <f>AB36-AD36</f>
        <v/>
      </c>
      <c r="BC36" s="42">
        <f>C36</f>
        <v/>
      </c>
      <c r="BD36" s="43">
        <f>BDP($B$36,"TRAIL_12M_EBITDA")</f>
        <v/>
      </c>
      <c r="BE36" s="43">
        <f>_xll.BDP("NKE US Equity","TRAIL_12M_EBITDA")</f>
        <v/>
      </c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</row>
    <row r="37">
      <c r="A37" s="1" t="inlineStr">
        <is>
          <t>UNP</t>
        </is>
      </c>
      <c r="B37" s="1" t="inlineStr">
        <is>
          <t>UNP US Equity</t>
        </is>
      </c>
      <c r="C37" s="43">
        <f>BDP($B$37,"CUR_MKT_CAP")/1000000000</f>
        <v/>
      </c>
      <c r="D37" s="44">
        <f>BDP($B$37,"PX_LAST")</f>
        <v/>
      </c>
      <c r="E37" s="45">
        <f>IF(BDP($B$37,"BEST_EPS","BEST_FPERIOD_OVERRIDE","26Y")&lt;&gt;0,$D$37/BDP($B$37,"BEST_EPS","BEST_FPERIOD_OVERRIDE","26Y"),"")</f>
        <v/>
      </c>
      <c r="F37" s="45">
        <f>IF(BDP($B$37,"BEST_EPS","BEST_FPERIOD_OVERRIDE","27Y")&lt;&gt;0,$D$37/BDP($B$37,"BEST_EPS","BEST_FPERIOD_OVERRIDE","27Y"),"")</f>
        <v/>
      </c>
      <c r="G37" s="45">
        <f>IF(BDP($B$37,"BEST_EPS","BEST_FPERIOD_OVERRIDE","28Y")&lt;&gt;0,$D$37/BDP($B$37,"BEST_EPS","BEST_FPERIOD_OVERRIDE","28Y"),"")</f>
        <v/>
      </c>
      <c r="H37" s="46">
        <f>BDP($B$37,"NET_DEBT_TO_EBITDA")</f>
        <v/>
      </c>
      <c r="I37" s="43">
        <f>BDP($B$37,"BEST_SALES","BEST_FPERIOD_OVERRIDE","26Y")/1000</f>
        <v/>
      </c>
      <c r="J37" s="47">
        <f>IF(BDP($B$37,"BEST_SALES","BEST_FPERIOD_OVERRIDE","26Y")&lt;&gt;0,BDP($B$37,"BEST_EBIT","BEST_FPERIOD_OVERRIDE","26Y")/BDP($B$37,"BEST_SALES","BEST_FPERIOD_OVERRIDE","26Y"),"")</f>
        <v/>
      </c>
      <c r="K37" s="47">
        <f>BDP($B$37,"RETURN_ON_INV_CAPITAL")/100</f>
        <v/>
      </c>
      <c r="L37" s="47">
        <f>IF(AND(BDP($B$37,"BEST_SALES","BEST_FPERIOD_OVERRIDE","25Y")&gt;0,BDP($B$37,"BEST_SALES","BEST_FPERIOD_OVERRIDE","28Y")&gt;0),(BDP($B$37,"BEST_SALES","BEST_FPERIOD_OVERRIDE","28Y")/BDP($B$37,"BEST_SALES","BEST_FPERIOD_OVERRIDE","25Y"))^(1/3)-1,"")</f>
        <v/>
      </c>
      <c r="M37" s="47">
        <f>IF(AND(BDP($B$37,"BEST_EBIT","BEST_FPERIOD_OVERRIDE","25Y")&gt;0,BDP($B$37,"BEST_EBIT","BEST_FPERIOD_OVERRIDE","28Y")&gt;0),(BDP($B$37,"BEST_EBIT","BEST_FPERIOD_OVERRIDE","28Y")/BDP($B$37,"BEST_EBIT","BEST_FPERIOD_OVERRIDE","25Y"))^(1/3)-1,"")</f>
        <v/>
      </c>
      <c r="N37" s="47">
        <f>IF(AND(BDP($B$37,"BEST_EPS","BEST_FPERIOD_OVERRIDE","25Y")&gt;0,BDP($B$37,"BEST_EPS","BEST_FPERIOD_OVERRIDE","28Y")&gt;0),(BDP($B$37,"BEST_EPS","BEST_FPERIOD_OVERRIDE","28Y")/BDP($B$37,"BEST_EPS","BEST_FPERIOD_OVERRIDE","25Y"))^(1/3)-1,"")</f>
        <v/>
      </c>
      <c r="O37" s="1" t="n"/>
      <c r="P37" s="47">
        <f>BDP($B$37,"CHG_PCT_YTD")/100</f>
        <v/>
      </c>
      <c r="Q37" s="1" t="n"/>
      <c r="R37" s="1" t="n"/>
      <c r="S37" s="42">
        <f>IF(AND(E37&lt;&gt;"",N37&lt;&gt;"",N37&lt;&gt;0),E37/(N37*100),"")</f>
        <v/>
      </c>
      <c r="T37" s="1" t="n"/>
      <c r="U37" s="26" t="inlineStr">
        <is>
          <t>Dec</t>
        </is>
      </c>
      <c r="V37" s="1" t="n"/>
      <c r="W37" s="1" t="n"/>
      <c r="X37" s="1" t="n"/>
      <c r="Y37" s="1" t="n"/>
      <c r="Z37" s="1" t="n"/>
      <c r="AA37" s="48">
        <f>BDP($B$37,"TRAIL_12M_OPER_INC")</f>
        <v/>
      </c>
      <c r="AB37" s="43">
        <f>BDP($B$37,"SHORT_AND_LONG_TERM_DEBT")</f>
        <v/>
      </c>
      <c r="AC37" s="43">
        <f>BDP($B$37,"TOTAL_EQUITY")</f>
        <v/>
      </c>
      <c r="AD37" s="43">
        <f>BDP($B$37,"BS_CASH_NEAR_CASH_ITEM")</f>
        <v/>
      </c>
      <c r="AE37" s="43">
        <f>BDP($B$37,"BS_LT_INVEST")</f>
        <v/>
      </c>
      <c r="AF37" s="31">
        <f>AB37+AC37</f>
        <v/>
      </c>
      <c r="AG37" s="43">
        <f>BDP($B$37,"RETURN_ON_INV_CAPITAL")/100</f>
        <v/>
      </c>
      <c r="AH37" s="49" t="n"/>
      <c r="AI37" s="48">
        <f>BDP($B$37,"BEST_EPS","BEST_FPERIOD_OVERRIDE","24Y")</f>
        <v/>
      </c>
      <c r="AJ37" s="43">
        <f>BDP($B$37,"BEST_EPS","BEST_FPERIOD_OVERRIDE","25Y")</f>
        <v/>
      </c>
      <c r="AK37" s="43">
        <f>BDP($B$37,"BEST_EPS","BEST_FPERIOD_OVERRIDE","26Y")</f>
        <v/>
      </c>
      <c r="AL37" s="43">
        <f>BDP($B$37,"BEST_EPS","BEST_FPERIOD_OVERRIDE","27Y")</f>
        <v/>
      </c>
      <c r="AM37" s="43">
        <f>BDP($B$37,"BEST_EPS","BEST_FPERIOD_OVERRIDE","28Y")</f>
        <v/>
      </c>
      <c r="AN37" s="31" t="n"/>
      <c r="AO37" s="48">
        <f>BDP($B$37,"BEST_SALES","BEST_FPERIOD_OVERRIDE","24Y")</f>
        <v/>
      </c>
      <c r="AP37" s="43">
        <f>BDP($B$37,"BEST_SALES","BEST_FPERIOD_OVERRIDE","25Y")</f>
        <v/>
      </c>
      <c r="AQ37" s="43">
        <f>BDP($B$37,"BEST_SALES","BEST_FPERIOD_OVERRIDE","26Y")</f>
        <v/>
      </c>
      <c r="AR37" s="43">
        <f>BDP($B$37,"BEST_SALES","BEST_FPERIOD_OVERRIDE","27Y")</f>
        <v/>
      </c>
      <c r="AS37" s="43">
        <f>BDP($B$37,"BEST_SALES","BEST_FPERIOD_OVERRIDE","28Y")</f>
        <v/>
      </c>
      <c r="AT37" s="31" t="n"/>
      <c r="AU37" s="48">
        <f>BDP($B$37,"BEST_EBIT","BEST_FPERIOD_OVERRIDE","24Y")</f>
        <v/>
      </c>
      <c r="AV37" s="43">
        <f>BDP($B$37,"BEST_EBIT","BEST_FPERIOD_OVERRIDE","25Y")</f>
        <v/>
      </c>
      <c r="AW37" s="43">
        <f>BDP($B$37,"BEST_EBIT","BEST_FPERIOD_OVERRIDE","26Y")</f>
        <v/>
      </c>
      <c r="AX37" s="43">
        <f>BDP($B$37,"BEST_EBIT","BEST_FPERIOD_OVERRIDE","27Y")</f>
        <v/>
      </c>
      <c r="AY37" s="43">
        <f>BDP($B$37,"BEST_EBIT","BEST_FPERIOD_OVERRIDE","28Y")</f>
        <v/>
      </c>
      <c r="AZ37" s="31" t="n"/>
      <c r="BA37" s="1">
        <f>C37+BD37</f>
        <v/>
      </c>
      <c r="BB37" s="42">
        <f>AB37-AD37</f>
        <v/>
      </c>
      <c r="BC37" s="42">
        <f>C37</f>
        <v/>
      </c>
      <c r="BD37" s="43">
        <f>BDP($B$37,"TRAIL_12M_EBITDA")</f>
        <v/>
      </c>
      <c r="BE37" s="43">
        <f>_xll.BDP("UNP US Equity","TRAIL_12M_EBITDA")</f>
        <v/>
      </c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</row>
    <row r="38">
      <c r="A38" s="1" t="inlineStr">
        <is>
          <t>ETN</t>
        </is>
      </c>
      <c r="B38" s="1" t="inlineStr">
        <is>
          <t>ETN US Equity</t>
        </is>
      </c>
      <c r="C38" s="43">
        <f>BDP($B$38,"CUR_MKT_CAP")/1000000000</f>
        <v/>
      </c>
      <c r="D38" s="44">
        <f>BDP($B$38,"PX_LAST")</f>
        <v/>
      </c>
      <c r="E38" s="45">
        <f>IF(BDP($B$38,"BEST_EPS","BEST_FPERIOD_OVERRIDE","26Y")&lt;&gt;0,$D$38/BDP($B$38,"BEST_EPS","BEST_FPERIOD_OVERRIDE","26Y"),"")</f>
        <v/>
      </c>
      <c r="F38" s="45">
        <f>IF(BDP($B$38,"BEST_EPS","BEST_FPERIOD_OVERRIDE","27Y")&lt;&gt;0,$D$38/BDP($B$38,"BEST_EPS","BEST_FPERIOD_OVERRIDE","27Y"),"")</f>
        <v/>
      </c>
      <c r="G38" s="45">
        <f>IF(BDP($B$38,"BEST_EPS","BEST_FPERIOD_OVERRIDE","28Y")&lt;&gt;0,$D$38/BDP($B$38,"BEST_EPS","BEST_FPERIOD_OVERRIDE","28Y"),"")</f>
        <v/>
      </c>
      <c r="H38" s="46">
        <f>BDP($B$38,"NET_DEBT_TO_EBITDA")</f>
        <v/>
      </c>
      <c r="I38" s="43">
        <f>BDP($B$38,"BEST_SALES","BEST_FPERIOD_OVERRIDE","26Y")/1000</f>
        <v/>
      </c>
      <c r="J38" s="47">
        <f>IF(BDP($B$38,"BEST_SALES","BEST_FPERIOD_OVERRIDE","26Y")&lt;&gt;0,BDP($B$38,"BEST_EBIT","BEST_FPERIOD_OVERRIDE","26Y")/BDP($B$38,"BEST_SALES","BEST_FPERIOD_OVERRIDE","26Y"),"")</f>
        <v/>
      </c>
      <c r="K38" s="47">
        <f>BDP($B$38,"RETURN_ON_INV_CAPITAL")/100</f>
        <v/>
      </c>
      <c r="L38" s="47">
        <f>IF(AND(BDP($B$38,"BEST_SALES","BEST_FPERIOD_OVERRIDE","25Y")&gt;0,BDP($B$38,"BEST_SALES","BEST_FPERIOD_OVERRIDE","28Y")&gt;0),(BDP($B$38,"BEST_SALES","BEST_FPERIOD_OVERRIDE","28Y")/BDP($B$38,"BEST_SALES","BEST_FPERIOD_OVERRIDE","25Y"))^(1/3)-1,"")</f>
        <v/>
      </c>
      <c r="M38" s="47">
        <f>IF(AND(BDP($B$38,"BEST_EBIT","BEST_FPERIOD_OVERRIDE","25Y")&gt;0,BDP($B$38,"BEST_EBIT","BEST_FPERIOD_OVERRIDE","28Y")&gt;0),(BDP($B$38,"BEST_EBIT","BEST_FPERIOD_OVERRIDE","28Y")/BDP($B$38,"BEST_EBIT","BEST_FPERIOD_OVERRIDE","25Y"))^(1/3)-1,"")</f>
        <v/>
      </c>
      <c r="N38" s="47">
        <f>IF(AND(BDP($B$38,"BEST_EPS","BEST_FPERIOD_OVERRIDE","25Y")&gt;0,BDP($B$38,"BEST_EPS","BEST_FPERIOD_OVERRIDE","28Y")&gt;0),(BDP($B$38,"BEST_EPS","BEST_FPERIOD_OVERRIDE","28Y")/BDP($B$38,"BEST_EPS","BEST_FPERIOD_OVERRIDE","25Y"))^(1/3)-1,"")</f>
        <v/>
      </c>
      <c r="O38" s="1" t="n"/>
      <c r="P38" s="47">
        <f>BDP($B$38,"CHG_PCT_YTD")/100</f>
        <v/>
      </c>
      <c r="Q38" s="1" t="n"/>
      <c r="R38" s="1" t="n"/>
      <c r="S38" s="42">
        <f>IF(AND(E38&lt;&gt;"",N38&lt;&gt;"",N38&lt;&gt;0),E38/(N38*100),"")</f>
        <v/>
      </c>
      <c r="T38" s="1" t="n"/>
      <c r="U38" s="26" t="inlineStr">
        <is>
          <t>Dec</t>
        </is>
      </c>
      <c r="V38" s="1" t="n"/>
      <c r="W38" s="1" t="n"/>
      <c r="X38" s="1" t="n"/>
      <c r="Y38" s="1" t="n"/>
      <c r="Z38" s="1" t="n"/>
      <c r="AA38" s="48">
        <f>BDP($B$38,"TRAIL_12M_OPER_INC")</f>
        <v/>
      </c>
      <c r="AB38" s="43">
        <f>BDP($B$38,"SHORT_AND_LONG_TERM_DEBT")</f>
        <v/>
      </c>
      <c r="AC38" s="43">
        <f>BDP($B$38,"TOTAL_EQUITY")</f>
        <v/>
      </c>
      <c r="AD38" s="43">
        <f>BDP($B$38,"BS_CASH_NEAR_CASH_ITEM")</f>
        <v/>
      </c>
      <c r="AE38" s="43">
        <f>BDP($B$38,"BS_LT_INVEST")</f>
        <v/>
      </c>
      <c r="AF38" s="31">
        <f>AB38+AC38</f>
        <v/>
      </c>
      <c r="AG38" s="43">
        <f>BDP($B$38,"RETURN_ON_INV_CAPITAL")/100</f>
        <v/>
      </c>
      <c r="AH38" s="49" t="n"/>
      <c r="AI38" s="48">
        <f>BDP($B$38,"BEST_EPS","BEST_FPERIOD_OVERRIDE","24Y")</f>
        <v/>
      </c>
      <c r="AJ38" s="43">
        <f>BDP($B$38,"BEST_EPS","BEST_FPERIOD_OVERRIDE","25Y")</f>
        <v/>
      </c>
      <c r="AK38" s="43">
        <f>BDP($B$38,"BEST_EPS","BEST_FPERIOD_OVERRIDE","26Y")</f>
        <v/>
      </c>
      <c r="AL38" s="43">
        <f>BDP($B$38,"BEST_EPS","BEST_FPERIOD_OVERRIDE","27Y")</f>
        <v/>
      </c>
      <c r="AM38" s="43">
        <f>BDP($B$38,"BEST_EPS","BEST_FPERIOD_OVERRIDE","28Y")</f>
        <v/>
      </c>
      <c r="AN38" s="31" t="n"/>
      <c r="AO38" s="48">
        <f>BDP($B$38,"BEST_SALES","BEST_FPERIOD_OVERRIDE","24Y")</f>
        <v/>
      </c>
      <c r="AP38" s="43">
        <f>BDP($B$38,"BEST_SALES","BEST_FPERIOD_OVERRIDE","25Y")</f>
        <v/>
      </c>
      <c r="AQ38" s="43">
        <f>BDP($B$38,"BEST_SALES","BEST_FPERIOD_OVERRIDE","26Y")</f>
        <v/>
      </c>
      <c r="AR38" s="43">
        <f>BDP($B$38,"BEST_SALES","BEST_FPERIOD_OVERRIDE","27Y")</f>
        <v/>
      </c>
      <c r="AS38" s="43">
        <f>BDP($B$38,"BEST_SALES","BEST_FPERIOD_OVERRIDE","28Y")</f>
        <v/>
      </c>
      <c r="AT38" s="31" t="n"/>
      <c r="AU38" s="48">
        <f>BDP($B$38,"BEST_EBIT","BEST_FPERIOD_OVERRIDE","24Y")</f>
        <v/>
      </c>
      <c r="AV38" s="43">
        <f>BDP($B$38,"BEST_EBIT","BEST_FPERIOD_OVERRIDE","25Y")</f>
        <v/>
      </c>
      <c r="AW38" s="43">
        <f>BDP($B$38,"BEST_EBIT","BEST_FPERIOD_OVERRIDE","26Y")</f>
        <v/>
      </c>
      <c r="AX38" s="43">
        <f>BDP($B$38,"BEST_EBIT","BEST_FPERIOD_OVERRIDE","27Y")</f>
        <v/>
      </c>
      <c r="AY38" s="43">
        <f>BDP($B$38,"BEST_EBIT","BEST_FPERIOD_OVERRIDE","28Y")</f>
        <v/>
      </c>
      <c r="AZ38" s="31" t="n"/>
      <c r="BA38" s="1">
        <f>C38+BD38</f>
        <v/>
      </c>
      <c r="BB38" s="42">
        <f>AB38-AD38</f>
        <v/>
      </c>
      <c r="BC38" s="42">
        <f>C38</f>
        <v/>
      </c>
      <c r="BD38" s="43">
        <f>BDP($B$38,"TRAIL_12M_EBITDA")</f>
        <v/>
      </c>
      <c r="BE38" s="43">
        <f>_xll.BDP("ETN US Equity","TRAIL_12M_EBITDA")</f>
        <v/>
      </c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</row>
    <row r="39">
      <c r="A39" s="3" t="inlineStr">
        <is>
          <t>Average</t>
        </is>
      </c>
      <c r="B39" s="3" t="n"/>
      <c r="C39" s="11" t="n"/>
      <c r="D39" s="50" t="n"/>
      <c r="E39" s="51">
        <f>AVERAGE(E29:E38)</f>
        <v/>
      </c>
      <c r="F39" s="51">
        <f>AVERAGE(F29:F38)</f>
        <v/>
      </c>
      <c r="G39" s="51">
        <f>AVERAGE(G29:G38)</f>
        <v/>
      </c>
      <c r="H39" s="52">
        <f>AVERAGE(H29:H38)</f>
        <v/>
      </c>
      <c r="I39" s="53" t="n"/>
      <c r="J39" s="54">
        <f>AVERAGE(J29:J38)</f>
        <v/>
      </c>
      <c r="K39" s="54">
        <f>AVERAGE(K29:K38)</f>
        <v/>
      </c>
      <c r="L39" s="54">
        <f>AVERAGE(L29:L38)</f>
        <v/>
      </c>
      <c r="M39" s="54">
        <f>AVERAGE(M29:M38)</f>
        <v/>
      </c>
      <c r="N39" s="54">
        <f>AVERAGE(N29:N38)</f>
        <v/>
      </c>
      <c r="O39" s="3" t="n"/>
      <c r="P39" s="3" t="n"/>
      <c r="Q39" s="3" t="n"/>
      <c r="R39" s="3" t="n"/>
      <c r="S39" s="56" t="n">
        <v>3.98133730226765</v>
      </c>
      <c r="T39" s="1" t="n"/>
      <c r="U39" s="27" t="n"/>
      <c r="V39" s="1" t="n"/>
      <c r="W39" s="1" t="n"/>
      <c r="X39" s="1" t="n"/>
      <c r="Y39" s="1" t="n"/>
      <c r="Z39" s="1" t="n"/>
      <c r="AA39" s="1" t="n"/>
      <c r="AB39" s="4" t="n"/>
      <c r="AC39" s="4" t="n"/>
      <c r="AD39" s="4" t="n"/>
      <c r="AE39" s="4" t="n"/>
      <c r="AF39" s="4" t="n"/>
      <c r="AG39" s="4" t="n"/>
      <c r="AH39" s="41" t="n"/>
      <c r="AI39" s="1" t="n"/>
      <c r="AJ39" s="4" t="n"/>
      <c r="AK39" s="4" t="n"/>
      <c r="AL39" s="4" t="n"/>
      <c r="AM39" s="4" t="n"/>
      <c r="AN39" s="4" t="n"/>
      <c r="AO39" s="1" t="n"/>
      <c r="AP39" s="4" t="n"/>
      <c r="AQ39" s="4" t="n"/>
      <c r="AR39" s="4" t="n"/>
      <c r="AS39" s="4" t="n"/>
      <c r="AT39" s="4" t="n"/>
      <c r="AU39" s="1" t="n"/>
      <c r="AV39" s="4" t="n"/>
      <c r="AW39" s="4" t="n"/>
      <c r="AX39" s="4" t="n"/>
      <c r="AY39" s="4" t="n"/>
      <c r="AZ39" s="4" t="n"/>
      <c r="BA39" s="1" t="n"/>
      <c r="BB39" s="42" t="n"/>
      <c r="BC39" s="42" t="n"/>
      <c r="BD39" s="4" t="n"/>
      <c r="BE39" s="4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</row>
    <row r="40">
      <c r="A40" s="1" t="n"/>
      <c r="B40" s="1" t="n"/>
      <c r="C40" s="4" t="n"/>
      <c r="D40" s="38" t="n"/>
      <c r="E40" s="39" t="n"/>
      <c r="F40" s="39" t="n"/>
      <c r="G40" s="39" t="n"/>
      <c r="H40" s="40" t="n"/>
      <c r="I40" s="4" t="n"/>
      <c r="J40" s="41" t="n"/>
      <c r="K40" s="41" t="n"/>
      <c r="L40" s="41" t="n"/>
      <c r="M40" s="41" t="n"/>
      <c r="N40" s="41" t="n"/>
      <c r="O40" s="1" t="n"/>
      <c r="P40" s="1" t="n"/>
      <c r="Q40" s="1" t="n"/>
      <c r="R40" s="1" t="n"/>
      <c r="S40" s="1" t="n"/>
      <c r="T40" s="1" t="n"/>
      <c r="U40" s="26" t="n"/>
      <c r="V40" s="1" t="n"/>
      <c r="W40" s="1" t="n"/>
      <c r="X40" s="1" t="n"/>
      <c r="Y40" s="1" t="n"/>
      <c r="Z40" s="1" t="n"/>
      <c r="AA40" s="1" t="n"/>
      <c r="AB40" s="4" t="n"/>
      <c r="AC40" s="4" t="n"/>
      <c r="AD40" s="4" t="n"/>
      <c r="AE40" s="4" t="n"/>
      <c r="AF40" s="4" t="n"/>
      <c r="AG40" s="4" t="n"/>
      <c r="AH40" s="41" t="n"/>
      <c r="AI40" s="1" t="n"/>
      <c r="AJ40" s="4" t="n"/>
      <c r="AK40" s="4" t="n"/>
      <c r="AL40" s="4" t="n"/>
      <c r="AM40" s="4" t="n"/>
      <c r="AN40" s="4" t="n"/>
      <c r="AO40" s="1" t="n"/>
      <c r="AP40" s="4" t="n"/>
      <c r="AQ40" s="4" t="n"/>
      <c r="AR40" s="4" t="n"/>
      <c r="AS40" s="4" t="n"/>
      <c r="AT40" s="4" t="n"/>
      <c r="AU40" s="1" t="n"/>
      <c r="AV40" s="4" t="n"/>
      <c r="AW40" s="4" t="n"/>
      <c r="AX40" s="4" t="n"/>
      <c r="AY40" s="4" t="n"/>
      <c r="AZ40" s="4" t="n"/>
      <c r="BA40" s="1" t="n"/>
      <c r="BB40" s="42" t="n"/>
      <c r="BC40" s="42" t="n"/>
      <c r="BD40" s="4" t="n"/>
      <c r="BE40" s="4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</row>
    <row r="41">
      <c r="A41" s="3" t="inlineStr">
        <is>
          <t>Other businesses we own</t>
        </is>
      </c>
      <c r="B41" s="1" t="n"/>
      <c r="C41" s="4" t="n"/>
      <c r="D41" s="38" t="n"/>
      <c r="E41" s="39" t="n"/>
      <c r="F41" s="39" t="n"/>
      <c r="G41" s="39" t="n"/>
      <c r="H41" s="40" t="n"/>
      <c r="I41" s="4" t="n"/>
      <c r="J41" s="41" t="n"/>
      <c r="K41" s="41" t="n"/>
      <c r="L41" s="41" t="n"/>
      <c r="M41" s="41" t="n"/>
      <c r="N41" s="41" t="n"/>
      <c r="O41" s="1" t="n"/>
      <c r="P41" s="1" t="n"/>
      <c r="Q41" s="1" t="n"/>
      <c r="R41" s="1" t="n"/>
      <c r="S41" s="1" t="n"/>
      <c r="T41" s="1" t="n"/>
      <c r="U41" s="26" t="n"/>
      <c r="V41" s="1" t="n"/>
      <c r="W41" s="1" t="n"/>
      <c r="X41" s="1" t="n"/>
      <c r="Y41" s="1" t="n"/>
      <c r="Z41" s="1" t="n"/>
      <c r="AA41" s="1" t="n"/>
      <c r="AB41" s="4" t="n"/>
      <c r="AC41" s="4" t="n"/>
      <c r="AD41" s="4" t="n"/>
      <c r="AE41" s="4" t="n"/>
      <c r="AF41" s="4" t="n"/>
      <c r="AG41" s="4" t="n"/>
      <c r="AH41" s="41" t="n"/>
      <c r="AI41" s="1" t="n"/>
      <c r="AJ41" s="4" t="n"/>
      <c r="AK41" s="4" t="n"/>
      <c r="AL41" s="4" t="n"/>
      <c r="AM41" s="4" t="n"/>
      <c r="AN41" s="4" t="n"/>
      <c r="AO41" s="1" t="n"/>
      <c r="AP41" s="4" t="n"/>
      <c r="AQ41" s="4" t="n"/>
      <c r="AR41" s="4" t="n"/>
      <c r="AS41" s="4" t="n"/>
      <c r="AT41" s="4" t="n"/>
      <c r="AU41" s="1" t="n"/>
      <c r="AV41" s="4" t="n"/>
      <c r="AW41" s="4" t="n"/>
      <c r="AX41" s="4" t="n"/>
      <c r="AY41" s="4" t="n"/>
      <c r="AZ41" s="4" t="n"/>
      <c r="BA41" s="1" t="n"/>
      <c r="BB41" s="42" t="n"/>
      <c r="BC41" s="42" t="n"/>
      <c r="BD41" s="4" t="n"/>
      <c r="BE41" s="4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</row>
    <row r="42">
      <c r="A42" s="1" t="inlineStr">
        <is>
          <t>HCA</t>
        </is>
      </c>
      <c r="B42" s="1" t="inlineStr">
        <is>
          <t>HCA US Equity</t>
        </is>
      </c>
      <c r="C42" s="43">
        <f>BDP($B$42,"CUR_MKT_CAP")/1000000000</f>
        <v/>
      </c>
      <c r="D42" s="44">
        <f>BDP($B$42,"PX_LAST")</f>
        <v/>
      </c>
      <c r="E42" s="45">
        <f>IF(BDP($B$42,"BEST_EPS","BEST_FPERIOD_OVERRIDE","26Y")&lt;&gt;0,$D$42/BDP($B$42,"BEST_EPS","BEST_FPERIOD_OVERRIDE","26Y"),"")</f>
        <v/>
      </c>
      <c r="F42" s="45">
        <f>IF(BDP($B$42,"BEST_EPS","BEST_FPERIOD_OVERRIDE","27Y")&lt;&gt;0,$D$42/BDP($B$42,"BEST_EPS","BEST_FPERIOD_OVERRIDE","27Y"),"")</f>
        <v/>
      </c>
      <c r="G42" s="45">
        <f>IF(BDP($B$42,"BEST_EPS","BEST_FPERIOD_OVERRIDE","28Y")&lt;&gt;0,$D$42/BDP($B$42,"BEST_EPS","BEST_FPERIOD_OVERRIDE","28Y"),"")</f>
        <v/>
      </c>
      <c r="H42" s="46">
        <f>BDP($B$42,"NET_DEBT_TO_EBITDA")</f>
        <v/>
      </c>
      <c r="I42" s="43">
        <f>BDP($B$42,"BEST_SALES","BEST_FPERIOD_OVERRIDE","26Y")/1000</f>
        <v/>
      </c>
      <c r="J42" s="47">
        <f>IF(BDP($B$42,"BEST_SALES","BEST_FPERIOD_OVERRIDE","26Y")&lt;&gt;0,BDP($B$42,"BEST_EBIT","BEST_FPERIOD_OVERRIDE","26Y")/BDP($B$42,"BEST_SALES","BEST_FPERIOD_OVERRIDE","26Y"),"")</f>
        <v/>
      </c>
      <c r="K42" s="47">
        <f>BDP($B$42,"RETURN_ON_INV_CAPITAL")/100</f>
        <v/>
      </c>
      <c r="L42" s="47">
        <f>IF(AND(BDP($B$42,"BEST_SALES","BEST_FPERIOD_OVERRIDE","25Y")&gt;0,BDP($B$42,"BEST_SALES","BEST_FPERIOD_OVERRIDE","28Y")&gt;0),(BDP($B$42,"BEST_SALES","BEST_FPERIOD_OVERRIDE","28Y")/BDP($B$42,"BEST_SALES","BEST_FPERIOD_OVERRIDE","25Y"))^(1/3)-1,"")</f>
        <v/>
      </c>
      <c r="M42" s="47">
        <f>IF(AND(BDP($B$42,"BEST_EBIT","BEST_FPERIOD_OVERRIDE","25Y")&gt;0,BDP($B$42,"BEST_EBIT","BEST_FPERIOD_OVERRIDE","28Y")&gt;0),(BDP($B$42,"BEST_EBIT","BEST_FPERIOD_OVERRIDE","28Y")/BDP($B$42,"BEST_EBIT","BEST_FPERIOD_OVERRIDE","25Y"))^(1/3)-1,"")</f>
        <v/>
      </c>
      <c r="N42" s="47">
        <f>IF(AND(BDP($B$42,"BEST_EPS","BEST_FPERIOD_OVERRIDE","25Y")&gt;0,BDP($B$42,"BEST_EPS","BEST_FPERIOD_OVERRIDE","28Y")&gt;0),(BDP($B$42,"BEST_EPS","BEST_FPERIOD_OVERRIDE","28Y")/BDP($B$42,"BEST_EPS","BEST_FPERIOD_OVERRIDE","25Y"))^(1/3)-1,"")</f>
        <v/>
      </c>
      <c r="O42" s="1" t="n"/>
      <c r="P42" s="47">
        <f>BDP($B$42,"CHG_PCT_YTD")/100</f>
        <v/>
      </c>
      <c r="Q42" s="1" t="n"/>
      <c r="R42" s="1" t="n"/>
      <c r="S42" s="42">
        <f>IF(AND(E42&lt;&gt;"",N42&lt;&gt;"",N42&lt;&gt;0),E42/(N42*100),"")</f>
        <v/>
      </c>
      <c r="T42" s="1" t="n"/>
      <c r="U42" s="26" t="inlineStr">
        <is>
          <t>Dec</t>
        </is>
      </c>
      <c r="V42" s="1" t="n"/>
      <c r="W42" s="1" t="n"/>
      <c r="X42" s="1" t="n"/>
      <c r="Y42" s="1" t="n"/>
      <c r="Z42" s="1" t="n"/>
      <c r="AA42" s="48">
        <f>BDP($B$42,"TRAIL_12M_OPER_INC")</f>
        <v/>
      </c>
      <c r="AB42" s="43">
        <f>BDP($B$42,"SHORT_AND_LONG_TERM_DEBT")</f>
        <v/>
      </c>
      <c r="AC42" s="43">
        <f>BDP($B$42,"TOTAL_EQUITY")</f>
        <v/>
      </c>
      <c r="AD42" s="43">
        <f>BDP($B$42,"BS_CASH_NEAR_CASH_ITEM")</f>
        <v/>
      </c>
      <c r="AE42" s="43">
        <f>BDP($B$42,"BS_LT_INVEST")</f>
        <v/>
      </c>
      <c r="AF42" s="31">
        <f>AB42+AC42</f>
        <v/>
      </c>
      <c r="AG42" s="43">
        <f>BDP($B$42,"RETURN_ON_INV_CAPITAL")/100</f>
        <v/>
      </c>
      <c r="AH42" s="49" t="n"/>
      <c r="AI42" s="48">
        <f>BDP($B$42,"BEST_EPS","BEST_FPERIOD_OVERRIDE","24Y")</f>
        <v/>
      </c>
      <c r="AJ42" s="43">
        <f>BDP($B$42,"BEST_EPS","BEST_FPERIOD_OVERRIDE","25Y")</f>
        <v/>
      </c>
      <c r="AK42" s="43">
        <f>BDP($B$42,"BEST_EPS","BEST_FPERIOD_OVERRIDE","26Y")</f>
        <v/>
      </c>
      <c r="AL42" s="43">
        <f>BDP($B$42,"BEST_EPS","BEST_FPERIOD_OVERRIDE","27Y")</f>
        <v/>
      </c>
      <c r="AM42" s="43">
        <f>BDP($B$42,"BEST_EPS","BEST_FPERIOD_OVERRIDE","28Y")</f>
        <v/>
      </c>
      <c r="AN42" s="31" t="n"/>
      <c r="AO42" s="48">
        <f>BDP($B$42,"BEST_SALES","BEST_FPERIOD_OVERRIDE","24Y")</f>
        <v/>
      </c>
      <c r="AP42" s="43">
        <f>BDP($B$42,"BEST_SALES","BEST_FPERIOD_OVERRIDE","25Y")</f>
        <v/>
      </c>
      <c r="AQ42" s="43">
        <f>BDP($B$42,"BEST_SALES","BEST_FPERIOD_OVERRIDE","26Y")</f>
        <v/>
      </c>
      <c r="AR42" s="43">
        <f>BDP($B$42,"BEST_SALES","BEST_FPERIOD_OVERRIDE","27Y")</f>
        <v/>
      </c>
      <c r="AS42" s="43">
        <f>BDP($B$42,"BEST_SALES","BEST_FPERIOD_OVERRIDE","28Y")</f>
        <v/>
      </c>
      <c r="AT42" s="31" t="n"/>
      <c r="AU42" s="48">
        <f>BDP($B$42,"BEST_EBIT","BEST_FPERIOD_OVERRIDE","24Y")</f>
        <v/>
      </c>
      <c r="AV42" s="43">
        <f>BDP($B$42,"BEST_EBIT","BEST_FPERIOD_OVERRIDE","25Y")</f>
        <v/>
      </c>
      <c r="AW42" s="43">
        <f>BDP($B$42,"BEST_EBIT","BEST_FPERIOD_OVERRIDE","26Y")</f>
        <v/>
      </c>
      <c r="AX42" s="43">
        <f>BDP($B$42,"BEST_EBIT","BEST_FPERIOD_OVERRIDE","27Y")</f>
        <v/>
      </c>
      <c r="AY42" s="43">
        <f>BDP($B$42,"BEST_EBIT","BEST_FPERIOD_OVERRIDE","28Y")</f>
        <v/>
      </c>
      <c r="AZ42" s="31" t="n"/>
      <c r="BA42" s="1">
        <f>C42+BD42</f>
        <v/>
      </c>
      <c r="BB42" s="42">
        <f>AB42-AD42</f>
        <v/>
      </c>
      <c r="BC42" s="42">
        <f>C42</f>
        <v/>
      </c>
      <c r="BD42" s="43">
        <f>BDP($B$42,"TRAIL_12M_EBITDA")</f>
        <v/>
      </c>
      <c r="BE42" s="43">
        <f>_xll.BDP("HCA US Equity","TRAIL_12M_EBITDA")</f>
        <v/>
      </c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</row>
    <row r="43">
      <c r="A43" s="1" t="inlineStr">
        <is>
          <t>UNH</t>
        </is>
      </c>
      <c r="B43" s="1" t="inlineStr">
        <is>
          <t>UNH US Equity</t>
        </is>
      </c>
      <c r="C43" s="43">
        <f>BDP($B$43,"CUR_MKT_CAP")/1000000000</f>
        <v/>
      </c>
      <c r="D43" s="44">
        <f>BDP($B$43,"PX_LAST")</f>
        <v/>
      </c>
      <c r="E43" s="45">
        <f>IF(BDP($B$43,"BEST_EPS","BEST_FPERIOD_OVERRIDE","26Y")&lt;&gt;0,$D$43/BDP($B$43,"BEST_EPS","BEST_FPERIOD_OVERRIDE","26Y"),"")</f>
        <v/>
      </c>
      <c r="F43" s="45">
        <f>IF(BDP($B$43,"BEST_EPS","BEST_FPERIOD_OVERRIDE","27Y")&lt;&gt;0,$D$43/BDP($B$43,"BEST_EPS","BEST_FPERIOD_OVERRIDE","27Y"),"")</f>
        <v/>
      </c>
      <c r="G43" s="45">
        <f>IF(BDP($B$43,"BEST_EPS","BEST_FPERIOD_OVERRIDE","28Y")&lt;&gt;0,$D$43/BDP($B$43,"BEST_EPS","BEST_FPERIOD_OVERRIDE","28Y"),"")</f>
        <v/>
      </c>
      <c r="H43" s="46">
        <f>BDP($B$43,"NET_DEBT_TO_EBITDA")</f>
        <v/>
      </c>
      <c r="I43" s="43">
        <f>BDP($B$43,"BEST_SALES","BEST_FPERIOD_OVERRIDE","26Y")/1000</f>
        <v/>
      </c>
      <c r="J43" s="47">
        <f>IF(BDP($B$43,"BEST_SALES","BEST_FPERIOD_OVERRIDE","26Y")&lt;&gt;0,BDP($B$43,"BEST_EBIT","BEST_FPERIOD_OVERRIDE","26Y")/BDP($B$43,"BEST_SALES","BEST_FPERIOD_OVERRIDE","26Y"),"")</f>
        <v/>
      </c>
      <c r="K43" s="47">
        <f>BDP($B$43,"RETURN_ON_INV_CAPITAL")/100</f>
        <v/>
      </c>
      <c r="L43" s="47">
        <f>IF(AND(BDP($B$43,"BEST_SALES","BEST_FPERIOD_OVERRIDE","25Y")&gt;0,BDP($B$43,"BEST_SALES","BEST_FPERIOD_OVERRIDE","28Y")&gt;0),(BDP($B$43,"BEST_SALES","BEST_FPERIOD_OVERRIDE","28Y")/BDP($B$43,"BEST_SALES","BEST_FPERIOD_OVERRIDE","25Y"))^(1/3)-1,"")</f>
        <v/>
      </c>
      <c r="M43" s="47">
        <f>IF(AND(BDP($B$43,"BEST_EBIT","BEST_FPERIOD_OVERRIDE","25Y")&gt;0,BDP($B$43,"BEST_EBIT","BEST_FPERIOD_OVERRIDE","28Y")&gt;0),(BDP($B$43,"BEST_EBIT","BEST_FPERIOD_OVERRIDE","28Y")/BDP($B$43,"BEST_EBIT","BEST_FPERIOD_OVERRIDE","25Y"))^(1/3)-1,"")</f>
        <v/>
      </c>
      <c r="N43" s="47">
        <f>IF(AND(BDP($B$43,"BEST_EPS","BEST_FPERIOD_OVERRIDE","25Y")&gt;0,BDP($B$43,"BEST_EPS","BEST_FPERIOD_OVERRIDE","28Y")&gt;0),(BDP($B$43,"BEST_EPS","BEST_FPERIOD_OVERRIDE","28Y")/BDP($B$43,"BEST_EPS","BEST_FPERIOD_OVERRIDE","25Y"))^(1/3)-1,"")</f>
        <v/>
      </c>
      <c r="O43" s="1" t="n"/>
      <c r="P43" s="47">
        <f>BDP($B$43,"CHG_PCT_YTD")/100</f>
        <v/>
      </c>
      <c r="Q43" s="1" t="n"/>
      <c r="R43" s="1" t="n"/>
      <c r="S43" s="42">
        <f>IF(AND(E43&lt;&gt;"",N43&lt;&gt;"",N43&lt;&gt;0),E43/(N43*100),"")</f>
        <v/>
      </c>
      <c r="T43" s="1" t="n"/>
      <c r="U43" s="26" t="inlineStr">
        <is>
          <t>Dec</t>
        </is>
      </c>
      <c r="V43" s="1" t="n"/>
      <c r="W43" s="1" t="n"/>
      <c r="X43" s="1" t="n"/>
      <c r="Y43" s="1" t="n"/>
      <c r="Z43" s="1" t="n"/>
      <c r="AA43" s="48">
        <f>BDP($B$43,"TRAIL_12M_OPER_INC")</f>
        <v/>
      </c>
      <c r="AB43" s="43">
        <f>BDP($B$43,"SHORT_AND_LONG_TERM_DEBT")</f>
        <v/>
      </c>
      <c r="AC43" s="43">
        <f>BDP($B$43,"TOTAL_EQUITY")</f>
        <v/>
      </c>
      <c r="AD43" s="43">
        <f>BDP($B$43,"BS_CASH_NEAR_CASH_ITEM")</f>
        <v/>
      </c>
      <c r="AE43" s="43">
        <f>BDP($B$43,"BS_LT_INVEST")</f>
        <v/>
      </c>
      <c r="AF43" s="31">
        <f>AB43+AC43</f>
        <v/>
      </c>
      <c r="AG43" s="43">
        <f>BDP($B$43,"RETURN_ON_INV_CAPITAL")/100</f>
        <v/>
      </c>
      <c r="AH43" s="49" t="n"/>
      <c r="AI43" s="48">
        <f>BDP($B$43,"BEST_EPS","BEST_FPERIOD_OVERRIDE","24Y")</f>
        <v/>
      </c>
      <c r="AJ43" s="43">
        <f>BDP($B$43,"BEST_EPS","BEST_FPERIOD_OVERRIDE","25Y")</f>
        <v/>
      </c>
      <c r="AK43" s="43">
        <f>BDP($B$43,"BEST_EPS","BEST_FPERIOD_OVERRIDE","26Y")</f>
        <v/>
      </c>
      <c r="AL43" s="43">
        <f>BDP($B$43,"BEST_EPS","BEST_FPERIOD_OVERRIDE","27Y")</f>
        <v/>
      </c>
      <c r="AM43" s="43">
        <f>BDP($B$43,"BEST_EPS","BEST_FPERIOD_OVERRIDE","28Y")</f>
        <v/>
      </c>
      <c r="AN43" s="31" t="n"/>
      <c r="AO43" s="48">
        <f>BDP($B$43,"BEST_SALES","BEST_FPERIOD_OVERRIDE","24Y")</f>
        <v/>
      </c>
      <c r="AP43" s="43">
        <f>BDP($B$43,"BEST_SALES","BEST_FPERIOD_OVERRIDE","25Y")</f>
        <v/>
      </c>
      <c r="AQ43" s="43">
        <f>BDP($B$43,"BEST_SALES","BEST_FPERIOD_OVERRIDE","26Y")</f>
        <v/>
      </c>
      <c r="AR43" s="43">
        <f>BDP($B$43,"BEST_SALES","BEST_FPERIOD_OVERRIDE","27Y")</f>
        <v/>
      </c>
      <c r="AS43" s="43">
        <f>BDP($B$43,"BEST_SALES","BEST_FPERIOD_OVERRIDE","28Y")</f>
        <v/>
      </c>
      <c r="AT43" s="31" t="n"/>
      <c r="AU43" s="48">
        <f>BDP($B$43,"BEST_EBIT","BEST_FPERIOD_OVERRIDE","24Y")</f>
        <v/>
      </c>
      <c r="AV43" s="43">
        <f>BDP($B$43,"BEST_EBIT","BEST_FPERIOD_OVERRIDE","25Y")</f>
        <v/>
      </c>
      <c r="AW43" s="43">
        <f>BDP($B$43,"BEST_EBIT","BEST_FPERIOD_OVERRIDE","26Y")</f>
        <v/>
      </c>
      <c r="AX43" s="43">
        <f>BDP($B$43,"BEST_EBIT","BEST_FPERIOD_OVERRIDE","27Y")</f>
        <v/>
      </c>
      <c r="AY43" s="43">
        <f>BDP($B$43,"BEST_EBIT","BEST_FPERIOD_OVERRIDE","28Y")</f>
        <v/>
      </c>
      <c r="AZ43" s="31" t="n"/>
      <c r="BA43" s="1">
        <f>C43+BD43</f>
        <v/>
      </c>
      <c r="BB43" s="42">
        <f>AB43-AD43</f>
        <v/>
      </c>
      <c r="BC43" s="42">
        <f>C43</f>
        <v/>
      </c>
      <c r="BD43" s="43">
        <f>BDP($B$43,"TRAIL_12M_EBITDA")</f>
        <v/>
      </c>
      <c r="BE43" s="43">
        <f>_xll.BDP("UNH US Equity","TRAIL_12M_EBITDA")</f>
        <v/>
      </c>
      <c r="BF43" s="1" t="n"/>
      <c r="BG43" s="1" t="n"/>
      <c r="BH43" s="1" t="n"/>
      <c r="BI43" s="1" t="n"/>
      <c r="BJ43" s="1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</row>
    <row r="44">
      <c r="A44" s="1" t="inlineStr">
        <is>
          <t>CACC</t>
        </is>
      </c>
      <c r="B44" s="1" t="inlineStr">
        <is>
          <t>CACC US Equity</t>
        </is>
      </c>
      <c r="C44" s="43">
        <f>BDP($B$44,"CUR_MKT_CAP")/1000000000</f>
        <v/>
      </c>
      <c r="D44" s="44">
        <f>BDP($B$44,"PX_LAST")</f>
        <v/>
      </c>
      <c r="E44" s="45">
        <f>IF(BDP($B$44,"BEST_EPS","BEST_FPERIOD_OVERRIDE","26Y")&lt;&gt;0,$D$44/BDP($B$44,"BEST_EPS","BEST_FPERIOD_OVERRIDE","26Y"),"")</f>
        <v/>
      </c>
      <c r="F44" s="45">
        <f>IF(BDP($B$44,"BEST_EPS","BEST_FPERIOD_OVERRIDE","27Y")&lt;&gt;0,$D$44/BDP($B$44,"BEST_EPS","BEST_FPERIOD_OVERRIDE","27Y"),"")</f>
        <v/>
      </c>
      <c r="G44" s="45">
        <f>IF(BDP($B$44,"BEST_EPS","BEST_FPERIOD_OVERRIDE","28Y")&lt;&gt;0,$D$44/BDP($B$44,"BEST_EPS","BEST_FPERIOD_OVERRIDE","28Y"),"")</f>
        <v/>
      </c>
      <c r="H44" s="43">
        <f>BDP($B$44,"NET_DEBT_TO_EBITDA")</f>
        <v/>
      </c>
      <c r="I44" s="43">
        <f>BDP($B$44,"BEST_SALES","BEST_FPERIOD_OVERRIDE","26Y")/1000</f>
        <v/>
      </c>
      <c r="J44" s="47">
        <f>IF(BDP($B$44,"BEST_SALES","BEST_FPERIOD_OVERRIDE","26Y")&lt;&gt;0,BDP($B$44,"BEST_EBIT","BEST_FPERIOD_OVERRIDE","26Y")/BDP($B$44,"BEST_SALES","BEST_FPERIOD_OVERRIDE","26Y"),"")</f>
        <v/>
      </c>
      <c r="K44" s="43">
        <f>BDP($B$44,"RETURN_ON_INV_CAPITAL")/100</f>
        <v/>
      </c>
      <c r="L44" s="47">
        <f>IF(AND(BDP($B$44,"BEST_SALES","BEST_FPERIOD_OVERRIDE","25Y")&gt;0,BDP($B$44,"BEST_SALES","BEST_FPERIOD_OVERRIDE","28Y")&gt;0),(BDP($B$44,"BEST_SALES","BEST_FPERIOD_OVERRIDE","28Y")/BDP($B$44,"BEST_SALES","BEST_FPERIOD_OVERRIDE","25Y"))^(1/3)-1,"")</f>
        <v/>
      </c>
      <c r="M44" s="43">
        <f>IF(AND(BDP($B$44,"BEST_EBIT","BEST_FPERIOD_OVERRIDE","25Y")&gt;0,BDP($B$44,"BEST_EBIT","BEST_FPERIOD_OVERRIDE","28Y")&gt;0),(BDP($B$44,"BEST_EBIT","BEST_FPERIOD_OVERRIDE","28Y")/BDP($B$44,"BEST_EBIT","BEST_FPERIOD_OVERRIDE","25Y"))^(1/3)-1,"")</f>
        <v/>
      </c>
      <c r="N44" s="47">
        <f>IF(AND(BDP($B$44,"BEST_EPS","BEST_FPERIOD_OVERRIDE","25Y")&gt;0,BDP($B$44,"BEST_EPS","BEST_FPERIOD_OVERRIDE","28Y")&gt;0),(BDP($B$44,"BEST_EPS","BEST_FPERIOD_OVERRIDE","28Y")/BDP($B$44,"BEST_EPS","BEST_FPERIOD_OVERRIDE","25Y"))^(1/3)-1,"")</f>
        <v/>
      </c>
      <c r="O44" s="1" t="n"/>
      <c r="P44" s="47">
        <f>BDP($B$44,"CHG_PCT_YTD")/100</f>
        <v/>
      </c>
      <c r="Q44" s="1" t="n"/>
      <c r="R44" s="1" t="n"/>
      <c r="S44" s="42">
        <f>IF(AND(E44&lt;&gt;"",N44&lt;&gt;"",N44&lt;&gt;0),E44/(N44*100),"")</f>
        <v/>
      </c>
      <c r="T44" s="1" t="n"/>
      <c r="U44" s="26" t="inlineStr">
        <is>
          <t>Dec</t>
        </is>
      </c>
      <c r="V44" s="1" t="n"/>
      <c r="W44" s="1" t="n"/>
      <c r="X44" s="1" t="n"/>
      <c r="Y44" s="1" t="n"/>
      <c r="Z44" s="1" t="n"/>
      <c r="AA44" s="48">
        <f>BDP($B$44,"TRAIL_12M_OPER_INC")</f>
        <v/>
      </c>
      <c r="AB44" s="43">
        <f>BDP($B$44,"SHORT_AND_LONG_TERM_DEBT")</f>
        <v/>
      </c>
      <c r="AC44" s="43">
        <f>BDP($B$44,"TOTAL_EQUITY")</f>
        <v/>
      </c>
      <c r="AD44" s="43">
        <f>BDP($B$44,"BS_CASH_NEAR_CASH_ITEM")</f>
        <v/>
      </c>
      <c r="AE44" s="43">
        <f>BDP($B$44,"BS_LT_INVEST")</f>
        <v/>
      </c>
      <c r="AF44" s="31">
        <f>AB44+AC44</f>
        <v/>
      </c>
      <c r="AG44" s="43">
        <f>BDP($B$44,"RETURN_ON_INV_CAPITAL")/100</f>
        <v/>
      </c>
      <c r="AH44" s="49" t="n"/>
      <c r="AI44" s="48">
        <f>BDP($B$44,"BEST_EPS","BEST_FPERIOD_OVERRIDE","24Y")</f>
        <v/>
      </c>
      <c r="AJ44" s="43">
        <f>BDP($B$44,"BEST_EPS","BEST_FPERIOD_OVERRIDE","25Y")</f>
        <v/>
      </c>
      <c r="AK44" s="43">
        <f>BDP($B$44,"BEST_EPS","BEST_FPERIOD_OVERRIDE","26Y")</f>
        <v/>
      </c>
      <c r="AL44" s="43">
        <f>BDP($B$44,"BEST_EPS","BEST_FPERIOD_OVERRIDE","27Y")</f>
        <v/>
      </c>
      <c r="AM44" s="43">
        <f>BDP($B$44,"BEST_EPS","BEST_FPERIOD_OVERRIDE","28Y")</f>
        <v/>
      </c>
      <c r="AN44" s="31" t="n"/>
      <c r="AO44" s="48">
        <f>BDP($B$44,"BEST_SALES","BEST_FPERIOD_OVERRIDE","24Y")</f>
        <v/>
      </c>
      <c r="AP44" s="43">
        <f>BDP($B$44,"BEST_SALES","BEST_FPERIOD_OVERRIDE","25Y")</f>
        <v/>
      </c>
      <c r="AQ44" s="43">
        <f>BDP($B$44,"BEST_SALES","BEST_FPERIOD_OVERRIDE","26Y")</f>
        <v/>
      </c>
      <c r="AR44" s="43">
        <f>BDP($B$44,"BEST_SALES","BEST_FPERIOD_OVERRIDE","27Y")</f>
        <v/>
      </c>
      <c r="AS44" s="43">
        <f>BDP($B$44,"BEST_SALES","BEST_FPERIOD_OVERRIDE","28Y")</f>
        <v/>
      </c>
      <c r="AT44" s="31" t="n"/>
      <c r="AU44" s="48">
        <f>BDP($B$44,"BEST_EBIT","BEST_FPERIOD_OVERRIDE","24Y")</f>
        <v/>
      </c>
      <c r="AV44" s="43">
        <f>BDP($B$44,"BEST_EBIT","BEST_FPERIOD_OVERRIDE","25Y")</f>
        <v/>
      </c>
      <c r="AW44" s="43">
        <f>BDP($B$44,"BEST_EBIT","BEST_FPERIOD_OVERRIDE","26Y")</f>
        <v/>
      </c>
      <c r="AX44" s="43">
        <f>BDP($B$44,"BEST_EBIT","BEST_FPERIOD_OVERRIDE","27Y")</f>
        <v/>
      </c>
      <c r="AY44" s="43">
        <f>BDP($B$44,"BEST_EBIT","BEST_FPERIOD_OVERRIDE","28Y")</f>
        <v/>
      </c>
      <c r="AZ44" s="31" t="n"/>
      <c r="BA44" s="1">
        <f>C44+BD44</f>
        <v/>
      </c>
      <c r="BB44" s="42">
        <f>AB44-AD44</f>
        <v/>
      </c>
      <c r="BC44" s="42">
        <f>C44</f>
        <v/>
      </c>
      <c r="BD44" s="43">
        <f>BDP($B$44,"TRAIL_12M_EBITDA")</f>
        <v/>
      </c>
      <c r="BE44" s="43">
        <f>_xll.BDP("CACC US Equity","TRAIL_12M_EBITDA")</f>
        <v/>
      </c>
      <c r="BF44" s="1" t="n"/>
      <c r="BG44" s="1" t="n"/>
      <c r="BH44" s="1" t="n"/>
      <c r="BI44" s="1" t="n"/>
      <c r="BJ44" s="1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</row>
    <row r="45">
      <c r="A45" s="1" t="inlineStr">
        <is>
          <t>GL</t>
        </is>
      </c>
      <c r="B45" s="1" t="inlineStr">
        <is>
          <t>GL US Equity</t>
        </is>
      </c>
      <c r="C45" s="43">
        <f>BDP($B$45,"CUR_MKT_CAP")/1000000000</f>
        <v/>
      </c>
      <c r="D45" s="44">
        <f>BDP($B$45,"PX_LAST")</f>
        <v/>
      </c>
      <c r="E45" s="45">
        <f>IF(BDP($B$45,"BEST_EPS","BEST_FPERIOD_OVERRIDE","26Y")&lt;&gt;0,$D$45/BDP($B$45,"BEST_EPS","BEST_FPERIOD_OVERRIDE","26Y"),"")</f>
        <v/>
      </c>
      <c r="F45" s="45">
        <f>IF(BDP($B$45,"BEST_EPS","BEST_FPERIOD_OVERRIDE","27Y")&lt;&gt;0,$D$45/BDP($B$45,"BEST_EPS","BEST_FPERIOD_OVERRIDE","27Y"),"")</f>
        <v/>
      </c>
      <c r="G45" s="45">
        <f>IF(BDP($B$45,"BEST_EPS","BEST_FPERIOD_OVERRIDE","28Y")&lt;&gt;0,$D$45/BDP($B$45,"BEST_EPS","BEST_FPERIOD_OVERRIDE","28Y"),"")</f>
        <v/>
      </c>
      <c r="H45" s="43">
        <f>BDP($B$45,"NET_DEBT_TO_EBITDA")</f>
        <v/>
      </c>
      <c r="I45" s="43">
        <f>BDP($B$45,"BEST_SALES","BEST_FPERIOD_OVERRIDE","26Y")/1000</f>
        <v/>
      </c>
      <c r="J45" s="47">
        <f>IF(BDP($B$45,"BEST_SALES","BEST_FPERIOD_OVERRIDE","26Y")&lt;&gt;0,BDP($B$45,"BEST_EBIT","BEST_FPERIOD_OVERRIDE","26Y")/BDP($B$45,"BEST_SALES","BEST_FPERIOD_OVERRIDE","26Y"),"")</f>
        <v/>
      </c>
      <c r="K45" s="43">
        <f>BDP($B$45,"RETURN_ON_INV_CAPITAL")/100</f>
        <v/>
      </c>
      <c r="L45" s="47">
        <f>IF(AND(BDP($B$45,"BEST_SALES","BEST_FPERIOD_OVERRIDE","25Y")&gt;0,BDP($B$45,"BEST_SALES","BEST_FPERIOD_OVERRIDE","28Y")&gt;0),(BDP($B$45,"BEST_SALES","BEST_FPERIOD_OVERRIDE","28Y")/BDP($B$45,"BEST_SALES","BEST_FPERIOD_OVERRIDE","25Y"))^(1/3)-1,"")</f>
        <v/>
      </c>
      <c r="M45" s="47">
        <f>IF(AND(BDP($B$45,"BEST_EBIT","BEST_FPERIOD_OVERRIDE","25Y")&gt;0,BDP($B$45,"BEST_EBIT","BEST_FPERIOD_OVERRIDE","28Y")&gt;0),(BDP($B$45,"BEST_EBIT","BEST_FPERIOD_OVERRIDE","28Y")/BDP($B$45,"BEST_EBIT","BEST_FPERIOD_OVERRIDE","25Y"))^(1/3)-1,"")</f>
        <v/>
      </c>
      <c r="N45" s="47">
        <f>IF(AND(BDP($B$45,"BEST_EPS","BEST_FPERIOD_OVERRIDE","25Y")&gt;0,BDP($B$45,"BEST_EPS","BEST_FPERIOD_OVERRIDE","28Y")&gt;0),(BDP($B$45,"BEST_EPS","BEST_FPERIOD_OVERRIDE","28Y")/BDP($B$45,"BEST_EPS","BEST_FPERIOD_OVERRIDE","25Y"))^(1/3)-1,"")</f>
        <v/>
      </c>
      <c r="O45" s="1" t="n"/>
      <c r="P45" s="47">
        <f>BDP($B$45,"CHG_PCT_YTD")/100</f>
        <v/>
      </c>
      <c r="Q45" s="1" t="n"/>
      <c r="R45" s="1" t="n"/>
      <c r="S45" s="42">
        <f>IF(AND(E45&lt;&gt;"",N45&lt;&gt;"",N45&lt;&gt;0),E45/(N45*100),"")</f>
        <v/>
      </c>
      <c r="T45" s="1" t="n"/>
      <c r="U45" s="26" t="inlineStr">
        <is>
          <t>Dec</t>
        </is>
      </c>
      <c r="V45" s="1" t="n"/>
      <c r="W45" s="1" t="n"/>
      <c r="X45" s="1" t="n"/>
      <c r="Y45" s="1" t="n"/>
      <c r="Z45" s="1" t="n"/>
      <c r="AA45" s="48">
        <f>BDP($B$45,"TRAIL_12M_OPER_INC")</f>
        <v/>
      </c>
      <c r="AB45" s="43">
        <f>BDP($B$45,"SHORT_AND_LONG_TERM_DEBT")</f>
        <v/>
      </c>
      <c r="AC45" s="43">
        <f>BDP($B$45,"TOTAL_EQUITY")</f>
        <v/>
      </c>
      <c r="AD45" s="43">
        <f>BDP($B$45,"BS_CASH_NEAR_CASH_ITEM")</f>
        <v/>
      </c>
      <c r="AE45" s="43">
        <f>BDP($B$45,"BS_LT_INVEST")</f>
        <v/>
      </c>
      <c r="AF45" s="31">
        <f>AB45+AC45</f>
        <v/>
      </c>
      <c r="AG45" s="43">
        <f>BDP($B$45,"RETURN_ON_INV_CAPITAL")/100</f>
        <v/>
      </c>
      <c r="AH45" s="49" t="n"/>
      <c r="AI45" s="48">
        <f>BDP($B$45,"BEST_EPS","BEST_FPERIOD_OVERRIDE","24Y")</f>
        <v/>
      </c>
      <c r="AJ45" s="43">
        <f>BDP($B$45,"BEST_EPS","BEST_FPERIOD_OVERRIDE","25Y")</f>
        <v/>
      </c>
      <c r="AK45" s="43">
        <f>BDP($B$45,"BEST_EPS","BEST_FPERIOD_OVERRIDE","26Y")</f>
        <v/>
      </c>
      <c r="AL45" s="43">
        <f>BDP($B$45,"BEST_EPS","BEST_FPERIOD_OVERRIDE","27Y")</f>
        <v/>
      </c>
      <c r="AM45" s="43">
        <f>BDP($B$45,"BEST_EPS","BEST_FPERIOD_OVERRIDE","28Y")</f>
        <v/>
      </c>
      <c r="AN45" s="31" t="n"/>
      <c r="AO45" s="48">
        <f>BDP($B$45,"BEST_SALES","BEST_FPERIOD_OVERRIDE","24Y")</f>
        <v/>
      </c>
      <c r="AP45" s="43">
        <f>BDP($B$45,"BEST_SALES","BEST_FPERIOD_OVERRIDE","25Y")</f>
        <v/>
      </c>
      <c r="AQ45" s="43">
        <f>BDP($B$45,"BEST_SALES","BEST_FPERIOD_OVERRIDE","26Y")</f>
        <v/>
      </c>
      <c r="AR45" s="43">
        <f>BDP($B$45,"BEST_SALES","BEST_FPERIOD_OVERRIDE","27Y")</f>
        <v/>
      </c>
      <c r="AS45" s="43">
        <f>BDP($B$45,"BEST_SALES","BEST_FPERIOD_OVERRIDE","28Y")</f>
        <v/>
      </c>
      <c r="AT45" s="31" t="n"/>
      <c r="AU45" s="48">
        <f>BDP($B$45,"BEST_EBIT","BEST_FPERIOD_OVERRIDE","24Y")</f>
        <v/>
      </c>
      <c r="AV45" s="43">
        <f>BDP($B$45,"BEST_EBIT","BEST_FPERIOD_OVERRIDE","25Y")</f>
        <v/>
      </c>
      <c r="AW45" s="43">
        <f>BDP($B$45,"BEST_EBIT","BEST_FPERIOD_OVERRIDE","26Y")</f>
        <v/>
      </c>
      <c r="AX45" s="43">
        <f>BDP($B$45,"BEST_EBIT","BEST_FPERIOD_OVERRIDE","27Y")</f>
        <v/>
      </c>
      <c r="AY45" s="43">
        <f>BDP($B$45,"BEST_EBIT","BEST_FPERIOD_OVERRIDE","28Y")</f>
        <v/>
      </c>
      <c r="AZ45" s="31" t="n"/>
      <c r="BA45" s="1">
        <f>C45+BD45</f>
        <v/>
      </c>
      <c r="BB45" s="42">
        <f>AB45-AD45</f>
        <v/>
      </c>
      <c r="BC45" s="42">
        <f>C45</f>
        <v/>
      </c>
      <c r="BD45" s="43">
        <f>BDP($B$45,"TRAIL_12M_EBITDA")</f>
        <v/>
      </c>
      <c r="BE45" s="43">
        <f>_xll.BDP("GL US Equity","TRAIL_12M_EBITDA")</f>
        <v/>
      </c>
      <c r="BF45" s="1" t="n"/>
      <c r="BG45" s="1" t="n"/>
      <c r="BH45" s="1" t="n"/>
      <c r="BI45" s="1" t="n"/>
      <c r="BJ45" s="1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</row>
    <row r="46">
      <c r="A46" s="1" t="inlineStr">
        <is>
          <t>APO</t>
        </is>
      </c>
      <c r="B46" s="1" t="inlineStr">
        <is>
          <t>APO US Equity</t>
        </is>
      </c>
      <c r="C46" s="43">
        <f>BDP($B$46,"CUR_MKT_CAP")/1000000000</f>
        <v/>
      </c>
      <c r="D46" s="44">
        <f>BDP($B$46,"PX_LAST")</f>
        <v/>
      </c>
      <c r="E46" s="45">
        <f>IF(BDP($B$46,"BEST_EPS","BEST_FPERIOD_OVERRIDE","26Y")&lt;&gt;0,$D$46/BDP($B$46,"BEST_EPS","BEST_FPERIOD_OVERRIDE","26Y"),"")</f>
        <v/>
      </c>
      <c r="F46" s="45">
        <f>IF(BDP($B$46,"BEST_EPS","BEST_FPERIOD_OVERRIDE","27Y")&lt;&gt;0,$D$46/BDP($B$46,"BEST_EPS","BEST_FPERIOD_OVERRIDE","27Y"),"")</f>
        <v/>
      </c>
      <c r="G46" s="45">
        <f>IF(BDP($B$46,"BEST_EPS","BEST_FPERIOD_OVERRIDE","28Y")&lt;&gt;0,$D$46/BDP($B$46,"BEST_EPS","BEST_FPERIOD_OVERRIDE","28Y"),"")</f>
        <v/>
      </c>
      <c r="H46" s="43">
        <f>BDP($B$46,"NET_DEBT_TO_EBITDA")</f>
        <v/>
      </c>
      <c r="I46" s="43">
        <f>BDP($B$46,"BEST_SALES","BEST_FPERIOD_OVERRIDE","26Y")/1000</f>
        <v/>
      </c>
      <c r="J46" s="47">
        <f>IF(BDP($B$46,"BEST_SALES","BEST_FPERIOD_OVERRIDE","26Y")&lt;&gt;0,BDP($B$46,"BEST_EBIT","BEST_FPERIOD_OVERRIDE","26Y")/BDP($B$46,"BEST_SALES","BEST_FPERIOD_OVERRIDE","26Y"),"")</f>
        <v/>
      </c>
      <c r="K46" s="47">
        <f>BDP($B$46,"RETURN_ON_INV_CAPITAL")/100</f>
        <v/>
      </c>
      <c r="L46" s="43">
        <f>IF(AND(BDP($B$46,"BEST_SALES","BEST_FPERIOD_OVERRIDE","25Y")&gt;0,BDP($B$46,"BEST_SALES","BEST_FPERIOD_OVERRIDE","28Y")&gt;0),(BDP($B$46,"BEST_SALES","BEST_FPERIOD_OVERRIDE","28Y")/BDP($B$46,"BEST_SALES","BEST_FPERIOD_OVERRIDE","25Y"))^(1/3)-1,"")</f>
        <v/>
      </c>
      <c r="M46" s="43">
        <f>IF(AND(BDP($B$46,"BEST_EBIT","BEST_FPERIOD_OVERRIDE","25Y")&gt;0,BDP($B$46,"BEST_EBIT","BEST_FPERIOD_OVERRIDE","28Y")&gt;0),(BDP($B$46,"BEST_EBIT","BEST_FPERIOD_OVERRIDE","28Y")/BDP($B$46,"BEST_EBIT","BEST_FPERIOD_OVERRIDE","25Y"))^(1/3)-1,"")</f>
        <v/>
      </c>
      <c r="N46" s="47">
        <f>IF(AND(BDP($B$46,"BEST_EPS","BEST_FPERIOD_OVERRIDE","25Y")&gt;0,BDP($B$46,"BEST_EPS","BEST_FPERIOD_OVERRIDE","28Y")&gt;0),(BDP($B$46,"BEST_EPS","BEST_FPERIOD_OVERRIDE","28Y")/BDP($B$46,"BEST_EPS","BEST_FPERIOD_OVERRIDE","25Y"))^(1/3)-1,"")</f>
        <v/>
      </c>
      <c r="O46" s="1" t="n"/>
      <c r="P46" s="47">
        <f>BDP($B$46,"CHG_PCT_YTD")/100</f>
        <v/>
      </c>
      <c r="Q46" s="1" t="n"/>
      <c r="R46" s="1" t="n"/>
      <c r="S46" s="42">
        <f>IF(AND(E46&lt;&gt;"",N46&lt;&gt;"",N46&lt;&gt;0),E46/(N46*100),"")</f>
        <v/>
      </c>
      <c r="T46" s="1" t="n"/>
      <c r="U46" s="26" t="inlineStr">
        <is>
          <t>Dec</t>
        </is>
      </c>
      <c r="V46" s="1" t="n"/>
      <c r="W46" s="1" t="n"/>
      <c r="X46" s="1" t="n"/>
      <c r="Y46" s="1" t="n"/>
      <c r="Z46" s="1" t="n"/>
      <c r="AA46" s="48">
        <f>BDP($B$46,"TRAIL_12M_OPER_INC")</f>
        <v/>
      </c>
      <c r="AB46" s="43">
        <f>BDP($B$46,"SHORT_AND_LONG_TERM_DEBT")</f>
        <v/>
      </c>
      <c r="AC46" s="43">
        <f>BDP($B$46,"TOTAL_EQUITY")</f>
        <v/>
      </c>
      <c r="AD46" s="43">
        <f>BDP($B$46,"BS_CASH_NEAR_CASH_ITEM")</f>
        <v/>
      </c>
      <c r="AE46" s="43">
        <f>BDP($B$46,"BS_LT_INVEST")</f>
        <v/>
      </c>
      <c r="AF46" s="31">
        <f>AB46+AC46</f>
        <v/>
      </c>
      <c r="AG46" s="43">
        <f>BDP($B$46,"RETURN_ON_INV_CAPITAL")/100</f>
        <v/>
      </c>
      <c r="AH46" s="49" t="n"/>
      <c r="AI46" s="48">
        <f>BDP($B$46,"BEST_EPS","BEST_FPERIOD_OVERRIDE","24Y")</f>
        <v/>
      </c>
      <c r="AJ46" s="43">
        <f>BDP($B$46,"BEST_EPS","BEST_FPERIOD_OVERRIDE","25Y")</f>
        <v/>
      </c>
      <c r="AK46" s="43">
        <f>BDP($B$46,"BEST_EPS","BEST_FPERIOD_OVERRIDE","26Y")</f>
        <v/>
      </c>
      <c r="AL46" s="43">
        <f>BDP($B$46,"BEST_EPS","BEST_FPERIOD_OVERRIDE","27Y")</f>
        <v/>
      </c>
      <c r="AM46" s="43">
        <f>BDP($B$46,"BEST_EPS","BEST_FPERIOD_OVERRIDE","28Y")</f>
        <v/>
      </c>
      <c r="AN46" s="31" t="n"/>
      <c r="AO46" s="48">
        <f>BDP($B$46,"BEST_SALES","BEST_FPERIOD_OVERRIDE","24Y")</f>
        <v/>
      </c>
      <c r="AP46" s="43">
        <f>BDP($B$46,"BEST_SALES","BEST_FPERIOD_OVERRIDE","25Y")</f>
        <v/>
      </c>
      <c r="AQ46" s="43">
        <f>BDP($B$46,"BEST_SALES","BEST_FPERIOD_OVERRIDE","26Y")</f>
        <v/>
      </c>
      <c r="AR46" s="43">
        <f>BDP($B$46,"BEST_SALES","BEST_FPERIOD_OVERRIDE","27Y")</f>
        <v/>
      </c>
      <c r="AS46" s="43">
        <f>BDP($B$46,"BEST_SALES","BEST_FPERIOD_OVERRIDE","28Y")</f>
        <v/>
      </c>
      <c r="AT46" s="31" t="n"/>
      <c r="AU46" s="48">
        <f>BDP($B$46,"BEST_EBIT","BEST_FPERIOD_OVERRIDE","24Y")</f>
        <v/>
      </c>
      <c r="AV46" s="43">
        <f>BDP($B$46,"BEST_EBIT","BEST_FPERIOD_OVERRIDE","25Y")</f>
        <v/>
      </c>
      <c r="AW46" s="43">
        <f>BDP($B$46,"BEST_EBIT","BEST_FPERIOD_OVERRIDE","26Y")</f>
        <v/>
      </c>
      <c r="AX46" s="43">
        <f>BDP($B$46,"BEST_EBIT","BEST_FPERIOD_OVERRIDE","27Y")</f>
        <v/>
      </c>
      <c r="AY46" s="43">
        <f>BDP($B$46,"BEST_EBIT","BEST_FPERIOD_OVERRIDE","28Y")</f>
        <v/>
      </c>
      <c r="AZ46" s="31" t="n"/>
      <c r="BA46" s="1">
        <f>C46+BD46</f>
        <v/>
      </c>
      <c r="BB46" s="42">
        <f>AB46-AD46</f>
        <v/>
      </c>
      <c r="BC46" s="42">
        <f>C46</f>
        <v/>
      </c>
      <c r="BD46" s="43">
        <f>BDP($B$46,"TRAIL_12M_EBITDA")</f>
        <v/>
      </c>
      <c r="BE46" s="43">
        <f>_xll.BDP("APO US Equity","TRAIL_12M_EBITDA")</f>
        <v/>
      </c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</row>
    <row r="47">
      <c r="A47" s="1" t="inlineStr">
        <is>
          <t>BN</t>
        </is>
      </c>
      <c r="B47" s="1" t="inlineStr">
        <is>
          <t>BN US Equity</t>
        </is>
      </c>
      <c r="C47" s="43">
        <f>BDP($B$47,"CUR_MKT_CAP")/1000000000</f>
        <v/>
      </c>
      <c r="D47" s="44">
        <f>BDP($B$47,"PX_LAST")</f>
        <v/>
      </c>
      <c r="E47" s="45">
        <f>IF(BDP($B$47,"BEST_EPS","BEST_FPERIOD_OVERRIDE","26Y")&lt;&gt;0,$D$47/BDP($B$47,"BEST_EPS","BEST_FPERIOD_OVERRIDE","26Y"),"")</f>
        <v/>
      </c>
      <c r="F47" s="45">
        <f>IF(BDP($B$47,"BEST_EPS","BEST_FPERIOD_OVERRIDE","27Y")&lt;&gt;0,$D$47/BDP($B$47,"BEST_EPS","BEST_FPERIOD_OVERRIDE","27Y"),"")</f>
        <v/>
      </c>
      <c r="G47" s="45">
        <f>IF(BDP($B$47,"BEST_EPS","BEST_FPERIOD_OVERRIDE","28Y")&lt;&gt;0,$D$47/BDP($B$47,"BEST_EPS","BEST_FPERIOD_OVERRIDE","28Y"),"")</f>
        <v/>
      </c>
      <c r="H47" s="43">
        <f>BDP($B$47,"NET_DEBT_TO_EBITDA")</f>
        <v/>
      </c>
      <c r="I47" s="43">
        <f>BDP($B$47,"BEST_SALES","BEST_FPERIOD_OVERRIDE","26Y")/1000</f>
        <v/>
      </c>
      <c r="J47" s="47">
        <f>IF(BDP($B$47,"BEST_SALES","BEST_FPERIOD_OVERRIDE","26Y")&lt;&gt;0,BDP($B$47,"BEST_EBIT","BEST_FPERIOD_OVERRIDE","26Y")/BDP($B$47,"BEST_SALES","BEST_FPERIOD_OVERRIDE","26Y"),"")</f>
        <v/>
      </c>
      <c r="K47" s="43">
        <f>BDP($B$47,"RETURN_ON_INV_CAPITAL")/100</f>
        <v/>
      </c>
      <c r="L47" s="43">
        <f>IF(AND(BDP($B$47,"BEST_SALES","BEST_FPERIOD_OVERRIDE","25Y")&gt;0,BDP($B$47,"BEST_SALES","BEST_FPERIOD_OVERRIDE","28Y")&gt;0),(BDP($B$47,"BEST_SALES","BEST_FPERIOD_OVERRIDE","28Y")/BDP($B$47,"BEST_SALES","BEST_FPERIOD_OVERRIDE","25Y"))^(1/3)-1,"")</f>
        <v/>
      </c>
      <c r="M47" s="43">
        <f>IF(AND(BDP($B$47,"BEST_EBIT","BEST_FPERIOD_OVERRIDE","25Y")&gt;0,BDP($B$47,"BEST_EBIT","BEST_FPERIOD_OVERRIDE","28Y")&gt;0),(BDP($B$47,"BEST_EBIT","BEST_FPERIOD_OVERRIDE","28Y")/BDP($B$47,"BEST_EBIT","BEST_FPERIOD_OVERRIDE","25Y"))^(1/3)-1,"")</f>
        <v/>
      </c>
      <c r="N47" s="47">
        <f>IF(AND(BDP($B$47,"BEST_EPS","BEST_FPERIOD_OVERRIDE","25Y")&gt;0,BDP($B$47,"BEST_EPS","BEST_FPERIOD_OVERRIDE","28Y")&gt;0),(BDP($B$47,"BEST_EPS","BEST_FPERIOD_OVERRIDE","28Y")/BDP($B$47,"BEST_EPS","BEST_FPERIOD_OVERRIDE","25Y"))^(1/3)-1,"")</f>
        <v/>
      </c>
      <c r="O47" s="1" t="n"/>
      <c r="P47" s="47">
        <f>BDP($B$47,"CHG_PCT_YTD")/100</f>
        <v/>
      </c>
      <c r="Q47" s="1" t="n"/>
      <c r="R47" s="1" t="n"/>
      <c r="S47" s="42">
        <f>IF(AND(E47&lt;&gt;"",N47&lt;&gt;"",N47&lt;&gt;0),E47/(N47*100),"")</f>
        <v/>
      </c>
      <c r="T47" s="1" t="n"/>
      <c r="U47" s="26" t="inlineStr">
        <is>
          <t>Dec</t>
        </is>
      </c>
      <c r="V47" s="1" t="n"/>
      <c r="W47" s="1" t="n"/>
      <c r="X47" s="1" t="n"/>
      <c r="Y47" s="1" t="n"/>
      <c r="Z47" s="1" t="n"/>
      <c r="AA47" s="48">
        <f>BDP($B$47,"TRAIL_12M_OPER_INC")</f>
        <v/>
      </c>
      <c r="AB47" s="43">
        <f>BDP($B$47,"SHORT_AND_LONG_TERM_DEBT")</f>
        <v/>
      </c>
      <c r="AC47" s="43">
        <f>BDP($B$47,"TOTAL_EQUITY")</f>
        <v/>
      </c>
      <c r="AD47" s="43">
        <f>BDP($B$47,"BS_CASH_NEAR_CASH_ITEM")</f>
        <v/>
      </c>
      <c r="AE47" s="43">
        <f>BDP($B$47,"BS_LT_INVEST")</f>
        <v/>
      </c>
      <c r="AF47" s="31">
        <f>AB47+AC47</f>
        <v/>
      </c>
      <c r="AG47" s="43">
        <f>BDP($B$47,"RETURN_ON_INV_CAPITAL")/100</f>
        <v/>
      </c>
      <c r="AH47" s="49" t="n"/>
      <c r="AI47" s="48">
        <f>BDP($B$47,"BEST_EPS","BEST_FPERIOD_OVERRIDE","24Y")</f>
        <v/>
      </c>
      <c r="AJ47" s="43">
        <f>BDP($B$47,"BEST_EPS","BEST_FPERIOD_OVERRIDE","25Y")</f>
        <v/>
      </c>
      <c r="AK47" s="43">
        <f>BDP($B$47,"BEST_EPS","BEST_FPERIOD_OVERRIDE","26Y")</f>
        <v/>
      </c>
      <c r="AL47" s="43">
        <f>BDP($B$47,"BEST_EPS","BEST_FPERIOD_OVERRIDE","27Y")</f>
        <v/>
      </c>
      <c r="AM47" s="43">
        <f>BDP($B$47,"BEST_EPS","BEST_FPERIOD_OVERRIDE","28Y")</f>
        <v/>
      </c>
      <c r="AN47" s="31" t="n"/>
      <c r="AO47" s="48">
        <f>BDP($B$47,"BEST_SALES","BEST_FPERIOD_OVERRIDE","24Y")</f>
        <v/>
      </c>
      <c r="AP47" s="43">
        <f>BDP($B$47,"BEST_SALES","BEST_FPERIOD_OVERRIDE","25Y")</f>
        <v/>
      </c>
      <c r="AQ47" s="43">
        <f>BDP($B$47,"BEST_SALES","BEST_FPERIOD_OVERRIDE","26Y")</f>
        <v/>
      </c>
      <c r="AR47" s="43">
        <f>BDP($B$47,"BEST_SALES","BEST_FPERIOD_OVERRIDE","27Y")</f>
        <v/>
      </c>
      <c r="AS47" s="43">
        <f>BDP($B$47,"BEST_SALES","BEST_FPERIOD_OVERRIDE","28Y")</f>
        <v/>
      </c>
      <c r="AT47" s="31" t="n"/>
      <c r="AU47" s="48">
        <f>BDP($B$47,"BEST_EBIT","BEST_FPERIOD_OVERRIDE","24Y")</f>
        <v/>
      </c>
      <c r="AV47" s="43">
        <f>BDP($B$47,"BEST_EBIT","BEST_FPERIOD_OVERRIDE","25Y")</f>
        <v/>
      </c>
      <c r="AW47" s="43">
        <f>BDP($B$47,"BEST_EBIT","BEST_FPERIOD_OVERRIDE","26Y")</f>
        <v/>
      </c>
      <c r="AX47" s="43">
        <f>BDP($B$47,"BEST_EBIT","BEST_FPERIOD_OVERRIDE","27Y")</f>
        <v/>
      </c>
      <c r="AY47" s="43">
        <f>BDP($B$47,"BEST_EBIT","BEST_FPERIOD_OVERRIDE","28Y")</f>
        <v/>
      </c>
      <c r="AZ47" s="31" t="n"/>
      <c r="BA47" s="1">
        <f>C47+BD47</f>
        <v/>
      </c>
      <c r="BB47" s="42">
        <f>AB47-AD47</f>
        <v/>
      </c>
      <c r="BC47" s="42">
        <f>C47</f>
        <v/>
      </c>
      <c r="BD47" s="43">
        <f>BDP($B$47,"TRAIL_12M_EBITDA")</f>
        <v/>
      </c>
      <c r="BE47" s="43">
        <f>_xll.BDP("BN US Equity","TRAIL_12M_EBITDA")</f>
        <v/>
      </c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</row>
    <row r="48">
      <c r="A48" s="1" t="inlineStr">
        <is>
          <t>CVNA</t>
        </is>
      </c>
      <c r="B48" s="1" t="inlineStr">
        <is>
          <t>CVNA US Equity</t>
        </is>
      </c>
      <c r="C48" s="43">
        <f>BDP($B$48,"CUR_MKT_CAP")/1000000000</f>
        <v/>
      </c>
      <c r="D48" s="44">
        <f>BDP($B$48,"PX_LAST")</f>
        <v/>
      </c>
      <c r="E48" s="45">
        <f>IF(BDP($B$48,"BEST_EPS","BEST_FPERIOD_OVERRIDE","26Y")&lt;&gt;0,$D$48/BDP($B$48,"BEST_EPS","BEST_FPERIOD_OVERRIDE","26Y"),"")</f>
        <v/>
      </c>
      <c r="F48" s="45">
        <f>IF(BDP($B$48,"BEST_EPS","BEST_FPERIOD_OVERRIDE","27Y")&lt;&gt;0,$D$48/BDP($B$48,"BEST_EPS","BEST_FPERIOD_OVERRIDE","27Y"),"")</f>
        <v/>
      </c>
      <c r="G48" s="45">
        <f>IF(BDP($B$48,"BEST_EPS","BEST_FPERIOD_OVERRIDE","28Y")&lt;&gt;0,$D$48/BDP($B$48,"BEST_EPS","BEST_FPERIOD_OVERRIDE","28Y"),"")</f>
        <v/>
      </c>
      <c r="H48" s="43">
        <f>BDP($B$48,"NET_DEBT_TO_EBITDA")</f>
        <v/>
      </c>
      <c r="I48" s="43">
        <f>BDP($B$48,"BEST_SALES","BEST_FPERIOD_OVERRIDE","26Y")/1000</f>
        <v/>
      </c>
      <c r="J48" s="47">
        <f>IF(BDP($B$48,"BEST_SALES","BEST_FPERIOD_OVERRIDE","26Y")&lt;&gt;0,BDP($B$48,"BEST_EBIT","BEST_FPERIOD_OVERRIDE","26Y")/BDP($B$48,"BEST_SALES","BEST_FPERIOD_OVERRIDE","26Y"),"")</f>
        <v/>
      </c>
      <c r="K48" s="43">
        <f>BDP($B$48,"RETURN_ON_INV_CAPITAL")/100</f>
        <v/>
      </c>
      <c r="L48" s="47">
        <f>IF(AND(BDP($B$48,"BEST_SALES","BEST_FPERIOD_OVERRIDE","25Y")&gt;0,BDP($B$48,"BEST_SALES","BEST_FPERIOD_OVERRIDE","28Y")&gt;0),(BDP($B$48,"BEST_SALES","BEST_FPERIOD_OVERRIDE","28Y")/BDP($B$48,"BEST_SALES","BEST_FPERIOD_OVERRIDE","25Y"))^(1/3)-1,"")</f>
        <v/>
      </c>
      <c r="M48" s="47">
        <f>IF(AND(BDP($B$48,"BEST_EBIT","BEST_FPERIOD_OVERRIDE","25Y")&gt;0,BDP($B$48,"BEST_EBIT","BEST_FPERIOD_OVERRIDE","28Y")&gt;0),(BDP($B$48,"BEST_EBIT","BEST_FPERIOD_OVERRIDE","28Y")/BDP($B$48,"BEST_EBIT","BEST_FPERIOD_OVERRIDE","25Y"))^(1/3)-1,"")</f>
        <v/>
      </c>
      <c r="N48" s="47">
        <f>IF(AND(BDP($B$48,"BEST_EPS","BEST_FPERIOD_OVERRIDE","25Y")&gt;0,BDP($B$48,"BEST_EPS","BEST_FPERIOD_OVERRIDE","28Y")&gt;0),(BDP($B$48,"BEST_EPS","BEST_FPERIOD_OVERRIDE","28Y")/BDP($B$48,"BEST_EPS","BEST_FPERIOD_OVERRIDE","25Y"))^(1/3)-1,"")</f>
        <v/>
      </c>
      <c r="O48" s="1" t="n"/>
      <c r="P48" s="47">
        <f>BDP($B$48,"CHG_PCT_YTD")/100</f>
        <v/>
      </c>
      <c r="Q48" s="1" t="n"/>
      <c r="R48" s="1" t="n"/>
      <c r="S48" s="42">
        <f>IF(AND(E48&lt;&gt;"",N48&lt;&gt;"",N48&lt;&gt;0),E48/(N48*100),"")</f>
        <v/>
      </c>
      <c r="T48" s="1" t="n"/>
      <c r="U48" s="26" t="inlineStr">
        <is>
          <t>Dec</t>
        </is>
      </c>
      <c r="V48" s="1" t="n"/>
      <c r="W48" s="1" t="n"/>
      <c r="X48" s="1" t="n"/>
      <c r="Y48" s="1" t="n"/>
      <c r="Z48" s="1" t="n"/>
      <c r="AA48" s="48">
        <f>BDP($B$48,"TRAIL_12M_OPER_INC")</f>
        <v/>
      </c>
      <c r="AB48" s="43">
        <f>BDP($B$48,"SHORT_AND_LONG_TERM_DEBT")</f>
        <v/>
      </c>
      <c r="AC48" s="43">
        <f>BDP($B$48,"TOTAL_EQUITY")</f>
        <v/>
      </c>
      <c r="AD48" s="43">
        <f>BDP($B$48,"BS_CASH_NEAR_CASH_ITEM")</f>
        <v/>
      </c>
      <c r="AE48" s="43">
        <f>BDP($B$48,"BS_LT_INVEST")</f>
        <v/>
      </c>
      <c r="AF48" s="31">
        <f>AB48+AC48</f>
        <v/>
      </c>
      <c r="AG48" s="43">
        <f>BDP($B$48,"RETURN_ON_INV_CAPITAL")/100</f>
        <v/>
      </c>
      <c r="AH48" s="49" t="n"/>
      <c r="AI48" s="48">
        <f>BDP($B$48,"BEST_EPS","BEST_FPERIOD_OVERRIDE","24Y")</f>
        <v/>
      </c>
      <c r="AJ48" s="43">
        <f>BDP($B$48,"BEST_EPS","BEST_FPERIOD_OVERRIDE","25Y")</f>
        <v/>
      </c>
      <c r="AK48" s="43">
        <f>BDP($B$48,"BEST_EPS","BEST_FPERIOD_OVERRIDE","26Y")</f>
        <v/>
      </c>
      <c r="AL48" s="43">
        <f>BDP($B$48,"BEST_EPS","BEST_FPERIOD_OVERRIDE","27Y")</f>
        <v/>
      </c>
      <c r="AM48" s="43">
        <f>BDP($B$48,"BEST_EPS","BEST_FPERIOD_OVERRIDE","28Y")</f>
        <v/>
      </c>
      <c r="AN48" s="31" t="n"/>
      <c r="AO48" s="48">
        <f>BDP($B$48,"BEST_SALES","BEST_FPERIOD_OVERRIDE","24Y")</f>
        <v/>
      </c>
      <c r="AP48" s="43">
        <f>BDP($B$48,"BEST_SALES","BEST_FPERIOD_OVERRIDE","25Y")</f>
        <v/>
      </c>
      <c r="AQ48" s="43">
        <f>BDP($B$48,"BEST_SALES","BEST_FPERIOD_OVERRIDE","26Y")</f>
        <v/>
      </c>
      <c r="AR48" s="43">
        <f>BDP($B$48,"BEST_SALES","BEST_FPERIOD_OVERRIDE","27Y")</f>
        <v/>
      </c>
      <c r="AS48" s="43">
        <f>BDP($B$48,"BEST_SALES","BEST_FPERIOD_OVERRIDE","28Y")</f>
        <v/>
      </c>
      <c r="AT48" s="31" t="n"/>
      <c r="AU48" s="48">
        <f>BDP($B$48,"BEST_EBIT","BEST_FPERIOD_OVERRIDE","24Y")</f>
        <v/>
      </c>
      <c r="AV48" s="43">
        <f>BDP($B$48,"BEST_EBIT","BEST_FPERIOD_OVERRIDE","25Y")</f>
        <v/>
      </c>
      <c r="AW48" s="43">
        <f>BDP($B$48,"BEST_EBIT","BEST_FPERIOD_OVERRIDE","26Y")</f>
        <v/>
      </c>
      <c r="AX48" s="43">
        <f>BDP($B$48,"BEST_EBIT","BEST_FPERIOD_OVERRIDE","27Y")</f>
        <v/>
      </c>
      <c r="AY48" s="43">
        <f>BDP($B$48,"BEST_EBIT","BEST_FPERIOD_OVERRIDE","28Y")</f>
        <v/>
      </c>
      <c r="AZ48" s="31" t="n"/>
      <c r="BA48" s="1">
        <f>C48+BD48</f>
        <v/>
      </c>
      <c r="BB48" s="42">
        <f>AB48-AD48</f>
        <v/>
      </c>
      <c r="BC48" s="42">
        <f>C48</f>
        <v/>
      </c>
      <c r="BD48" s="43">
        <f>BDP($B$48,"TRAIL_12M_EBITDA")</f>
        <v/>
      </c>
      <c r="BE48" s="43">
        <f>_xll.BDP("CVNA US Equity","TRAIL_12M_EBITDA")</f>
        <v/>
      </c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</row>
    <row r="49">
      <c r="A49" s="1" t="inlineStr">
        <is>
          <t>JPM</t>
        </is>
      </c>
      <c r="B49" s="1" t="inlineStr">
        <is>
          <t>JPM US Equity</t>
        </is>
      </c>
      <c r="C49" s="43">
        <f>BDP($B$49,"CUR_MKT_CAP")/1000000000</f>
        <v/>
      </c>
      <c r="D49" s="44">
        <f>BDP($B$49,"PX_LAST")</f>
        <v/>
      </c>
      <c r="E49" s="45">
        <f>IF(BDP($B$49,"BEST_EPS","BEST_FPERIOD_OVERRIDE","26Y")&lt;&gt;0,$D$49/BDP($B$49,"BEST_EPS","BEST_FPERIOD_OVERRIDE","26Y"),"")</f>
        <v/>
      </c>
      <c r="F49" s="45">
        <f>IF(BDP($B$49,"BEST_EPS","BEST_FPERIOD_OVERRIDE","27Y")&lt;&gt;0,$D$49/BDP($B$49,"BEST_EPS","BEST_FPERIOD_OVERRIDE","27Y"),"")</f>
        <v/>
      </c>
      <c r="G49" s="45">
        <f>IF(BDP($B$49,"BEST_EPS","BEST_FPERIOD_OVERRIDE","28Y")&lt;&gt;0,$D$49/BDP($B$49,"BEST_EPS","BEST_FPERIOD_OVERRIDE","28Y"),"")</f>
        <v/>
      </c>
      <c r="H49" s="43">
        <f>BDP($B$49,"NET_DEBT_TO_EBITDA")</f>
        <v/>
      </c>
      <c r="I49" s="43">
        <f>BDP($B$49,"BEST_SALES","BEST_FPERIOD_OVERRIDE","26Y")/1000</f>
        <v/>
      </c>
      <c r="J49" s="47">
        <f>IF(BDP($B$49,"BEST_SALES","BEST_FPERIOD_OVERRIDE","26Y")&lt;&gt;0,BDP($B$49,"BEST_EBIT","BEST_FPERIOD_OVERRIDE","26Y")/BDP($B$49,"BEST_SALES","BEST_FPERIOD_OVERRIDE","26Y"),"")</f>
        <v/>
      </c>
      <c r="K49" s="43">
        <f>BDP($B$49,"RETURN_ON_INV_CAPITAL")/100</f>
        <v/>
      </c>
      <c r="L49" s="43">
        <f>IF(AND(BDP($B$49,"BEST_SALES","BEST_FPERIOD_OVERRIDE","25Y")&gt;0,BDP($B$49,"BEST_SALES","BEST_FPERIOD_OVERRIDE","28Y")&gt;0),(BDP($B$49,"BEST_SALES","BEST_FPERIOD_OVERRIDE","28Y")/BDP($B$49,"BEST_SALES","BEST_FPERIOD_OVERRIDE","25Y"))^(1/3)-1,"")</f>
        <v/>
      </c>
      <c r="M49" s="47">
        <f>IF(AND(BDP($B$49,"BEST_EBIT","BEST_FPERIOD_OVERRIDE","25Y")&gt;0,BDP($B$49,"BEST_EBIT","BEST_FPERIOD_OVERRIDE","28Y")&gt;0),(BDP($B$49,"BEST_EBIT","BEST_FPERIOD_OVERRIDE","28Y")/BDP($B$49,"BEST_EBIT","BEST_FPERIOD_OVERRIDE","25Y"))^(1/3)-1,"")</f>
        <v/>
      </c>
      <c r="N49" s="47">
        <f>IF(AND(BDP($B$49,"BEST_EPS","BEST_FPERIOD_OVERRIDE","25Y")&gt;0,BDP($B$49,"BEST_EPS","BEST_FPERIOD_OVERRIDE","28Y")&gt;0),(BDP($B$49,"BEST_EPS","BEST_FPERIOD_OVERRIDE","28Y")/BDP($B$49,"BEST_EPS","BEST_FPERIOD_OVERRIDE","25Y"))^(1/3)-1,"")</f>
        <v/>
      </c>
      <c r="O49" s="1" t="n"/>
      <c r="P49" s="47">
        <f>BDP($B$49,"CHG_PCT_YTD")/100</f>
        <v/>
      </c>
      <c r="Q49" s="1" t="n"/>
      <c r="R49" s="1" t="n"/>
      <c r="S49" s="42">
        <f>IF(AND(E49&lt;&gt;"",N49&lt;&gt;"",N49&lt;&gt;0),E49/(N49*100),"")</f>
        <v/>
      </c>
      <c r="T49" s="1" t="n"/>
      <c r="U49" s="26" t="inlineStr">
        <is>
          <t>Dec</t>
        </is>
      </c>
      <c r="V49" s="1" t="n"/>
      <c r="W49" s="1" t="n"/>
      <c r="X49" s="1" t="n"/>
      <c r="Y49" s="1" t="n"/>
      <c r="Z49" s="1" t="n"/>
      <c r="AA49" s="48">
        <f>BDP($B$49,"TRAIL_12M_OPER_INC")</f>
        <v/>
      </c>
      <c r="AB49" s="43">
        <f>BDP($B$49,"SHORT_AND_LONG_TERM_DEBT")</f>
        <v/>
      </c>
      <c r="AC49" s="43">
        <f>BDP($B$49,"TOTAL_EQUITY")</f>
        <v/>
      </c>
      <c r="AD49" s="43">
        <f>BDP($B$49,"BS_CASH_NEAR_CASH_ITEM")</f>
        <v/>
      </c>
      <c r="AE49" s="43">
        <f>BDP($B$49,"BS_LT_INVEST")</f>
        <v/>
      </c>
      <c r="AF49" s="31">
        <f>AB49+AC49</f>
        <v/>
      </c>
      <c r="AG49" s="43">
        <f>BDP($B$49,"RETURN_ON_INV_CAPITAL")/100</f>
        <v/>
      </c>
      <c r="AH49" s="49" t="n"/>
      <c r="AI49" s="48">
        <f>BDP($B$49,"BEST_EPS","BEST_FPERIOD_OVERRIDE","24Y")</f>
        <v/>
      </c>
      <c r="AJ49" s="43">
        <f>BDP($B$49,"BEST_EPS","BEST_FPERIOD_OVERRIDE","25Y")</f>
        <v/>
      </c>
      <c r="AK49" s="43">
        <f>BDP($B$49,"BEST_EPS","BEST_FPERIOD_OVERRIDE","26Y")</f>
        <v/>
      </c>
      <c r="AL49" s="43">
        <f>BDP($B$49,"BEST_EPS","BEST_FPERIOD_OVERRIDE","27Y")</f>
        <v/>
      </c>
      <c r="AM49" s="43">
        <f>BDP($B$49,"BEST_EPS","BEST_FPERIOD_OVERRIDE","28Y")</f>
        <v/>
      </c>
      <c r="AN49" s="31" t="n"/>
      <c r="AO49" s="48">
        <f>BDP($B$49,"BEST_SALES","BEST_FPERIOD_OVERRIDE","24Y")</f>
        <v/>
      </c>
      <c r="AP49" s="43">
        <f>BDP($B$49,"BEST_SALES","BEST_FPERIOD_OVERRIDE","25Y")</f>
        <v/>
      </c>
      <c r="AQ49" s="43">
        <f>BDP($B$49,"BEST_SALES","BEST_FPERIOD_OVERRIDE","26Y")</f>
        <v/>
      </c>
      <c r="AR49" s="43">
        <f>BDP($B$49,"BEST_SALES","BEST_FPERIOD_OVERRIDE","27Y")</f>
        <v/>
      </c>
      <c r="AS49" s="43">
        <f>BDP($B$49,"BEST_SALES","BEST_FPERIOD_OVERRIDE","28Y")</f>
        <v/>
      </c>
      <c r="AT49" s="31" t="n"/>
      <c r="AU49" s="48">
        <f>BDP($B$49,"BEST_EBIT","BEST_FPERIOD_OVERRIDE","24Y")</f>
        <v/>
      </c>
      <c r="AV49" s="43">
        <f>BDP($B$49,"BEST_EBIT","BEST_FPERIOD_OVERRIDE","25Y")</f>
        <v/>
      </c>
      <c r="AW49" s="43">
        <f>BDP($B$49,"BEST_EBIT","BEST_FPERIOD_OVERRIDE","26Y")</f>
        <v/>
      </c>
      <c r="AX49" s="43">
        <f>BDP($B$49,"BEST_EBIT","BEST_FPERIOD_OVERRIDE","27Y")</f>
        <v/>
      </c>
      <c r="AY49" s="43">
        <f>BDP($B$49,"BEST_EBIT","BEST_FPERIOD_OVERRIDE","28Y")</f>
        <v/>
      </c>
      <c r="AZ49" s="31" t="n"/>
      <c r="BA49" s="1">
        <f>C49+BD49</f>
        <v/>
      </c>
      <c r="BB49" s="42">
        <f>AB49-AD49</f>
        <v/>
      </c>
      <c r="BC49" s="42">
        <f>C49</f>
        <v/>
      </c>
      <c r="BD49" s="43">
        <f>BDP($B$49,"TRAIL_12M_EBITDA")</f>
        <v/>
      </c>
      <c r="BE49" s="43">
        <f>_xll.BDP("JPM US Equity","TRAIL_12M_EBITDA")</f>
        <v/>
      </c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</row>
    <row r="50">
      <c r="A50" s="3" t="inlineStr">
        <is>
          <t>Average</t>
        </is>
      </c>
      <c r="B50" s="3" t="n"/>
      <c r="C50" s="11" t="n"/>
      <c r="D50" s="50" t="n"/>
      <c r="E50" s="51">
        <f>AVERAGE(E42:E49)</f>
        <v/>
      </c>
      <c r="F50" s="51">
        <f>AVERAGE(F42:F49)</f>
        <v/>
      </c>
      <c r="G50" s="51">
        <f>AVERAGE(G42:G49)</f>
        <v/>
      </c>
      <c r="H50" s="52" t="n"/>
      <c r="I50" s="53" t="n"/>
      <c r="J50" s="54">
        <f>AVERAGE(J42:J49)</f>
        <v/>
      </c>
      <c r="K50" s="54">
        <f>AVERAGE(K42:K49)</f>
        <v/>
      </c>
      <c r="L50" s="54">
        <f>AVERAGE(L42:L49)</f>
        <v/>
      </c>
      <c r="M50" s="54">
        <f>AVERAGE(M42:M49)</f>
        <v/>
      </c>
      <c r="N50" s="54">
        <f>AVERAGE(N42:N49)</f>
        <v/>
      </c>
      <c r="O50" s="3" t="n"/>
      <c r="P50" s="3" t="n"/>
      <c r="Q50" s="3" t="n"/>
      <c r="R50" s="3" t="n"/>
      <c r="S50" s="56" t="n">
        <v>0.7611977061718904</v>
      </c>
      <c r="T50" s="1" t="n"/>
      <c r="U50" s="27" t="n"/>
      <c r="V50" s="1" t="n"/>
      <c r="W50" s="1" t="n"/>
      <c r="X50" s="1" t="n"/>
      <c r="Y50" s="1" t="n"/>
      <c r="Z50" s="1" t="n"/>
      <c r="AA50" s="1" t="n"/>
      <c r="AB50" s="4" t="n"/>
      <c r="AC50" s="4" t="n"/>
      <c r="AD50" s="4" t="n"/>
      <c r="AE50" s="4" t="n"/>
      <c r="AF50" s="4" t="n"/>
      <c r="AG50" s="4" t="n"/>
      <c r="AH50" s="41" t="n"/>
      <c r="AI50" s="1" t="n"/>
      <c r="AJ50" s="4" t="n"/>
      <c r="AK50" s="4" t="n"/>
      <c r="AL50" s="4" t="n"/>
      <c r="AM50" s="4" t="n"/>
      <c r="AN50" s="4" t="n"/>
      <c r="AO50" s="1" t="n"/>
      <c r="AP50" s="4" t="n"/>
      <c r="AQ50" s="4" t="n"/>
      <c r="AR50" s="4" t="n"/>
      <c r="AS50" s="4" t="n"/>
      <c r="AT50" s="4" t="n"/>
      <c r="AU50" s="1" t="n"/>
      <c r="AV50" s="4" t="n"/>
      <c r="AW50" s="4" t="n"/>
      <c r="AX50" s="4" t="n"/>
      <c r="AY50" s="4" t="n"/>
      <c r="AZ50" s="4" t="n"/>
      <c r="BA50" s="1" t="n"/>
      <c r="BB50" s="42" t="n"/>
      <c r="BC50" s="42" t="n"/>
      <c r="BD50" s="4" t="n"/>
      <c r="BE50" s="4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</row>
    <row r="51">
      <c r="A51" s="3" t="inlineStr">
        <is>
          <t>Financials</t>
        </is>
      </c>
      <c r="B51" s="1" t="n"/>
      <c r="C51" s="4" t="n"/>
      <c r="D51" s="38" t="n"/>
      <c r="E51" s="39" t="n"/>
      <c r="F51" s="39" t="n"/>
      <c r="G51" s="39" t="n"/>
      <c r="H51" s="40" t="n"/>
      <c r="I51" s="4" t="n"/>
      <c r="J51" s="41" t="n"/>
      <c r="K51" s="41" t="n"/>
      <c r="L51" s="41" t="n"/>
      <c r="M51" s="41" t="n"/>
      <c r="N51" s="41" t="n"/>
      <c r="O51" s="1" t="n"/>
      <c r="P51" s="1" t="n"/>
      <c r="Q51" s="1" t="n"/>
      <c r="R51" s="1" t="n"/>
      <c r="S51" s="1" t="n"/>
      <c r="T51" s="1" t="n"/>
      <c r="U51" s="26" t="n"/>
      <c r="V51" s="1" t="n"/>
      <c r="W51" s="1" t="n"/>
      <c r="X51" s="1" t="n"/>
      <c r="Y51" s="1" t="n"/>
      <c r="Z51" s="1" t="n"/>
      <c r="AA51" s="1" t="n"/>
      <c r="AB51" s="4" t="n"/>
      <c r="AC51" s="4" t="n"/>
      <c r="AD51" s="4" t="n"/>
      <c r="AE51" s="4" t="n"/>
      <c r="AF51" s="4" t="n"/>
      <c r="AG51" s="4" t="n"/>
      <c r="AH51" s="41" t="n"/>
      <c r="AI51" s="1" t="n"/>
      <c r="AJ51" s="4" t="n"/>
      <c r="AK51" s="4" t="n"/>
      <c r="AL51" s="4" t="n"/>
      <c r="AM51" s="4" t="n"/>
      <c r="AN51" s="4" t="n"/>
      <c r="AO51" s="1" t="n"/>
      <c r="AP51" s="4" t="n"/>
      <c r="AQ51" s="4" t="n"/>
      <c r="AR51" s="4" t="n"/>
      <c r="AS51" s="4" t="n"/>
      <c r="AT51" s="4" t="n"/>
      <c r="AU51" s="1" t="n"/>
      <c r="AV51" s="4" t="n"/>
      <c r="AW51" s="4" t="n"/>
      <c r="AX51" s="4" t="n"/>
      <c r="AY51" s="4" t="n"/>
      <c r="AZ51" s="4" t="n"/>
      <c r="BA51" s="1" t="n"/>
      <c r="BB51" s="42" t="n"/>
      <c r="BC51" s="42" t="n"/>
      <c r="BD51" s="4" t="n"/>
      <c r="BE51" s="4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</row>
    <row r="52">
      <c r="A52" s="1" t="inlineStr">
        <is>
          <t>BX</t>
        </is>
      </c>
      <c r="B52" s="1" t="inlineStr">
        <is>
          <t>BX US Equity</t>
        </is>
      </c>
      <c r="C52" s="43">
        <f>BDP($B$52,"CUR_MKT_CAP")/1000000000</f>
        <v/>
      </c>
      <c r="D52" s="44">
        <f>BDP($B$52,"PX_LAST")</f>
        <v/>
      </c>
      <c r="E52" s="45">
        <f>IF(BDP($B$52,"BEST_EPS","BEST_FPERIOD_OVERRIDE","26Y")&lt;&gt;0,$D$52/BDP($B$52,"BEST_EPS","BEST_FPERIOD_OVERRIDE","26Y"),"")</f>
        <v/>
      </c>
      <c r="F52" s="45">
        <f>IF(BDP($B$52,"BEST_EPS","BEST_FPERIOD_OVERRIDE","27Y")&lt;&gt;0,$D$52/BDP($B$52,"BEST_EPS","BEST_FPERIOD_OVERRIDE","27Y"),"")</f>
        <v/>
      </c>
      <c r="G52" s="45">
        <f>IF(BDP($B$52,"BEST_EPS","BEST_FPERIOD_OVERRIDE","28Y")&lt;&gt;0,$D$52/BDP($B$52,"BEST_EPS","BEST_FPERIOD_OVERRIDE","28Y"),"")</f>
        <v/>
      </c>
      <c r="H52" s="46">
        <f>BDP($B$52,"NET_DEBT_TO_EBITDA")</f>
        <v/>
      </c>
      <c r="I52" s="43">
        <f>BDP($B$52,"BEST_SALES","BEST_FPERIOD_OVERRIDE","26Y")/1000</f>
        <v/>
      </c>
      <c r="J52" s="47">
        <f>IF(BDP($B$52,"BEST_SALES","BEST_FPERIOD_OVERRIDE","26Y")&lt;&gt;0,BDP($B$52,"BEST_EBIT","BEST_FPERIOD_OVERRIDE","26Y")/BDP($B$52,"BEST_SALES","BEST_FPERIOD_OVERRIDE","26Y"),"")</f>
        <v/>
      </c>
      <c r="K52" s="47">
        <f>BDP($B$52,"RETURN_ON_INV_CAPITAL")/100</f>
        <v/>
      </c>
      <c r="L52" s="43">
        <f>IF(AND(BDP($B$52,"BEST_SALES","BEST_FPERIOD_OVERRIDE","25Y")&gt;0,BDP($B$52,"BEST_SALES","BEST_FPERIOD_OVERRIDE","28Y")&gt;0),(BDP($B$52,"BEST_SALES","BEST_FPERIOD_OVERRIDE","28Y")/BDP($B$52,"BEST_SALES","BEST_FPERIOD_OVERRIDE","25Y"))^(1/3)-1,"")</f>
        <v/>
      </c>
      <c r="M52" s="43">
        <f>IF(AND(BDP($B$52,"BEST_EBIT","BEST_FPERIOD_OVERRIDE","25Y")&gt;0,BDP($B$52,"BEST_EBIT","BEST_FPERIOD_OVERRIDE","28Y")&gt;0),(BDP($B$52,"BEST_EBIT","BEST_FPERIOD_OVERRIDE","28Y")/BDP($B$52,"BEST_EBIT","BEST_FPERIOD_OVERRIDE","25Y"))^(1/3)-1,"")</f>
        <v/>
      </c>
      <c r="N52" s="47">
        <f>IF(AND(BDP($B$52,"BEST_EPS","BEST_FPERIOD_OVERRIDE","25Y")&gt;0,BDP($B$52,"BEST_EPS","BEST_FPERIOD_OVERRIDE","28Y")&gt;0),(BDP($B$52,"BEST_EPS","BEST_FPERIOD_OVERRIDE","28Y")/BDP($B$52,"BEST_EPS","BEST_FPERIOD_OVERRIDE","25Y"))^(1/3)-1,"")</f>
        <v/>
      </c>
      <c r="O52" s="1" t="n"/>
      <c r="P52" s="47">
        <f>BDP($B$52,"CHG_PCT_YTD")/100</f>
        <v/>
      </c>
      <c r="Q52" s="1" t="n"/>
      <c r="R52" s="1" t="n"/>
      <c r="S52" s="42">
        <f>IF(AND(E52&lt;&gt;"",N52&lt;&gt;"",N52&lt;&gt;0),E52/(N52*100),"")</f>
        <v/>
      </c>
      <c r="T52" s="1" t="n"/>
      <c r="U52" s="26" t="inlineStr">
        <is>
          <t>Dec</t>
        </is>
      </c>
      <c r="V52" s="1" t="n"/>
      <c r="W52" s="1" t="n"/>
      <c r="X52" s="1" t="n"/>
      <c r="Y52" s="1" t="n"/>
      <c r="Z52" s="1" t="n"/>
      <c r="AA52" s="48">
        <f>BDP($B$52,"TRAIL_12M_OPER_INC")</f>
        <v/>
      </c>
      <c r="AB52" s="43">
        <f>BDP($B$52,"SHORT_AND_LONG_TERM_DEBT")</f>
        <v/>
      </c>
      <c r="AC52" s="43">
        <f>BDP($B$52,"TOTAL_EQUITY")</f>
        <v/>
      </c>
      <c r="AD52" s="43">
        <f>BDP($B$52,"BS_CASH_NEAR_CASH_ITEM")</f>
        <v/>
      </c>
      <c r="AE52" s="43">
        <f>BDP($B$52,"BS_LT_INVEST")</f>
        <v/>
      </c>
      <c r="AF52" s="31">
        <f>AB52+AC52</f>
        <v/>
      </c>
      <c r="AG52" s="43">
        <f>BDP($B$52,"RETURN_ON_INV_CAPITAL")/100</f>
        <v/>
      </c>
      <c r="AH52" s="49" t="n"/>
      <c r="AI52" s="48">
        <f>BDP($B$52,"BEST_EPS","BEST_FPERIOD_OVERRIDE","24Y")</f>
        <v/>
      </c>
      <c r="AJ52" s="43">
        <f>BDP($B$52,"BEST_EPS","BEST_FPERIOD_OVERRIDE","25Y")</f>
        <v/>
      </c>
      <c r="AK52" s="43">
        <f>BDP($B$52,"BEST_EPS","BEST_FPERIOD_OVERRIDE","26Y")</f>
        <v/>
      </c>
      <c r="AL52" s="43">
        <f>BDP($B$52,"BEST_EPS","BEST_FPERIOD_OVERRIDE","27Y")</f>
        <v/>
      </c>
      <c r="AM52" s="43">
        <f>BDP($B$52,"BEST_EPS","BEST_FPERIOD_OVERRIDE","28Y")</f>
        <v/>
      </c>
      <c r="AN52" s="31" t="n"/>
      <c r="AO52" s="48">
        <f>BDP($B$52,"BEST_SALES","BEST_FPERIOD_OVERRIDE","24Y")</f>
        <v/>
      </c>
      <c r="AP52" s="43">
        <f>BDP($B$52,"BEST_SALES","BEST_FPERIOD_OVERRIDE","25Y")</f>
        <v/>
      </c>
      <c r="AQ52" s="43">
        <f>BDP($B$52,"BEST_SALES","BEST_FPERIOD_OVERRIDE","26Y")</f>
        <v/>
      </c>
      <c r="AR52" s="43">
        <f>BDP($B$52,"BEST_SALES","BEST_FPERIOD_OVERRIDE","27Y")</f>
        <v/>
      </c>
      <c r="AS52" s="43">
        <f>BDP($B$52,"BEST_SALES","BEST_FPERIOD_OVERRIDE","28Y")</f>
        <v/>
      </c>
      <c r="AT52" s="31" t="n"/>
      <c r="AU52" s="48">
        <f>BDP($B$52,"BEST_EBIT","BEST_FPERIOD_OVERRIDE","24Y")</f>
        <v/>
      </c>
      <c r="AV52" s="43">
        <f>BDP($B$52,"BEST_EBIT","BEST_FPERIOD_OVERRIDE","25Y")</f>
        <v/>
      </c>
      <c r="AW52" s="43">
        <f>BDP($B$52,"BEST_EBIT","BEST_FPERIOD_OVERRIDE","26Y")</f>
        <v/>
      </c>
      <c r="AX52" s="43">
        <f>BDP($B$52,"BEST_EBIT","BEST_FPERIOD_OVERRIDE","27Y")</f>
        <v/>
      </c>
      <c r="AY52" s="43">
        <f>BDP($B$52,"BEST_EBIT","BEST_FPERIOD_OVERRIDE","28Y")</f>
        <v/>
      </c>
      <c r="AZ52" s="31" t="n"/>
      <c r="BA52" s="1">
        <f>C52+BD52</f>
        <v/>
      </c>
      <c r="BB52" s="42">
        <f>AB52-AD52</f>
        <v/>
      </c>
      <c r="BC52" s="42">
        <f>C52</f>
        <v/>
      </c>
      <c r="BD52" s="43">
        <f>BDP($B$52,"TRAIL_12M_EBITDA")</f>
        <v/>
      </c>
      <c r="BE52" s="43">
        <f>_xll.BDP("BX US Equity","TRAIL_12M_EBITDA")</f>
        <v/>
      </c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</row>
    <row r="53">
      <c r="A53" s="1" t="inlineStr">
        <is>
          <t>KKR</t>
        </is>
      </c>
      <c r="B53" s="1" t="inlineStr">
        <is>
          <t>KKR US Equity</t>
        </is>
      </c>
      <c r="C53" s="43">
        <f>BDP($B$53,"CUR_MKT_CAP")/1000000000</f>
        <v/>
      </c>
      <c r="D53" s="44">
        <f>BDP($B$53,"PX_LAST")</f>
        <v/>
      </c>
      <c r="E53" s="45">
        <f>IF(BDP($B$53,"BEST_EPS","BEST_FPERIOD_OVERRIDE","26Y")&lt;&gt;0,$D$53/BDP($B$53,"BEST_EPS","BEST_FPERIOD_OVERRIDE","26Y"),"")</f>
        <v/>
      </c>
      <c r="F53" s="45">
        <f>IF(BDP($B$53,"BEST_EPS","BEST_FPERIOD_OVERRIDE","27Y")&lt;&gt;0,$D$53/BDP($B$53,"BEST_EPS","BEST_FPERIOD_OVERRIDE","27Y"),"")</f>
        <v/>
      </c>
      <c r="G53" s="45">
        <f>IF(BDP($B$53,"BEST_EPS","BEST_FPERIOD_OVERRIDE","28Y")&lt;&gt;0,$D$53/BDP($B$53,"BEST_EPS","BEST_FPERIOD_OVERRIDE","28Y"),"")</f>
        <v/>
      </c>
      <c r="H53" s="46">
        <f>BDP($B$53,"NET_DEBT_TO_EBITDA")</f>
        <v/>
      </c>
      <c r="I53" s="43">
        <f>BDP($B$53,"BEST_SALES","BEST_FPERIOD_OVERRIDE","26Y")/1000</f>
        <v/>
      </c>
      <c r="J53" s="47">
        <f>IF(BDP($B$53,"BEST_SALES","BEST_FPERIOD_OVERRIDE","26Y")&lt;&gt;0,BDP($B$53,"BEST_EBIT","BEST_FPERIOD_OVERRIDE","26Y")/BDP($B$53,"BEST_SALES","BEST_FPERIOD_OVERRIDE","26Y"),"")</f>
        <v/>
      </c>
      <c r="K53" s="47">
        <f>BDP($B$53,"RETURN_ON_INV_CAPITAL")/100</f>
        <v/>
      </c>
      <c r="L53" s="43">
        <f>IF(AND(BDP($B$53,"BEST_SALES","BEST_FPERIOD_OVERRIDE","25Y")&gt;0,BDP($B$53,"BEST_SALES","BEST_FPERIOD_OVERRIDE","28Y")&gt;0),(BDP($B$53,"BEST_SALES","BEST_FPERIOD_OVERRIDE","28Y")/BDP($B$53,"BEST_SALES","BEST_FPERIOD_OVERRIDE","25Y"))^(1/3)-1,"")</f>
        <v/>
      </c>
      <c r="M53" s="43">
        <f>IF(AND(BDP($B$53,"BEST_EBIT","BEST_FPERIOD_OVERRIDE","25Y")&gt;0,BDP($B$53,"BEST_EBIT","BEST_FPERIOD_OVERRIDE","28Y")&gt;0),(BDP($B$53,"BEST_EBIT","BEST_FPERIOD_OVERRIDE","28Y")/BDP($B$53,"BEST_EBIT","BEST_FPERIOD_OVERRIDE","25Y"))^(1/3)-1,"")</f>
        <v/>
      </c>
      <c r="N53" s="47">
        <f>IF(AND(BDP($B$53,"BEST_EPS","BEST_FPERIOD_OVERRIDE","25Y")&gt;0,BDP($B$53,"BEST_EPS","BEST_FPERIOD_OVERRIDE","28Y")&gt;0),(BDP($B$53,"BEST_EPS","BEST_FPERIOD_OVERRIDE","28Y")/BDP($B$53,"BEST_EPS","BEST_FPERIOD_OVERRIDE","25Y"))^(1/3)-1,"")</f>
        <v/>
      </c>
      <c r="O53" s="1" t="n"/>
      <c r="P53" s="47">
        <f>BDP($B$53,"CHG_PCT_YTD")/100</f>
        <v/>
      </c>
      <c r="Q53" s="1" t="n"/>
      <c r="R53" s="1" t="n"/>
      <c r="S53" s="42">
        <f>IF(AND(E53&lt;&gt;"",N53&lt;&gt;"",N53&lt;&gt;0),E53/(N53*100),"")</f>
        <v/>
      </c>
      <c r="T53" s="1" t="n"/>
      <c r="U53" s="26" t="inlineStr">
        <is>
          <t>Dec</t>
        </is>
      </c>
      <c r="V53" s="1" t="n"/>
      <c r="W53" s="1" t="n"/>
      <c r="X53" s="1" t="n"/>
      <c r="Y53" s="1" t="n"/>
      <c r="Z53" s="1" t="n"/>
      <c r="AA53" s="48">
        <f>BDP($B$53,"TRAIL_12M_OPER_INC")</f>
        <v/>
      </c>
      <c r="AB53" s="43">
        <f>BDP($B$53,"SHORT_AND_LONG_TERM_DEBT")</f>
        <v/>
      </c>
      <c r="AC53" s="43">
        <f>BDP($B$53,"TOTAL_EQUITY")</f>
        <v/>
      </c>
      <c r="AD53" s="43">
        <f>BDP($B$53,"BS_CASH_NEAR_CASH_ITEM")</f>
        <v/>
      </c>
      <c r="AE53" s="43">
        <f>BDP($B$53,"BS_LT_INVEST")</f>
        <v/>
      </c>
      <c r="AF53" s="31">
        <f>AB53+AC53</f>
        <v/>
      </c>
      <c r="AG53" s="43">
        <f>BDP($B$53,"RETURN_ON_INV_CAPITAL")/100</f>
        <v/>
      </c>
      <c r="AH53" s="49" t="n"/>
      <c r="AI53" s="48">
        <f>BDP($B$53,"BEST_EPS","BEST_FPERIOD_OVERRIDE","24Y")</f>
        <v/>
      </c>
      <c r="AJ53" s="43">
        <f>BDP($B$53,"BEST_EPS","BEST_FPERIOD_OVERRIDE","25Y")</f>
        <v/>
      </c>
      <c r="AK53" s="43">
        <f>BDP($B$53,"BEST_EPS","BEST_FPERIOD_OVERRIDE","26Y")</f>
        <v/>
      </c>
      <c r="AL53" s="43">
        <f>BDP($B$53,"BEST_EPS","BEST_FPERIOD_OVERRIDE","27Y")</f>
        <v/>
      </c>
      <c r="AM53" s="43">
        <f>BDP($B$53,"BEST_EPS","BEST_FPERIOD_OVERRIDE","28Y")</f>
        <v/>
      </c>
      <c r="AN53" s="31" t="n"/>
      <c r="AO53" s="48">
        <f>BDP($B$53,"BEST_SALES","BEST_FPERIOD_OVERRIDE","24Y")</f>
        <v/>
      </c>
      <c r="AP53" s="43">
        <f>BDP($B$53,"BEST_SALES","BEST_FPERIOD_OVERRIDE","25Y")</f>
        <v/>
      </c>
      <c r="AQ53" s="43">
        <f>BDP($B$53,"BEST_SALES","BEST_FPERIOD_OVERRIDE","26Y")</f>
        <v/>
      </c>
      <c r="AR53" s="43">
        <f>BDP($B$53,"BEST_SALES","BEST_FPERIOD_OVERRIDE","27Y")</f>
        <v/>
      </c>
      <c r="AS53" s="43">
        <f>BDP($B$53,"BEST_SALES","BEST_FPERIOD_OVERRIDE","28Y")</f>
        <v/>
      </c>
      <c r="AT53" s="31" t="n"/>
      <c r="AU53" s="48">
        <f>BDP($B$53,"BEST_EBIT","BEST_FPERIOD_OVERRIDE","24Y")</f>
        <v/>
      </c>
      <c r="AV53" s="43">
        <f>BDP($B$53,"BEST_EBIT","BEST_FPERIOD_OVERRIDE","25Y")</f>
        <v/>
      </c>
      <c r="AW53" s="43">
        <f>BDP($B$53,"BEST_EBIT","BEST_FPERIOD_OVERRIDE","26Y")</f>
        <v/>
      </c>
      <c r="AX53" s="43">
        <f>BDP($B$53,"BEST_EBIT","BEST_FPERIOD_OVERRIDE","27Y")</f>
        <v/>
      </c>
      <c r="AY53" s="43">
        <f>BDP($B$53,"BEST_EBIT","BEST_FPERIOD_OVERRIDE","28Y")</f>
        <v/>
      </c>
      <c r="AZ53" s="31" t="n"/>
      <c r="BA53" s="1">
        <f>C53+BD53</f>
        <v/>
      </c>
      <c r="BB53" s="42">
        <f>AB53-AD53</f>
        <v/>
      </c>
      <c r="BC53" s="42">
        <f>C53</f>
        <v/>
      </c>
      <c r="BD53" s="43">
        <f>BDP($B$53,"TRAIL_12M_EBITDA")</f>
        <v/>
      </c>
      <c r="BE53" s="43">
        <f>_xll.BDP("KKR US Equity","TRAIL_12M_EBITDA")</f>
        <v/>
      </c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</row>
    <row r="54">
      <c r="A54" s="1" t="inlineStr">
        <is>
          <t>IBKR</t>
        </is>
      </c>
      <c r="B54" s="1" t="inlineStr">
        <is>
          <t>IBKR US Equity</t>
        </is>
      </c>
      <c r="C54" s="43">
        <f>BDP($B$54,"CUR_MKT_CAP")/1000000000</f>
        <v/>
      </c>
      <c r="D54" s="44">
        <f>BDP($B$54,"PX_LAST")</f>
        <v/>
      </c>
      <c r="E54" s="45">
        <f>IF(BDP($B$54,"BEST_EPS","BEST_FPERIOD_OVERRIDE","26Y")&lt;&gt;0,$D$54/BDP($B$54,"BEST_EPS","BEST_FPERIOD_OVERRIDE","26Y"),"")</f>
        <v/>
      </c>
      <c r="F54" s="45">
        <f>IF(BDP($B$54,"BEST_EPS","BEST_FPERIOD_OVERRIDE","27Y")&lt;&gt;0,$D$54/BDP($B$54,"BEST_EPS","BEST_FPERIOD_OVERRIDE","27Y"),"")</f>
        <v/>
      </c>
      <c r="G54" s="45">
        <f>IF(BDP($B$54,"BEST_EPS","BEST_FPERIOD_OVERRIDE","28Y")&lt;&gt;0,$D$54/BDP($B$54,"BEST_EPS","BEST_FPERIOD_OVERRIDE","28Y"),"")</f>
        <v/>
      </c>
      <c r="H54" s="46">
        <f>BDP($B$54,"NET_DEBT_TO_EBITDA")</f>
        <v/>
      </c>
      <c r="I54" s="43">
        <f>BDP($B$54,"BEST_SALES","BEST_FPERIOD_OVERRIDE","26Y")/1000</f>
        <v/>
      </c>
      <c r="J54" s="47">
        <f>IF(BDP($B$54,"BEST_SALES","BEST_FPERIOD_OVERRIDE","26Y")&lt;&gt;0,BDP($B$54,"BEST_EBIT","BEST_FPERIOD_OVERRIDE","26Y")/BDP($B$54,"BEST_SALES","BEST_FPERIOD_OVERRIDE","26Y"),"")</f>
        <v/>
      </c>
      <c r="K54" s="47">
        <f>BDP($B$54,"RETURN_ON_INV_CAPITAL")/100</f>
        <v/>
      </c>
      <c r="L54" s="47">
        <f>IF(AND(BDP($B$54,"BEST_SALES","BEST_FPERIOD_OVERRIDE","25Y")&gt;0,BDP($B$54,"BEST_SALES","BEST_FPERIOD_OVERRIDE","28Y")&gt;0),(BDP($B$54,"BEST_SALES","BEST_FPERIOD_OVERRIDE","28Y")/BDP($B$54,"BEST_SALES","BEST_FPERIOD_OVERRIDE","25Y"))^(1/3)-1,"")</f>
        <v/>
      </c>
      <c r="M54" s="47">
        <f>IF(AND(BDP($B$54,"BEST_EBIT","BEST_FPERIOD_OVERRIDE","25Y")&gt;0,BDP($B$54,"BEST_EBIT","BEST_FPERIOD_OVERRIDE","28Y")&gt;0),(BDP($B$54,"BEST_EBIT","BEST_FPERIOD_OVERRIDE","28Y")/BDP($B$54,"BEST_EBIT","BEST_FPERIOD_OVERRIDE","25Y"))^(1/3)-1,"")</f>
        <v/>
      </c>
      <c r="N54" s="47">
        <f>IF(AND(BDP($B$54,"BEST_EPS","BEST_FPERIOD_OVERRIDE","25Y")&gt;0,BDP($B$54,"BEST_EPS","BEST_FPERIOD_OVERRIDE","28Y")&gt;0),(BDP($B$54,"BEST_EPS","BEST_FPERIOD_OVERRIDE","28Y")/BDP($B$54,"BEST_EPS","BEST_FPERIOD_OVERRIDE","25Y"))^(1/3)-1,"")</f>
        <v/>
      </c>
      <c r="O54" s="1" t="n"/>
      <c r="P54" s="47">
        <f>BDP($B$54,"CHG_PCT_YTD")/100</f>
        <v/>
      </c>
      <c r="Q54" s="1" t="n"/>
      <c r="R54" s="1" t="n"/>
      <c r="S54" s="4">
        <f>IF(AND(E54&lt;&gt;"",N54&lt;&gt;"",N54&lt;&gt;0),E54/(N54*100),"")</f>
        <v/>
      </c>
      <c r="T54" s="1" t="n"/>
      <c r="U54" s="26" t="inlineStr">
        <is>
          <t>Dec</t>
        </is>
      </c>
      <c r="V54" s="1" t="n"/>
      <c r="W54" s="1" t="n"/>
      <c r="X54" s="1" t="n"/>
      <c r="Y54" s="1" t="n"/>
      <c r="Z54" s="1" t="n"/>
      <c r="AA54" s="48">
        <f>BDP($B$54,"TRAIL_12M_OPER_INC")</f>
        <v/>
      </c>
      <c r="AB54" s="43">
        <f>BDP($B$54,"SHORT_AND_LONG_TERM_DEBT")</f>
        <v/>
      </c>
      <c r="AC54" s="43">
        <f>BDP($B$54,"TOTAL_EQUITY")</f>
        <v/>
      </c>
      <c r="AD54" s="43">
        <f>BDP($B$54,"BS_CASH_NEAR_CASH_ITEM")</f>
        <v/>
      </c>
      <c r="AE54" s="43">
        <f>BDP($B$54,"BS_LT_INVEST")</f>
        <v/>
      </c>
      <c r="AF54" s="31">
        <f>AB54+AC54</f>
        <v/>
      </c>
      <c r="AG54" s="43">
        <f>BDP($B$54,"RETURN_ON_INV_CAPITAL")/100</f>
        <v/>
      </c>
      <c r="AH54" s="49" t="n"/>
      <c r="AI54" s="48">
        <f>BDP($B$54,"BEST_EPS","BEST_FPERIOD_OVERRIDE","24Y")</f>
        <v/>
      </c>
      <c r="AJ54" s="43">
        <f>BDP($B$54,"BEST_EPS","BEST_FPERIOD_OVERRIDE","25Y")</f>
        <v/>
      </c>
      <c r="AK54" s="43">
        <f>BDP($B$54,"BEST_EPS","BEST_FPERIOD_OVERRIDE","26Y")</f>
        <v/>
      </c>
      <c r="AL54" s="43">
        <f>BDP($B$54,"BEST_EPS","BEST_FPERIOD_OVERRIDE","27Y")</f>
        <v/>
      </c>
      <c r="AM54" s="43">
        <f>BDP($B$54,"BEST_EPS","BEST_FPERIOD_OVERRIDE","28Y")</f>
        <v/>
      </c>
      <c r="AN54" s="31" t="n"/>
      <c r="AO54" s="48">
        <f>BDP($B$54,"BEST_SALES","BEST_FPERIOD_OVERRIDE","24Y")</f>
        <v/>
      </c>
      <c r="AP54" s="43">
        <f>BDP($B$54,"BEST_SALES","BEST_FPERIOD_OVERRIDE","25Y")</f>
        <v/>
      </c>
      <c r="AQ54" s="43">
        <f>BDP($B$54,"BEST_SALES","BEST_FPERIOD_OVERRIDE","26Y")</f>
        <v/>
      </c>
      <c r="AR54" s="43">
        <f>BDP($B$54,"BEST_SALES","BEST_FPERIOD_OVERRIDE","27Y")</f>
        <v/>
      </c>
      <c r="AS54" s="43">
        <f>BDP($B$54,"BEST_SALES","BEST_FPERIOD_OVERRIDE","28Y")</f>
        <v/>
      </c>
      <c r="AT54" s="31" t="n"/>
      <c r="AU54" s="48">
        <f>BDP($B$54,"BEST_EBIT","BEST_FPERIOD_OVERRIDE","24Y")</f>
        <v/>
      </c>
      <c r="AV54" s="43">
        <f>BDP($B$54,"BEST_EBIT","BEST_FPERIOD_OVERRIDE","25Y")</f>
        <v/>
      </c>
      <c r="AW54" s="43">
        <f>BDP($B$54,"BEST_EBIT","BEST_FPERIOD_OVERRIDE","26Y")</f>
        <v/>
      </c>
      <c r="AX54" s="43">
        <f>BDP($B$54,"BEST_EBIT","BEST_FPERIOD_OVERRIDE","27Y")</f>
        <v/>
      </c>
      <c r="AY54" s="43">
        <f>BDP($B$54,"BEST_EBIT","BEST_FPERIOD_OVERRIDE","28Y")</f>
        <v/>
      </c>
      <c r="AZ54" s="31" t="n"/>
      <c r="BA54" s="1">
        <f>C54+BD54</f>
        <v/>
      </c>
      <c r="BB54" s="42">
        <f>AB54-AD54</f>
        <v/>
      </c>
      <c r="BC54" s="42">
        <f>C54</f>
        <v/>
      </c>
      <c r="BD54" s="43">
        <f>BDP($B$54,"TRAIL_12M_EBITDA")</f>
        <v/>
      </c>
      <c r="BE54" s="43">
        <f>_xll.BDP("IBKR US Equity","TRAIL_12M_EBITDA")</f>
        <v/>
      </c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</row>
    <row r="55">
      <c r="A55" s="1" t="inlineStr">
        <is>
          <t>AXP</t>
        </is>
      </c>
      <c r="B55" s="1" t="inlineStr">
        <is>
          <t>AXP US Equity</t>
        </is>
      </c>
      <c r="C55" s="43">
        <f>BDP($B$55,"CUR_MKT_CAP")/1000000000</f>
        <v/>
      </c>
      <c r="D55" s="44">
        <f>BDP($B$55,"PX_LAST")</f>
        <v/>
      </c>
      <c r="E55" s="45">
        <f>IF(BDP($B$55,"BEST_EPS","BEST_FPERIOD_OVERRIDE","26Y")&lt;&gt;0,$D$55/BDP($B$55,"BEST_EPS","BEST_FPERIOD_OVERRIDE","26Y"),"")</f>
        <v/>
      </c>
      <c r="F55" s="45">
        <f>IF(BDP($B$55,"BEST_EPS","BEST_FPERIOD_OVERRIDE","27Y")&lt;&gt;0,$D$55/BDP($B$55,"BEST_EPS","BEST_FPERIOD_OVERRIDE","27Y"),"")</f>
        <v/>
      </c>
      <c r="G55" s="45">
        <f>IF(BDP($B$55,"BEST_EPS","BEST_FPERIOD_OVERRIDE","28Y")&lt;&gt;0,$D$55/BDP($B$55,"BEST_EPS","BEST_FPERIOD_OVERRIDE","28Y"),"")</f>
        <v/>
      </c>
      <c r="H55" s="46">
        <f>BDP($B$55,"NET_DEBT_TO_EBITDA")</f>
        <v/>
      </c>
      <c r="I55" s="43">
        <f>BDP($B$55,"BEST_SALES","BEST_FPERIOD_OVERRIDE","26Y")/1000</f>
        <v/>
      </c>
      <c r="J55" s="47">
        <f>IF(BDP($B$55,"BEST_SALES","BEST_FPERIOD_OVERRIDE","26Y")&lt;&gt;0,BDP($B$55,"BEST_EBIT","BEST_FPERIOD_OVERRIDE","26Y")/BDP($B$55,"BEST_SALES","BEST_FPERIOD_OVERRIDE","26Y"),"")</f>
        <v/>
      </c>
      <c r="K55" s="47">
        <f>BDP($B$55,"RETURN_ON_INV_CAPITAL")/100</f>
        <v/>
      </c>
      <c r="L55" s="47">
        <f>IF(AND(BDP($B$55,"BEST_SALES","BEST_FPERIOD_OVERRIDE","25Y")&gt;0,BDP($B$55,"BEST_SALES","BEST_FPERIOD_OVERRIDE","28Y")&gt;0),(BDP($B$55,"BEST_SALES","BEST_FPERIOD_OVERRIDE","28Y")/BDP($B$55,"BEST_SALES","BEST_FPERIOD_OVERRIDE","25Y"))^(1/3)-1,"")</f>
        <v/>
      </c>
      <c r="M55" s="43">
        <f>IF(AND(BDP($B$55,"BEST_EBIT","BEST_FPERIOD_OVERRIDE","25Y")&gt;0,BDP($B$55,"BEST_EBIT","BEST_FPERIOD_OVERRIDE","28Y")&gt;0),(BDP($B$55,"BEST_EBIT","BEST_FPERIOD_OVERRIDE","28Y")/BDP($B$55,"BEST_EBIT","BEST_FPERIOD_OVERRIDE","25Y"))^(1/3)-1,"")</f>
        <v/>
      </c>
      <c r="N55" s="47">
        <f>IF(AND(BDP($B$55,"BEST_EPS","BEST_FPERIOD_OVERRIDE","25Y")&gt;0,BDP($B$55,"BEST_EPS","BEST_FPERIOD_OVERRIDE","28Y")&gt;0),(BDP($B$55,"BEST_EPS","BEST_FPERIOD_OVERRIDE","28Y")/BDP($B$55,"BEST_EPS","BEST_FPERIOD_OVERRIDE","25Y"))^(1/3)-1,"")</f>
        <v/>
      </c>
      <c r="O55" s="1" t="n"/>
      <c r="P55" s="47">
        <f>BDP($B$55,"CHG_PCT_YTD")/100</f>
        <v/>
      </c>
      <c r="Q55" s="1" t="n"/>
      <c r="R55" s="1" t="n"/>
      <c r="S55" s="42">
        <f>IF(AND(E55&lt;&gt;"",N55&lt;&gt;"",N55&lt;&gt;0),E55/(N55*100),"")</f>
        <v/>
      </c>
      <c r="T55" s="1" t="n"/>
      <c r="U55" s="26" t="inlineStr">
        <is>
          <t>Dec</t>
        </is>
      </c>
      <c r="V55" s="1" t="n"/>
      <c r="W55" s="1" t="n"/>
      <c r="X55" s="1" t="n"/>
      <c r="Y55" s="1" t="n"/>
      <c r="Z55" s="1" t="n"/>
      <c r="AA55" s="48">
        <f>BDP($B$55,"TRAIL_12M_OPER_INC")</f>
        <v/>
      </c>
      <c r="AB55" s="43">
        <f>BDP($B$55,"SHORT_AND_LONG_TERM_DEBT")</f>
        <v/>
      </c>
      <c r="AC55" s="43">
        <f>BDP($B$55,"TOTAL_EQUITY")</f>
        <v/>
      </c>
      <c r="AD55" s="43">
        <f>BDP($B$55,"BS_CASH_NEAR_CASH_ITEM")</f>
        <v/>
      </c>
      <c r="AE55" s="43">
        <f>BDP($B$55,"BS_LT_INVEST")</f>
        <v/>
      </c>
      <c r="AF55" s="31">
        <f>AB55+AC55</f>
        <v/>
      </c>
      <c r="AG55" s="43">
        <f>BDP($B$55,"RETURN_ON_INV_CAPITAL")/100</f>
        <v/>
      </c>
      <c r="AH55" s="49" t="n"/>
      <c r="AI55" s="48">
        <f>BDP($B$55,"BEST_EPS","BEST_FPERIOD_OVERRIDE","24Y")</f>
        <v/>
      </c>
      <c r="AJ55" s="43">
        <f>BDP($B$55,"BEST_EPS","BEST_FPERIOD_OVERRIDE","25Y")</f>
        <v/>
      </c>
      <c r="AK55" s="43">
        <f>BDP($B$55,"BEST_EPS","BEST_FPERIOD_OVERRIDE","26Y")</f>
        <v/>
      </c>
      <c r="AL55" s="43">
        <f>BDP($B$55,"BEST_EPS","BEST_FPERIOD_OVERRIDE","27Y")</f>
        <v/>
      </c>
      <c r="AM55" s="43">
        <f>BDP($B$55,"BEST_EPS","BEST_FPERIOD_OVERRIDE","28Y")</f>
        <v/>
      </c>
      <c r="AN55" s="31" t="n"/>
      <c r="AO55" s="48">
        <f>BDP($B$55,"BEST_SALES","BEST_FPERIOD_OVERRIDE","24Y")</f>
        <v/>
      </c>
      <c r="AP55" s="43">
        <f>BDP($B$55,"BEST_SALES","BEST_FPERIOD_OVERRIDE","25Y")</f>
        <v/>
      </c>
      <c r="AQ55" s="43">
        <f>BDP($B$55,"BEST_SALES","BEST_FPERIOD_OVERRIDE","26Y")</f>
        <v/>
      </c>
      <c r="AR55" s="43">
        <f>BDP($B$55,"BEST_SALES","BEST_FPERIOD_OVERRIDE","27Y")</f>
        <v/>
      </c>
      <c r="AS55" s="43">
        <f>BDP($B$55,"BEST_SALES","BEST_FPERIOD_OVERRIDE","28Y")</f>
        <v/>
      </c>
      <c r="AT55" s="31" t="n"/>
      <c r="AU55" s="48">
        <f>BDP($B$55,"BEST_EBIT","BEST_FPERIOD_OVERRIDE","24Y")</f>
        <v/>
      </c>
      <c r="AV55" s="43">
        <f>BDP($B$55,"BEST_EBIT","BEST_FPERIOD_OVERRIDE","25Y")</f>
        <v/>
      </c>
      <c r="AW55" s="43">
        <f>BDP($B$55,"BEST_EBIT","BEST_FPERIOD_OVERRIDE","26Y")</f>
        <v/>
      </c>
      <c r="AX55" s="43">
        <f>BDP($B$55,"BEST_EBIT","BEST_FPERIOD_OVERRIDE","27Y")</f>
        <v/>
      </c>
      <c r="AY55" s="43">
        <f>BDP($B$55,"BEST_EBIT","BEST_FPERIOD_OVERRIDE","28Y")</f>
        <v/>
      </c>
      <c r="AZ55" s="31" t="n"/>
      <c r="BA55" s="1">
        <f>C55+BD55</f>
        <v/>
      </c>
      <c r="BB55" s="42">
        <f>AB55-AD55</f>
        <v/>
      </c>
      <c r="BC55" s="42">
        <f>C55</f>
        <v/>
      </c>
      <c r="BD55" s="43">
        <f>BDP($B$55,"TRAIL_12M_EBITDA")</f>
        <v/>
      </c>
      <c r="BE55" s="43">
        <f>_xll.BDP("AXP US Equity","TRAIL_12M_EBITDA")</f>
        <v/>
      </c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</row>
    <row r="56">
      <c r="A56" s="1" t="inlineStr">
        <is>
          <t>AON</t>
        </is>
      </c>
      <c r="B56" s="1" t="inlineStr">
        <is>
          <t>AON US Equity</t>
        </is>
      </c>
      <c r="C56" s="43">
        <f>BDP($B$56,"CUR_MKT_CAP")/1000000000</f>
        <v/>
      </c>
      <c r="D56" s="44">
        <f>BDP($B$56,"PX_LAST")</f>
        <v/>
      </c>
      <c r="E56" s="45">
        <f>IF(BDP($B$56,"BEST_EPS","BEST_FPERIOD_OVERRIDE","26Y")&lt;&gt;0,$D$56/BDP($B$56,"BEST_EPS","BEST_FPERIOD_OVERRIDE","26Y"),"")</f>
        <v/>
      </c>
      <c r="F56" s="45">
        <f>IF(BDP($B$56,"BEST_EPS","BEST_FPERIOD_OVERRIDE","27Y")&lt;&gt;0,$D$56/BDP($B$56,"BEST_EPS","BEST_FPERIOD_OVERRIDE","27Y"),"")</f>
        <v/>
      </c>
      <c r="G56" s="45">
        <f>IF(BDP($B$56,"BEST_EPS","BEST_FPERIOD_OVERRIDE","28Y")&lt;&gt;0,$D$56/BDP($B$56,"BEST_EPS","BEST_FPERIOD_OVERRIDE","28Y"),"")</f>
        <v/>
      </c>
      <c r="H56" s="46">
        <f>BDP($B$56,"NET_DEBT_TO_EBITDA")</f>
        <v/>
      </c>
      <c r="I56" s="43">
        <f>BDP($B$56,"BEST_SALES","BEST_FPERIOD_OVERRIDE","26Y")/1000</f>
        <v/>
      </c>
      <c r="J56" s="47">
        <f>IF(BDP($B$56,"BEST_SALES","BEST_FPERIOD_OVERRIDE","26Y")&lt;&gt;0,BDP($B$56,"BEST_EBIT","BEST_FPERIOD_OVERRIDE","26Y")/BDP($B$56,"BEST_SALES","BEST_FPERIOD_OVERRIDE","26Y"),"")</f>
        <v/>
      </c>
      <c r="K56" s="47">
        <f>BDP($B$56,"RETURN_ON_INV_CAPITAL")/100</f>
        <v/>
      </c>
      <c r="L56" s="47">
        <f>IF(AND(BDP($B$56,"BEST_SALES","BEST_FPERIOD_OVERRIDE","25Y")&gt;0,BDP($B$56,"BEST_SALES","BEST_FPERIOD_OVERRIDE","28Y")&gt;0),(BDP($B$56,"BEST_SALES","BEST_FPERIOD_OVERRIDE","28Y")/BDP($B$56,"BEST_SALES","BEST_FPERIOD_OVERRIDE","25Y"))^(1/3)-1,"")</f>
        <v/>
      </c>
      <c r="M56" s="43">
        <f>IF(AND(BDP($B$56,"BEST_EBIT","BEST_FPERIOD_OVERRIDE","25Y")&gt;0,BDP($B$56,"BEST_EBIT","BEST_FPERIOD_OVERRIDE","28Y")&gt;0),(BDP($B$56,"BEST_EBIT","BEST_FPERIOD_OVERRIDE","28Y")/BDP($B$56,"BEST_EBIT","BEST_FPERIOD_OVERRIDE","25Y"))^(1/3)-1,"")</f>
        <v/>
      </c>
      <c r="N56" s="47">
        <f>IF(AND(BDP($B$56,"BEST_EPS","BEST_FPERIOD_OVERRIDE","25Y")&gt;0,BDP($B$56,"BEST_EPS","BEST_FPERIOD_OVERRIDE","28Y")&gt;0),(BDP($B$56,"BEST_EPS","BEST_FPERIOD_OVERRIDE","28Y")/BDP($B$56,"BEST_EPS","BEST_FPERIOD_OVERRIDE","25Y"))^(1/3)-1,"")</f>
        <v/>
      </c>
      <c r="O56" s="1" t="n"/>
      <c r="P56" s="47">
        <f>BDP($B$56,"CHG_PCT_YTD")/100</f>
        <v/>
      </c>
      <c r="Q56" s="1" t="n"/>
      <c r="R56" s="1" t="n"/>
      <c r="S56" s="42">
        <f>IF(AND(E56&lt;&gt;"",N56&lt;&gt;"",N56&lt;&gt;0),E56/(N56*100),"")</f>
        <v/>
      </c>
      <c r="T56" s="1" t="n"/>
      <c r="U56" s="26" t="inlineStr">
        <is>
          <t>Dec</t>
        </is>
      </c>
      <c r="V56" s="1" t="n"/>
      <c r="W56" s="1" t="n"/>
      <c r="X56" s="1" t="n"/>
      <c r="Y56" s="1" t="n"/>
      <c r="Z56" s="1" t="n"/>
      <c r="AA56" s="48">
        <f>BDP($B$56,"TRAIL_12M_OPER_INC")</f>
        <v/>
      </c>
      <c r="AB56" s="43">
        <f>BDP($B$56,"SHORT_AND_LONG_TERM_DEBT")</f>
        <v/>
      </c>
      <c r="AC56" s="43">
        <f>BDP($B$56,"TOTAL_EQUITY")</f>
        <v/>
      </c>
      <c r="AD56" s="43">
        <f>BDP($B$56,"BS_CASH_NEAR_CASH_ITEM")</f>
        <v/>
      </c>
      <c r="AE56" s="43">
        <f>BDP($B$56,"BS_LT_INVEST")</f>
        <v/>
      </c>
      <c r="AF56" s="31">
        <f>AB56+AC56</f>
        <v/>
      </c>
      <c r="AG56" s="43">
        <f>BDP($B$56,"RETURN_ON_INV_CAPITAL")/100</f>
        <v/>
      </c>
      <c r="AH56" s="49" t="n"/>
      <c r="AI56" s="48">
        <f>BDP($B$56,"BEST_EPS","BEST_FPERIOD_OVERRIDE","24Y")</f>
        <v/>
      </c>
      <c r="AJ56" s="43">
        <f>BDP($B$56,"BEST_EPS","BEST_FPERIOD_OVERRIDE","25Y")</f>
        <v/>
      </c>
      <c r="AK56" s="43">
        <f>BDP($B$56,"BEST_EPS","BEST_FPERIOD_OVERRIDE","26Y")</f>
        <v/>
      </c>
      <c r="AL56" s="43">
        <f>BDP($B$56,"BEST_EPS","BEST_FPERIOD_OVERRIDE","27Y")</f>
        <v/>
      </c>
      <c r="AM56" s="43">
        <f>BDP($B$56,"BEST_EPS","BEST_FPERIOD_OVERRIDE","28Y")</f>
        <v/>
      </c>
      <c r="AN56" s="31" t="n"/>
      <c r="AO56" s="48">
        <f>BDP($B$56,"BEST_SALES","BEST_FPERIOD_OVERRIDE","24Y")</f>
        <v/>
      </c>
      <c r="AP56" s="43">
        <f>BDP($B$56,"BEST_SALES","BEST_FPERIOD_OVERRIDE","25Y")</f>
        <v/>
      </c>
      <c r="AQ56" s="43">
        <f>BDP($B$56,"BEST_SALES","BEST_FPERIOD_OVERRIDE","26Y")</f>
        <v/>
      </c>
      <c r="AR56" s="43">
        <f>BDP($B$56,"BEST_SALES","BEST_FPERIOD_OVERRIDE","27Y")</f>
        <v/>
      </c>
      <c r="AS56" s="43">
        <f>BDP($B$56,"BEST_SALES","BEST_FPERIOD_OVERRIDE","28Y")</f>
        <v/>
      </c>
      <c r="AT56" s="31" t="n"/>
      <c r="AU56" s="48">
        <f>BDP($B$56,"BEST_EBIT","BEST_FPERIOD_OVERRIDE","24Y")</f>
        <v/>
      </c>
      <c r="AV56" s="43">
        <f>BDP($B$56,"BEST_EBIT","BEST_FPERIOD_OVERRIDE","25Y")</f>
        <v/>
      </c>
      <c r="AW56" s="43">
        <f>BDP($B$56,"BEST_EBIT","BEST_FPERIOD_OVERRIDE","26Y")</f>
        <v/>
      </c>
      <c r="AX56" s="43">
        <f>BDP($B$56,"BEST_EBIT","BEST_FPERIOD_OVERRIDE","27Y")</f>
        <v/>
      </c>
      <c r="AY56" s="43">
        <f>BDP($B$56,"BEST_EBIT","BEST_FPERIOD_OVERRIDE","28Y")</f>
        <v/>
      </c>
      <c r="AZ56" s="31" t="n"/>
      <c r="BA56" s="1">
        <f>C56+BD56</f>
        <v/>
      </c>
      <c r="BB56" s="42">
        <f>AB56-AD56</f>
        <v/>
      </c>
      <c r="BC56" s="42">
        <f>C56</f>
        <v/>
      </c>
      <c r="BD56" s="43">
        <f>BDP($B$56,"TRAIL_12M_EBITDA")</f>
        <v/>
      </c>
      <c r="BE56" s="43">
        <f>_xll.BDP("AON US Equity","TRAIL_12M_EBITDA")</f>
        <v/>
      </c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</row>
    <row r="57">
      <c r="A57" s="1" t="inlineStr">
        <is>
          <t>MRSH</t>
        </is>
      </c>
      <c r="B57" s="1" t="inlineStr">
        <is>
          <t>MRSH US Equity</t>
        </is>
      </c>
      <c r="C57" s="43">
        <f>BDP($B$57,"CUR_MKT_CAP")/1000000000</f>
        <v/>
      </c>
      <c r="D57" s="44">
        <f>BDP($B$57,"PX_LAST")</f>
        <v/>
      </c>
      <c r="E57" s="45">
        <f>IF(BDP($B$57,"BEST_EPS","BEST_FPERIOD_OVERRIDE","26Y")&lt;&gt;0,$D$57/BDP($B$57,"BEST_EPS","BEST_FPERIOD_OVERRIDE","26Y"),"")</f>
        <v/>
      </c>
      <c r="F57" s="45">
        <f>IF(BDP($B$57,"BEST_EPS","BEST_FPERIOD_OVERRIDE","27Y")&lt;&gt;0,$D$57/BDP($B$57,"BEST_EPS","BEST_FPERIOD_OVERRIDE","27Y"),"")</f>
        <v/>
      </c>
      <c r="G57" s="45">
        <f>IF(BDP($B$57,"BEST_EPS","BEST_FPERIOD_OVERRIDE","28Y")&lt;&gt;0,$D$57/BDP($B$57,"BEST_EPS","BEST_FPERIOD_OVERRIDE","28Y"),"")</f>
        <v/>
      </c>
      <c r="H57" s="46">
        <f>BDP($B$57,"NET_DEBT_TO_EBITDA")</f>
        <v/>
      </c>
      <c r="I57" s="43">
        <f>BDP($B$57,"BEST_SALES","BEST_FPERIOD_OVERRIDE","26Y")/1000</f>
        <v/>
      </c>
      <c r="J57" s="47">
        <f>IF(BDP($B$57,"BEST_SALES","BEST_FPERIOD_OVERRIDE","26Y")&lt;&gt;0,BDP($B$57,"BEST_EBIT","BEST_FPERIOD_OVERRIDE","26Y")/BDP($B$57,"BEST_SALES","BEST_FPERIOD_OVERRIDE","26Y"),"")</f>
        <v/>
      </c>
      <c r="K57" s="47">
        <f>BDP($B$57,"RETURN_ON_INV_CAPITAL")/100</f>
        <v/>
      </c>
      <c r="L57" s="47">
        <f>IF(AND(BDP($B$57,"BEST_SALES","BEST_FPERIOD_OVERRIDE","25Y")&gt;0,BDP($B$57,"BEST_SALES","BEST_FPERIOD_OVERRIDE","28Y")&gt;0),(BDP($B$57,"BEST_SALES","BEST_FPERIOD_OVERRIDE","28Y")/BDP($B$57,"BEST_SALES","BEST_FPERIOD_OVERRIDE","25Y"))^(1/3)-1,"")</f>
        <v/>
      </c>
      <c r="M57" s="43">
        <f>IF(AND(BDP($B$57,"BEST_EBIT","BEST_FPERIOD_OVERRIDE","25Y")&gt;0,BDP($B$57,"BEST_EBIT","BEST_FPERIOD_OVERRIDE","28Y")&gt;0),(BDP($B$57,"BEST_EBIT","BEST_FPERIOD_OVERRIDE","28Y")/BDP($B$57,"BEST_EBIT","BEST_FPERIOD_OVERRIDE","25Y"))^(1/3)-1,"")</f>
        <v/>
      </c>
      <c r="N57" s="47">
        <f>IF(AND(BDP($B$57,"BEST_EPS","BEST_FPERIOD_OVERRIDE","25Y")&gt;0,BDP($B$57,"BEST_EPS","BEST_FPERIOD_OVERRIDE","28Y")&gt;0),(BDP($B$57,"BEST_EPS","BEST_FPERIOD_OVERRIDE","28Y")/BDP($B$57,"BEST_EPS","BEST_FPERIOD_OVERRIDE","25Y"))^(1/3)-1,"")</f>
        <v/>
      </c>
      <c r="O57" s="36" t="n"/>
      <c r="P57" s="47">
        <f>BDP($B$57,"CHG_PCT_YTD")/100</f>
        <v/>
      </c>
      <c r="Q57" s="36" t="n"/>
      <c r="R57" s="1" t="n"/>
      <c r="S57" s="42">
        <f>IF(AND(E57&lt;&gt;"",N57&lt;&gt;"",N57&lt;&gt;0),E57/(N57*100),"")</f>
        <v/>
      </c>
      <c r="T57" s="1" t="n"/>
      <c r="U57" s="26" t="inlineStr">
        <is>
          <t>Dec</t>
        </is>
      </c>
      <c r="V57" s="1" t="n"/>
      <c r="W57" s="1" t="n"/>
      <c r="X57" s="1" t="n"/>
      <c r="Y57" s="1" t="n"/>
      <c r="Z57" s="1" t="n"/>
      <c r="AA57" s="48">
        <f>BDP($B$57,"TRAIL_12M_OPER_INC")</f>
        <v/>
      </c>
      <c r="AB57" s="43">
        <f>BDP($B$57,"SHORT_AND_LONG_TERM_DEBT")</f>
        <v/>
      </c>
      <c r="AC57" s="43">
        <f>BDP($B$57,"TOTAL_EQUITY")</f>
        <v/>
      </c>
      <c r="AD57" s="43">
        <f>BDP($B$57,"BS_CASH_NEAR_CASH_ITEM")</f>
        <v/>
      </c>
      <c r="AE57" s="43">
        <f>BDP($B$57,"BS_LT_INVEST")</f>
        <v/>
      </c>
      <c r="AF57" s="31">
        <f>AB57+AC57</f>
        <v/>
      </c>
      <c r="AG57" s="43">
        <f>BDP($B$57,"RETURN_ON_INV_CAPITAL")/100</f>
        <v/>
      </c>
      <c r="AH57" s="49" t="n"/>
      <c r="AI57" s="48">
        <f>BDP($B$57,"BEST_EPS","BEST_FPERIOD_OVERRIDE","24Y")</f>
        <v/>
      </c>
      <c r="AJ57" s="43">
        <f>BDP($B$57,"BEST_EPS","BEST_FPERIOD_OVERRIDE","25Y")</f>
        <v/>
      </c>
      <c r="AK57" s="43">
        <f>BDP($B$57,"BEST_EPS","BEST_FPERIOD_OVERRIDE","26Y")</f>
        <v/>
      </c>
      <c r="AL57" s="43">
        <f>BDP($B$57,"BEST_EPS","BEST_FPERIOD_OVERRIDE","27Y")</f>
        <v/>
      </c>
      <c r="AM57" s="43">
        <f>BDP($B$57,"BEST_EPS","BEST_FPERIOD_OVERRIDE","28Y")</f>
        <v/>
      </c>
      <c r="AN57" s="31" t="n"/>
      <c r="AO57" s="48">
        <f>BDP($B$57,"BEST_SALES","BEST_FPERIOD_OVERRIDE","24Y")</f>
        <v/>
      </c>
      <c r="AP57" s="43">
        <f>BDP($B$57,"BEST_SALES","BEST_FPERIOD_OVERRIDE","25Y")</f>
        <v/>
      </c>
      <c r="AQ57" s="43">
        <f>BDP($B$57,"BEST_SALES","BEST_FPERIOD_OVERRIDE","26Y")</f>
        <v/>
      </c>
      <c r="AR57" s="43">
        <f>BDP($B$57,"BEST_SALES","BEST_FPERIOD_OVERRIDE","27Y")</f>
        <v/>
      </c>
      <c r="AS57" s="43">
        <f>BDP($B$57,"BEST_SALES","BEST_FPERIOD_OVERRIDE","28Y")</f>
        <v/>
      </c>
      <c r="AT57" s="31" t="n"/>
      <c r="AU57" s="48">
        <f>BDP($B$57,"BEST_EBIT","BEST_FPERIOD_OVERRIDE","24Y")</f>
        <v/>
      </c>
      <c r="AV57" s="43">
        <f>BDP($B$57,"BEST_EBIT","BEST_FPERIOD_OVERRIDE","25Y")</f>
        <v/>
      </c>
      <c r="AW57" s="43">
        <f>BDP($B$57,"BEST_EBIT","BEST_FPERIOD_OVERRIDE","26Y")</f>
        <v/>
      </c>
      <c r="AX57" s="43">
        <f>BDP($B$57,"BEST_EBIT","BEST_FPERIOD_OVERRIDE","27Y")</f>
        <v/>
      </c>
      <c r="AY57" s="43">
        <f>BDP($B$57,"BEST_EBIT","BEST_FPERIOD_OVERRIDE","28Y")</f>
        <v/>
      </c>
      <c r="AZ57" s="31" t="n"/>
      <c r="BA57" s="1">
        <f>C57+BD57</f>
        <v/>
      </c>
      <c r="BB57" s="42">
        <f>AB57-AD57</f>
        <v/>
      </c>
      <c r="BC57" s="42">
        <f>C57</f>
        <v/>
      </c>
      <c r="BD57" s="43">
        <f>BDP($B$57,"TRAIL_12M_EBITDA")</f>
        <v/>
      </c>
      <c r="BE57" s="31" t="n"/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</row>
    <row r="58">
      <c r="A58" s="1" t="inlineStr">
        <is>
          <t>MSCI</t>
        </is>
      </c>
      <c r="B58" s="1" t="inlineStr">
        <is>
          <t>MSCI US Equity</t>
        </is>
      </c>
      <c r="C58" s="43">
        <f>BDP($B$58,"CUR_MKT_CAP")/1000000000</f>
        <v/>
      </c>
      <c r="D58" s="44">
        <f>BDP($B$58,"PX_LAST")</f>
        <v/>
      </c>
      <c r="E58" s="45">
        <f>IF(BDP($B$58,"BEST_EPS","BEST_FPERIOD_OVERRIDE","26Y")&lt;&gt;0,$D$58/BDP($B$58,"BEST_EPS","BEST_FPERIOD_OVERRIDE","26Y"),"")</f>
        <v/>
      </c>
      <c r="F58" s="45">
        <f>IF(BDP($B$58,"BEST_EPS","BEST_FPERIOD_OVERRIDE","27Y")&lt;&gt;0,$D$58/BDP($B$58,"BEST_EPS","BEST_FPERIOD_OVERRIDE","27Y"),"")</f>
        <v/>
      </c>
      <c r="G58" s="45">
        <f>IF(BDP($B$58,"BEST_EPS","BEST_FPERIOD_OVERRIDE","28Y")&lt;&gt;0,$D$58/BDP($B$58,"BEST_EPS","BEST_FPERIOD_OVERRIDE","28Y"),"")</f>
        <v/>
      </c>
      <c r="H58" s="46">
        <f>BDP($B$58,"NET_DEBT_TO_EBITDA")</f>
        <v/>
      </c>
      <c r="I58" s="43">
        <f>BDP($B$58,"BEST_SALES","BEST_FPERIOD_OVERRIDE","26Y")/1000</f>
        <v/>
      </c>
      <c r="J58" s="47">
        <f>IF(BDP($B$58,"BEST_SALES","BEST_FPERIOD_OVERRIDE","26Y")&lt;&gt;0,BDP($B$58,"BEST_EBIT","BEST_FPERIOD_OVERRIDE","26Y")/BDP($B$58,"BEST_SALES","BEST_FPERIOD_OVERRIDE","26Y"),"")</f>
        <v/>
      </c>
      <c r="K58" s="47">
        <f>BDP($B$58,"RETURN_ON_INV_CAPITAL")/100</f>
        <v/>
      </c>
      <c r="L58" s="47">
        <f>IF(AND(BDP($B$58,"BEST_SALES","BEST_FPERIOD_OVERRIDE","25Y")&gt;0,BDP($B$58,"BEST_SALES","BEST_FPERIOD_OVERRIDE","28Y")&gt;0),(BDP($B$58,"BEST_SALES","BEST_FPERIOD_OVERRIDE","28Y")/BDP($B$58,"BEST_SALES","BEST_FPERIOD_OVERRIDE","25Y"))^(1/3)-1,"")</f>
        <v/>
      </c>
      <c r="M58" s="43">
        <f>IF(AND(BDP($B$58,"BEST_EBIT","BEST_FPERIOD_OVERRIDE","25Y")&gt;0,BDP($B$58,"BEST_EBIT","BEST_FPERIOD_OVERRIDE","28Y")&gt;0),(BDP($B$58,"BEST_EBIT","BEST_FPERIOD_OVERRIDE","28Y")/BDP($B$58,"BEST_EBIT","BEST_FPERIOD_OVERRIDE","25Y"))^(1/3)-1,"")</f>
        <v/>
      </c>
      <c r="N58" s="47">
        <f>IF(AND(BDP($B$58,"BEST_EPS","BEST_FPERIOD_OVERRIDE","25Y")&gt;0,BDP($B$58,"BEST_EPS","BEST_FPERIOD_OVERRIDE","28Y")&gt;0),(BDP($B$58,"BEST_EPS","BEST_FPERIOD_OVERRIDE","28Y")/BDP($B$58,"BEST_EPS","BEST_FPERIOD_OVERRIDE","25Y"))^(1/3)-1,"")</f>
        <v/>
      </c>
      <c r="O58" s="1" t="n"/>
      <c r="P58" s="47">
        <f>BDP($B$58,"CHG_PCT_YTD")/100</f>
        <v/>
      </c>
      <c r="Q58" s="1" t="n"/>
      <c r="R58" s="1" t="n"/>
      <c r="S58" s="42">
        <f>IF(AND(E58&lt;&gt;"",N58&lt;&gt;"",N58&lt;&gt;0),E58/(N58*100),"")</f>
        <v/>
      </c>
      <c r="T58" s="1" t="n"/>
      <c r="U58" s="26" t="inlineStr">
        <is>
          <t>Dec</t>
        </is>
      </c>
      <c r="V58" s="1" t="n"/>
      <c r="W58" s="1" t="n"/>
      <c r="X58" s="1" t="n"/>
      <c r="Y58" s="1" t="n"/>
      <c r="Z58" s="1" t="n"/>
      <c r="AA58" s="48">
        <f>BDP($B$58,"TRAIL_12M_OPER_INC")</f>
        <v/>
      </c>
      <c r="AB58" s="43">
        <f>BDP($B$58,"SHORT_AND_LONG_TERM_DEBT")</f>
        <v/>
      </c>
      <c r="AC58" s="43">
        <f>BDP($B$58,"TOTAL_EQUITY")</f>
        <v/>
      </c>
      <c r="AD58" s="43">
        <f>BDP($B$58,"BS_CASH_NEAR_CASH_ITEM")</f>
        <v/>
      </c>
      <c r="AE58" s="43">
        <f>BDP($B$58,"BS_LT_INVEST")</f>
        <v/>
      </c>
      <c r="AF58" s="31">
        <f>AB58+AC58</f>
        <v/>
      </c>
      <c r="AG58" s="43">
        <f>BDP($B$58,"RETURN_ON_INV_CAPITAL")/100</f>
        <v/>
      </c>
      <c r="AH58" s="49" t="n"/>
      <c r="AI58" s="48">
        <f>BDP($B$58,"BEST_EPS","BEST_FPERIOD_OVERRIDE","24Y")</f>
        <v/>
      </c>
      <c r="AJ58" s="43">
        <f>BDP($B$58,"BEST_EPS","BEST_FPERIOD_OVERRIDE","25Y")</f>
        <v/>
      </c>
      <c r="AK58" s="43">
        <f>BDP($B$58,"BEST_EPS","BEST_FPERIOD_OVERRIDE","26Y")</f>
        <v/>
      </c>
      <c r="AL58" s="43">
        <f>BDP($B$58,"BEST_EPS","BEST_FPERIOD_OVERRIDE","27Y")</f>
        <v/>
      </c>
      <c r="AM58" s="43">
        <f>BDP($B$58,"BEST_EPS","BEST_FPERIOD_OVERRIDE","28Y")</f>
        <v/>
      </c>
      <c r="AN58" s="31" t="n"/>
      <c r="AO58" s="48">
        <f>BDP($B$58,"BEST_SALES","BEST_FPERIOD_OVERRIDE","24Y")</f>
        <v/>
      </c>
      <c r="AP58" s="43">
        <f>BDP($B$58,"BEST_SALES","BEST_FPERIOD_OVERRIDE","25Y")</f>
        <v/>
      </c>
      <c r="AQ58" s="43">
        <f>BDP($B$58,"BEST_SALES","BEST_FPERIOD_OVERRIDE","26Y")</f>
        <v/>
      </c>
      <c r="AR58" s="43">
        <f>BDP($B$58,"BEST_SALES","BEST_FPERIOD_OVERRIDE","27Y")</f>
        <v/>
      </c>
      <c r="AS58" s="43">
        <f>BDP($B$58,"BEST_SALES","BEST_FPERIOD_OVERRIDE","28Y")</f>
        <v/>
      </c>
      <c r="AT58" s="31" t="n"/>
      <c r="AU58" s="48">
        <f>BDP($B$58,"BEST_EBIT","BEST_FPERIOD_OVERRIDE","24Y")</f>
        <v/>
      </c>
      <c r="AV58" s="43">
        <f>BDP($B$58,"BEST_EBIT","BEST_FPERIOD_OVERRIDE","25Y")</f>
        <v/>
      </c>
      <c r="AW58" s="43">
        <f>BDP($B$58,"BEST_EBIT","BEST_FPERIOD_OVERRIDE","26Y")</f>
        <v/>
      </c>
      <c r="AX58" s="43">
        <f>BDP($B$58,"BEST_EBIT","BEST_FPERIOD_OVERRIDE","27Y")</f>
        <v/>
      </c>
      <c r="AY58" s="43">
        <f>BDP($B$58,"BEST_EBIT","BEST_FPERIOD_OVERRIDE","28Y")</f>
        <v/>
      </c>
      <c r="AZ58" s="31" t="n"/>
      <c r="BA58" s="1">
        <f>C58+BD58</f>
        <v/>
      </c>
      <c r="BB58" s="42">
        <f>AB58-AD58</f>
        <v/>
      </c>
      <c r="BC58" s="42">
        <f>C58</f>
        <v/>
      </c>
      <c r="BD58" s="43">
        <f>BDP($B$58,"TRAIL_12M_EBITDA")</f>
        <v/>
      </c>
      <c r="BE58" s="43">
        <f>_xll.BDP("MSCI US Equity","TRAIL_12M_EBITDA")</f>
        <v/>
      </c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</row>
    <row r="59">
      <c r="A59" s="1" t="inlineStr">
        <is>
          <t>FICO</t>
        </is>
      </c>
      <c r="B59" s="1" t="inlineStr">
        <is>
          <t>FICO US Equity</t>
        </is>
      </c>
      <c r="C59" s="43">
        <f>BDP($B$59,"CUR_MKT_CAP")/1000000000</f>
        <v/>
      </c>
      <c r="D59" s="44">
        <f>BDP($B$59,"PX_LAST")</f>
        <v/>
      </c>
      <c r="E59" s="45">
        <f>IF(BDP($B$59,"BEST_EPS","BEST_FPERIOD_OVERRIDE","26Y")&lt;&gt;0,$D$59/BDP($B$59,"BEST_EPS","BEST_FPERIOD_OVERRIDE","26Y"),"")</f>
        <v/>
      </c>
      <c r="F59" s="45">
        <f>IF(BDP($B$59,"BEST_EPS","BEST_FPERIOD_OVERRIDE","27Y")&lt;&gt;0,$D$59/BDP($B$59,"BEST_EPS","BEST_FPERIOD_OVERRIDE","27Y"),"")</f>
        <v/>
      </c>
      <c r="G59" s="45">
        <f>IF(BDP($B$59,"BEST_EPS","BEST_FPERIOD_OVERRIDE","28Y")&lt;&gt;0,$D$59/BDP($B$59,"BEST_EPS","BEST_FPERIOD_OVERRIDE","28Y"),"")</f>
        <v/>
      </c>
      <c r="H59" s="46">
        <f>BDP($B$59,"NET_DEBT_TO_EBITDA")</f>
        <v/>
      </c>
      <c r="I59" s="43">
        <f>BDP($B$59,"BEST_SALES","BEST_FPERIOD_OVERRIDE","26Y")/1000</f>
        <v/>
      </c>
      <c r="J59" s="47">
        <f>IF(BDP($B$59,"BEST_SALES","BEST_FPERIOD_OVERRIDE","26Y")&lt;&gt;0,BDP($B$59,"BEST_EBIT","BEST_FPERIOD_OVERRIDE","26Y")/BDP($B$59,"BEST_SALES","BEST_FPERIOD_OVERRIDE","26Y"),"")</f>
        <v/>
      </c>
      <c r="K59" s="47">
        <f>BDP($B$59,"RETURN_ON_INV_CAPITAL")/100</f>
        <v/>
      </c>
      <c r="L59" s="47">
        <f>IF(AND(BDP($B$59,"BEST_SALES","BEST_FPERIOD_OVERRIDE","25Y")&gt;0,BDP($B$59,"BEST_SALES","BEST_FPERIOD_OVERRIDE","28Y")&gt;0),(BDP($B$59,"BEST_SALES","BEST_FPERIOD_OVERRIDE","28Y")/BDP($B$59,"BEST_SALES","BEST_FPERIOD_OVERRIDE","25Y"))^(1/3)-1,"")</f>
        <v/>
      </c>
      <c r="M59" s="43">
        <f>IF(AND(BDP($B$59,"BEST_EBIT","BEST_FPERIOD_OVERRIDE","25Y")&gt;0,BDP($B$59,"BEST_EBIT","BEST_FPERIOD_OVERRIDE","28Y")&gt;0),(BDP($B$59,"BEST_EBIT","BEST_FPERIOD_OVERRIDE","28Y")/BDP($B$59,"BEST_EBIT","BEST_FPERIOD_OVERRIDE","25Y"))^(1/3)-1,"")</f>
        <v/>
      </c>
      <c r="N59" s="47">
        <f>IF(AND(BDP($B$59,"BEST_EPS","BEST_FPERIOD_OVERRIDE","25Y")&gt;0,BDP($B$59,"BEST_EPS","BEST_FPERIOD_OVERRIDE","28Y")&gt;0),(BDP($B$59,"BEST_EPS","BEST_FPERIOD_OVERRIDE","28Y")/BDP($B$59,"BEST_EPS","BEST_FPERIOD_OVERRIDE","25Y"))^(1/3)-1,"")</f>
        <v/>
      </c>
      <c r="O59" s="1" t="n"/>
      <c r="P59" s="47">
        <f>BDP($B$59,"CHG_PCT_YTD")/100</f>
        <v/>
      </c>
      <c r="Q59" s="1" t="n"/>
      <c r="R59" s="1" t="n"/>
      <c r="S59" s="42">
        <f>IF(AND(E59&lt;&gt;"",N59&lt;&gt;"",N59&lt;&gt;0),E59/(N59*100),"")</f>
        <v/>
      </c>
      <c r="T59" s="1" t="n"/>
      <c r="U59" s="26" t="inlineStr">
        <is>
          <t>Sep</t>
        </is>
      </c>
      <c r="V59" s="1" t="n"/>
      <c r="W59" s="1" t="n"/>
      <c r="X59" s="1" t="n"/>
      <c r="Y59" s="1" t="n"/>
      <c r="Z59" s="1" t="n"/>
      <c r="AA59" s="48">
        <f>BDP($B$59,"TRAIL_12M_OPER_INC")</f>
        <v/>
      </c>
      <c r="AB59" s="43">
        <f>BDP($B$59,"SHORT_AND_LONG_TERM_DEBT")</f>
        <v/>
      </c>
      <c r="AC59" s="43">
        <f>BDP($B$59,"TOTAL_EQUITY")</f>
        <v/>
      </c>
      <c r="AD59" s="43">
        <f>BDP($B$59,"BS_CASH_NEAR_CASH_ITEM")</f>
        <v/>
      </c>
      <c r="AE59" s="43">
        <f>BDP($B$59,"BS_LT_INVEST")</f>
        <v/>
      </c>
      <c r="AF59" s="31">
        <f>AB59+AC59</f>
        <v/>
      </c>
      <c r="AG59" s="43">
        <f>BDP($B$59,"RETURN_ON_INV_CAPITAL")/100</f>
        <v/>
      </c>
      <c r="AH59" s="49" t="n"/>
      <c r="AI59" s="48">
        <f>BDP($B$59,"BEST_EPS","BEST_FPERIOD_OVERRIDE","24Y")</f>
        <v/>
      </c>
      <c r="AJ59" s="43">
        <f>BDP($B$59,"BEST_EPS","BEST_FPERIOD_OVERRIDE","25Y")</f>
        <v/>
      </c>
      <c r="AK59" s="43">
        <f>BDP($B$59,"BEST_EPS","BEST_FPERIOD_OVERRIDE","26Y")</f>
        <v/>
      </c>
      <c r="AL59" s="43">
        <f>BDP($B$59,"BEST_EPS","BEST_FPERIOD_OVERRIDE","27Y")</f>
        <v/>
      </c>
      <c r="AM59" s="43">
        <f>BDP($B$59,"BEST_EPS","BEST_FPERIOD_OVERRIDE","28Y")</f>
        <v/>
      </c>
      <c r="AN59" s="31" t="n"/>
      <c r="AO59" s="48">
        <f>BDP($B$59,"BEST_SALES","BEST_FPERIOD_OVERRIDE","24Y")</f>
        <v/>
      </c>
      <c r="AP59" s="43">
        <f>BDP($B$59,"BEST_SALES","BEST_FPERIOD_OVERRIDE","25Y")</f>
        <v/>
      </c>
      <c r="AQ59" s="43">
        <f>BDP($B$59,"BEST_SALES","BEST_FPERIOD_OVERRIDE","26Y")</f>
        <v/>
      </c>
      <c r="AR59" s="43">
        <f>BDP($B$59,"BEST_SALES","BEST_FPERIOD_OVERRIDE","27Y")</f>
        <v/>
      </c>
      <c r="AS59" s="43">
        <f>BDP($B$59,"BEST_SALES","BEST_FPERIOD_OVERRIDE","28Y")</f>
        <v/>
      </c>
      <c r="AT59" s="31" t="n"/>
      <c r="AU59" s="48">
        <f>BDP($B$59,"BEST_EBIT","BEST_FPERIOD_OVERRIDE","24Y")</f>
        <v/>
      </c>
      <c r="AV59" s="43">
        <f>BDP($B$59,"BEST_EBIT","BEST_FPERIOD_OVERRIDE","25Y")</f>
        <v/>
      </c>
      <c r="AW59" s="43">
        <f>BDP($B$59,"BEST_EBIT","BEST_FPERIOD_OVERRIDE","26Y")</f>
        <v/>
      </c>
      <c r="AX59" s="43">
        <f>BDP($B$59,"BEST_EBIT","BEST_FPERIOD_OVERRIDE","27Y")</f>
        <v/>
      </c>
      <c r="AY59" s="43">
        <f>BDP($B$59,"BEST_EBIT","BEST_FPERIOD_OVERRIDE","28Y")</f>
        <v/>
      </c>
      <c r="AZ59" s="31" t="n"/>
      <c r="BA59" s="1">
        <f>C59+BD59</f>
        <v/>
      </c>
      <c r="BB59" s="42">
        <f>AB59-AD59</f>
        <v/>
      </c>
      <c r="BC59" s="42">
        <f>C59</f>
        <v/>
      </c>
      <c r="BD59" s="43">
        <f>BDP($B$59,"TRAIL_12M_EBITDA")</f>
        <v/>
      </c>
      <c r="BE59" s="43">
        <f>_xll.BDP("FICO US Equity","TRAIL_12M_EBITDA")</f>
        <v/>
      </c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</row>
    <row r="60">
      <c r="A60" s="1" t="inlineStr">
        <is>
          <t>PGR</t>
        </is>
      </c>
      <c r="B60" s="1" t="inlineStr">
        <is>
          <t>PGR US Equity</t>
        </is>
      </c>
      <c r="C60" s="43">
        <f>BDP($B$60,"CUR_MKT_CAP")/1000000000</f>
        <v/>
      </c>
      <c r="D60" s="44">
        <f>BDP($B$60,"PX_LAST")</f>
        <v/>
      </c>
      <c r="E60" s="45">
        <f>IF(BDP($B$60,"BEST_EPS","BEST_FPERIOD_OVERRIDE","26Y")&lt;&gt;0,$D$60/BDP($B$60,"BEST_EPS","BEST_FPERIOD_OVERRIDE","26Y"),"")</f>
        <v/>
      </c>
      <c r="F60" s="45">
        <f>IF(BDP($B$60,"BEST_EPS","BEST_FPERIOD_OVERRIDE","27Y")&lt;&gt;0,$D$60/BDP($B$60,"BEST_EPS","BEST_FPERIOD_OVERRIDE","27Y"),"")</f>
        <v/>
      </c>
      <c r="G60" s="45">
        <f>IF(BDP($B$60,"BEST_EPS","BEST_FPERIOD_OVERRIDE","28Y")&lt;&gt;0,$D$60/BDP($B$60,"BEST_EPS","BEST_FPERIOD_OVERRIDE","28Y"),"")</f>
        <v/>
      </c>
      <c r="H60" s="46">
        <f>BDP($B$60,"NET_DEBT_TO_EBITDA")</f>
        <v/>
      </c>
      <c r="I60" s="43">
        <f>BDP($B$60,"BEST_SALES","BEST_FPERIOD_OVERRIDE","26Y")/1000</f>
        <v/>
      </c>
      <c r="J60" s="47">
        <f>IF(BDP($B$60,"BEST_SALES","BEST_FPERIOD_OVERRIDE","26Y")&lt;&gt;0,BDP($B$60,"BEST_EBIT","BEST_FPERIOD_OVERRIDE","26Y")/BDP($B$60,"BEST_SALES","BEST_FPERIOD_OVERRIDE","26Y"),"")</f>
        <v/>
      </c>
      <c r="K60" s="47">
        <f>BDP($B$60,"RETURN_ON_INV_CAPITAL")/100</f>
        <v/>
      </c>
      <c r="L60" s="47">
        <f>IF(AND(BDP($B$60,"BEST_SALES","BEST_FPERIOD_OVERRIDE","25Y")&gt;0,BDP($B$60,"BEST_SALES","BEST_FPERIOD_OVERRIDE","28Y")&gt;0),(BDP($B$60,"BEST_SALES","BEST_FPERIOD_OVERRIDE","28Y")/BDP($B$60,"BEST_SALES","BEST_FPERIOD_OVERRIDE","25Y"))^(1/3)-1,"")</f>
        <v/>
      </c>
      <c r="M60" s="43">
        <f>IF(AND(BDP($B$60,"BEST_EBIT","BEST_FPERIOD_OVERRIDE","25Y")&gt;0,BDP($B$60,"BEST_EBIT","BEST_FPERIOD_OVERRIDE","28Y")&gt;0),(BDP($B$60,"BEST_EBIT","BEST_FPERIOD_OVERRIDE","28Y")/BDP($B$60,"BEST_EBIT","BEST_FPERIOD_OVERRIDE","25Y"))^(1/3)-1,"")</f>
        <v/>
      </c>
      <c r="N60" s="47">
        <f>IF(AND(BDP($B$60,"BEST_EPS","BEST_FPERIOD_OVERRIDE","25Y")&gt;0,BDP($B$60,"BEST_EPS","BEST_FPERIOD_OVERRIDE","28Y")&gt;0),(BDP($B$60,"BEST_EPS","BEST_FPERIOD_OVERRIDE","28Y")/BDP($B$60,"BEST_EPS","BEST_FPERIOD_OVERRIDE","25Y"))^(1/3)-1,"")</f>
        <v/>
      </c>
      <c r="O60" s="1" t="n"/>
      <c r="P60" s="47">
        <f>BDP($B$60,"CHG_PCT_YTD")/100</f>
        <v/>
      </c>
      <c r="Q60" s="1" t="n"/>
      <c r="R60" s="1" t="n"/>
      <c r="S60" s="42">
        <f>IF(AND(E60&lt;&gt;"",N60&lt;&gt;"",N60&lt;&gt;0),E60/(N60*100),"")</f>
        <v/>
      </c>
      <c r="T60" s="1" t="n"/>
      <c r="U60" s="26" t="inlineStr">
        <is>
          <t>Dec</t>
        </is>
      </c>
      <c r="V60" s="1" t="n"/>
      <c r="W60" s="1" t="n"/>
      <c r="X60" s="1" t="n"/>
      <c r="Y60" s="1" t="n"/>
      <c r="Z60" s="1" t="n"/>
      <c r="AA60" s="48">
        <f>BDP($B$60,"TRAIL_12M_OPER_INC")</f>
        <v/>
      </c>
      <c r="AB60" s="43">
        <f>BDP($B$60,"SHORT_AND_LONG_TERM_DEBT")</f>
        <v/>
      </c>
      <c r="AC60" s="43">
        <f>BDP($B$60,"TOTAL_EQUITY")</f>
        <v/>
      </c>
      <c r="AD60" s="43">
        <f>BDP($B$60,"BS_CASH_NEAR_CASH_ITEM")</f>
        <v/>
      </c>
      <c r="AE60" s="43">
        <f>BDP($B$60,"BS_LT_INVEST")</f>
        <v/>
      </c>
      <c r="AF60" s="31">
        <f>AB60+AC60</f>
        <v/>
      </c>
      <c r="AG60" s="43">
        <f>BDP($B$60,"RETURN_ON_INV_CAPITAL")/100</f>
        <v/>
      </c>
      <c r="AH60" s="49" t="n"/>
      <c r="AI60" s="48">
        <f>BDP($B$60,"BEST_EPS","BEST_FPERIOD_OVERRIDE","24Y")</f>
        <v/>
      </c>
      <c r="AJ60" s="43">
        <f>BDP($B$60,"BEST_EPS","BEST_FPERIOD_OVERRIDE","25Y")</f>
        <v/>
      </c>
      <c r="AK60" s="43">
        <f>BDP($B$60,"BEST_EPS","BEST_FPERIOD_OVERRIDE","26Y")</f>
        <v/>
      </c>
      <c r="AL60" s="43">
        <f>BDP($B$60,"BEST_EPS","BEST_FPERIOD_OVERRIDE","27Y")</f>
        <v/>
      </c>
      <c r="AM60" s="43">
        <f>BDP($B$60,"BEST_EPS","BEST_FPERIOD_OVERRIDE","28Y")</f>
        <v/>
      </c>
      <c r="AN60" s="31" t="n"/>
      <c r="AO60" s="48">
        <f>BDP($B$60,"BEST_SALES","BEST_FPERIOD_OVERRIDE","24Y")</f>
        <v/>
      </c>
      <c r="AP60" s="43">
        <f>BDP($B$60,"BEST_SALES","BEST_FPERIOD_OVERRIDE","25Y")</f>
        <v/>
      </c>
      <c r="AQ60" s="43">
        <f>BDP($B$60,"BEST_SALES","BEST_FPERIOD_OVERRIDE","26Y")</f>
        <v/>
      </c>
      <c r="AR60" s="43">
        <f>BDP($B$60,"BEST_SALES","BEST_FPERIOD_OVERRIDE","27Y")</f>
        <v/>
      </c>
      <c r="AS60" s="43">
        <f>BDP($B$60,"BEST_SALES","BEST_FPERIOD_OVERRIDE","28Y")</f>
        <v/>
      </c>
      <c r="AT60" s="31" t="n"/>
      <c r="AU60" s="48">
        <f>BDP($B$60,"BEST_EBIT","BEST_FPERIOD_OVERRIDE","24Y")</f>
        <v/>
      </c>
      <c r="AV60" s="43">
        <f>BDP($B$60,"BEST_EBIT","BEST_FPERIOD_OVERRIDE","25Y")</f>
        <v/>
      </c>
      <c r="AW60" s="43">
        <f>BDP($B$60,"BEST_EBIT","BEST_FPERIOD_OVERRIDE","26Y")</f>
        <v/>
      </c>
      <c r="AX60" s="43">
        <f>BDP($B$60,"BEST_EBIT","BEST_FPERIOD_OVERRIDE","27Y")</f>
        <v/>
      </c>
      <c r="AY60" s="43">
        <f>BDP($B$60,"BEST_EBIT","BEST_FPERIOD_OVERRIDE","28Y")</f>
        <v/>
      </c>
      <c r="AZ60" s="31" t="n"/>
      <c r="BA60" s="1">
        <f>C60+BD60</f>
        <v/>
      </c>
      <c r="BB60" s="42">
        <f>AB60-AD60</f>
        <v/>
      </c>
      <c r="BC60" s="42">
        <f>C60</f>
        <v/>
      </c>
      <c r="BD60" s="43">
        <f>BDP($B$60,"TRAIL_12M_EBITDA")</f>
        <v/>
      </c>
      <c r="BE60" s="43">
        <f>_xll.BDP("PGR US Equity","TRAIL_12M_EBITDA")</f>
        <v/>
      </c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</row>
    <row r="61">
      <c r="A61" t="inlineStr">
        <is>
          <t>CME</t>
        </is>
      </c>
      <c r="B61" t="inlineStr">
        <is>
          <t>CME US Equity</t>
        </is>
      </c>
      <c r="C61" s="43">
        <f>BDP($B$61,"CUR_MKT_CAP")/1000000000</f>
        <v/>
      </c>
      <c r="D61" s="44">
        <f>BDP($B$61,"PX_LAST")</f>
        <v/>
      </c>
      <c r="E61" s="45">
        <f>IF(BDP($B$61,"BEST_EPS","BEST_FPERIOD_OVERRIDE","26Y")&lt;&gt;0,$D$61/BDP($B$61,"BEST_EPS","BEST_FPERIOD_OVERRIDE","26Y"),"")</f>
        <v/>
      </c>
      <c r="F61" s="45">
        <f>IF(BDP($B$61,"BEST_EPS","BEST_FPERIOD_OVERRIDE","27Y")&lt;&gt;0,$D$61/BDP($B$61,"BEST_EPS","BEST_FPERIOD_OVERRIDE","27Y"),"")</f>
        <v/>
      </c>
      <c r="G61" s="45">
        <f>IF(BDP($B$61,"BEST_EPS","BEST_FPERIOD_OVERRIDE","28Y")&lt;&gt;0,$D$61/BDP($B$61,"BEST_EPS","BEST_FPERIOD_OVERRIDE","28Y"),"")</f>
        <v/>
      </c>
      <c r="H61" s="46">
        <f>BDP($B$61,"NET_DEBT_TO_EBITDA")</f>
        <v/>
      </c>
      <c r="I61" s="43">
        <f>BDP($B$61,"BEST_SALES","BEST_FPERIOD_OVERRIDE","26Y")/1000</f>
        <v/>
      </c>
      <c r="J61" s="47">
        <f>IF(BDP($B$61,"BEST_SALES","BEST_FPERIOD_OVERRIDE","26Y")&lt;&gt;0,BDP($B$61,"BEST_EBIT","BEST_FPERIOD_OVERRIDE","26Y")/BDP($B$61,"BEST_SALES","BEST_FPERIOD_OVERRIDE","26Y"),"")</f>
        <v/>
      </c>
      <c r="K61" s="47">
        <f>BDP($B$61,"RETURN_ON_INV_CAPITAL")/100</f>
        <v/>
      </c>
      <c r="L61" s="47">
        <f>IF(AND(BDP($B$61,"BEST_SALES","BEST_FPERIOD_OVERRIDE","25Y")&gt;0,BDP($B$61,"BEST_SALES","BEST_FPERIOD_OVERRIDE","28Y")&gt;0),(BDP($B$61,"BEST_SALES","BEST_FPERIOD_OVERRIDE","28Y")/BDP($B$61,"BEST_SALES","BEST_FPERIOD_OVERRIDE","25Y"))^(1/3)-1,"")</f>
        <v/>
      </c>
      <c r="M61" s="43">
        <f>IF(AND(BDP($B$61,"BEST_EBIT","BEST_FPERIOD_OVERRIDE","25Y")&gt;0,BDP($B$61,"BEST_EBIT","BEST_FPERIOD_OVERRIDE","28Y")&gt;0),(BDP($B$61,"BEST_EBIT","BEST_FPERIOD_OVERRIDE","28Y")/BDP($B$61,"BEST_EBIT","BEST_FPERIOD_OVERRIDE","25Y"))^(1/3)-1,"")</f>
        <v/>
      </c>
      <c r="N61" s="47">
        <f>IF(AND(BDP($B$61,"BEST_EPS","BEST_FPERIOD_OVERRIDE","25Y")&gt;0,BDP($B$61,"BEST_EPS","BEST_FPERIOD_OVERRIDE","28Y")&gt;0),(BDP($B$61,"BEST_EPS","BEST_FPERIOD_OVERRIDE","28Y")/BDP($B$61,"BEST_EPS","BEST_FPERIOD_OVERRIDE","25Y"))^(1/3)-1,"")</f>
        <v/>
      </c>
      <c r="O61" s="1" t="n"/>
      <c r="P61" s="47">
        <f>BDP($B$61,"CHG_PCT_YTD")/100</f>
        <v/>
      </c>
      <c r="Q61" s="1" t="n"/>
      <c r="R61" s="1" t="n"/>
      <c r="S61" s="42">
        <f>IF(AND(E61&lt;&gt;"",N61&lt;&gt;"",N61&lt;&gt;0),E61/(N61*100),"")</f>
        <v/>
      </c>
      <c r="U61" s="28" t="inlineStr">
        <is>
          <t>Dec</t>
        </is>
      </c>
      <c r="AA61" s="48">
        <f>BDP($B$61,"TRAIL_12M_OPER_INC")</f>
        <v/>
      </c>
      <c r="AB61" s="48">
        <f>BDP($B$61,"SHORT_AND_LONG_TERM_DEBT")</f>
        <v/>
      </c>
      <c r="AC61" s="48">
        <f>BDP($B$61,"TOTAL_EQUITY")</f>
        <v/>
      </c>
      <c r="AD61" s="48">
        <f>BDP($B$61,"BS_CASH_NEAR_CASH_ITEM")</f>
        <v/>
      </c>
      <c r="AE61" s="48">
        <f>BDP($B$61,"BS_LT_INVEST")</f>
        <v/>
      </c>
      <c r="AF61" s="36">
        <f>AB61+AC61</f>
        <v/>
      </c>
      <c r="AG61" s="48">
        <f>BDP($B$61,"RETURN_ON_INV_CAPITAL")/100</f>
        <v/>
      </c>
      <c r="AH61" s="36" t="n"/>
      <c r="AI61" s="48">
        <f>BDP($B$61,"BEST_EPS","BEST_FPERIOD_OVERRIDE","24Y")</f>
        <v/>
      </c>
      <c r="AJ61" s="48">
        <f>BDP($B$61,"BEST_EPS","BEST_FPERIOD_OVERRIDE","25Y")</f>
        <v/>
      </c>
      <c r="AK61" s="48">
        <f>BDP($B$61,"BEST_EPS","BEST_FPERIOD_OVERRIDE","26Y")</f>
        <v/>
      </c>
      <c r="AL61" s="48">
        <f>BDP($B$61,"BEST_EPS","BEST_FPERIOD_OVERRIDE","27Y")</f>
        <v/>
      </c>
      <c r="AM61" s="48">
        <f>BDP($B$61,"BEST_EPS","BEST_FPERIOD_OVERRIDE","28Y")</f>
        <v/>
      </c>
      <c r="AN61" s="36" t="n"/>
      <c r="AO61" s="48">
        <f>BDP($B$61,"BEST_SALES","BEST_FPERIOD_OVERRIDE","24Y")</f>
        <v/>
      </c>
      <c r="AP61" s="48">
        <f>BDP($B$61,"BEST_SALES","BEST_FPERIOD_OVERRIDE","25Y")</f>
        <v/>
      </c>
      <c r="AQ61" s="48">
        <f>BDP($B$61,"BEST_SALES","BEST_FPERIOD_OVERRIDE","26Y")</f>
        <v/>
      </c>
      <c r="AR61" s="48">
        <f>BDP($B$61,"BEST_SALES","BEST_FPERIOD_OVERRIDE","27Y")</f>
        <v/>
      </c>
      <c r="AS61" s="48">
        <f>BDP($B$61,"BEST_SALES","BEST_FPERIOD_OVERRIDE","28Y")</f>
        <v/>
      </c>
      <c r="AT61" s="36" t="n"/>
      <c r="AU61" s="48">
        <f>BDP($B$61,"BEST_EBIT","BEST_FPERIOD_OVERRIDE","24Y")</f>
        <v/>
      </c>
      <c r="AV61" s="48">
        <f>BDP($B$61,"BEST_EBIT","BEST_FPERIOD_OVERRIDE","25Y")</f>
        <v/>
      </c>
      <c r="AW61" s="48">
        <f>BDP($B$61,"BEST_EBIT","BEST_FPERIOD_OVERRIDE","26Y")</f>
        <v/>
      </c>
      <c r="AX61" s="48">
        <f>BDP($B$61,"BEST_EBIT","BEST_FPERIOD_OVERRIDE","27Y")</f>
        <v/>
      </c>
      <c r="AY61" s="48">
        <f>BDP($B$61,"BEST_EBIT","BEST_FPERIOD_OVERRIDE","28Y")</f>
        <v/>
      </c>
      <c r="AZ61" s="36" t="n"/>
      <c r="BA61">
        <f>C61+BD61</f>
        <v/>
      </c>
      <c r="BB61">
        <f>AB61-AD61</f>
        <v/>
      </c>
      <c r="BC61">
        <f>C61</f>
        <v/>
      </c>
      <c r="BD61" s="48">
        <f>BDP($B$61,"TRAIL_12M_EBITDA")</f>
        <v/>
      </c>
      <c r="BE61" s="48">
        <f>_xll.BDP("CME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s="43">
        <f>BDP($B$62,"CUR_MKT_CAP")/1000000000</f>
        <v/>
      </c>
      <c r="D62" s="44">
        <f>BDP($B$62,"PX_LAST")</f>
        <v/>
      </c>
      <c r="E62" s="45">
        <f>IF(BDP($B$62,"BEST_EPS","BEST_FPERIOD_OVERRIDE","26Y")&lt;&gt;0,$D$62/BDP($B$62,"BEST_EPS","BEST_FPERIOD_OVERRIDE","26Y"),"")</f>
        <v/>
      </c>
      <c r="F62" s="45">
        <f>IF(BDP($B$62,"BEST_EPS","BEST_FPERIOD_OVERRIDE","27Y")&lt;&gt;0,$D$62/BDP($B$62,"BEST_EPS","BEST_FPERIOD_OVERRIDE","27Y"),"")</f>
        <v/>
      </c>
      <c r="G62" s="45">
        <f>IF(BDP($B$62,"BEST_EPS","BEST_FPERIOD_OVERRIDE","28Y")&lt;&gt;0,$D$62/BDP($B$62,"BEST_EPS","BEST_FPERIOD_OVERRIDE","28Y"),"")</f>
        <v/>
      </c>
      <c r="H62" s="46">
        <f>BDP($B$62,"NET_DEBT_TO_EBITDA")</f>
        <v/>
      </c>
      <c r="I62" s="43">
        <f>BDP($B$62,"BEST_SALES","BEST_FPERIOD_OVERRIDE","26Y")/1000</f>
        <v/>
      </c>
      <c r="J62" s="47">
        <f>IF(BDP($B$62,"BEST_SALES","BEST_FPERIOD_OVERRIDE","26Y")&lt;&gt;0,BDP($B$62,"BEST_EBIT","BEST_FPERIOD_OVERRIDE","26Y")/BDP($B$62,"BEST_SALES","BEST_FPERIOD_OVERRIDE","26Y"),"")</f>
        <v/>
      </c>
      <c r="K62" s="47">
        <f>BDP($B$62,"RETURN_ON_INV_CAPITAL")/100</f>
        <v/>
      </c>
      <c r="L62" s="47">
        <f>IF(AND(BDP($B$62,"BEST_SALES","BEST_FPERIOD_OVERRIDE","25Y")&gt;0,BDP($B$62,"BEST_SALES","BEST_FPERIOD_OVERRIDE","28Y")&gt;0),(BDP($B$62,"BEST_SALES","BEST_FPERIOD_OVERRIDE","28Y")/BDP($B$62,"BEST_SALES","BEST_FPERIOD_OVERRIDE","25Y"))^(1/3)-1,"")</f>
        <v/>
      </c>
      <c r="M62" s="43">
        <f>IF(AND(BDP($B$62,"BEST_EBIT","BEST_FPERIOD_OVERRIDE","25Y")&gt;0,BDP($B$62,"BEST_EBIT","BEST_FPERIOD_OVERRIDE","28Y")&gt;0),(BDP($B$62,"BEST_EBIT","BEST_FPERIOD_OVERRIDE","28Y")/BDP($B$62,"BEST_EBIT","BEST_FPERIOD_OVERRIDE","25Y"))^(1/3)-1,"")</f>
        <v/>
      </c>
      <c r="N62" s="47">
        <f>IF(AND(BDP($B$62,"BEST_EPS","BEST_FPERIOD_OVERRIDE","25Y")&gt;0,BDP($B$62,"BEST_EPS","BEST_FPERIOD_OVERRIDE","28Y")&gt;0),(BDP($B$62,"BEST_EPS","BEST_FPERIOD_OVERRIDE","28Y")/BDP($B$62,"BEST_EPS","BEST_FPERIOD_OVERRIDE","25Y"))^(1/3)-1,"")</f>
        <v/>
      </c>
      <c r="O62" s="1" t="n"/>
      <c r="P62" s="47">
        <f>BDP($B$62,"CHG_PCT_YTD")/100</f>
        <v/>
      </c>
      <c r="Q62" s="1" t="n"/>
      <c r="R62" s="1" t="n"/>
      <c r="S62" s="42">
        <f>IF(AND(E62&lt;&gt;"",N62&lt;&gt;"",N62&lt;&gt;0),E62/(N62*100),"")</f>
        <v/>
      </c>
      <c r="U62" s="28" t="inlineStr">
        <is>
          <t>Dec</t>
        </is>
      </c>
      <c r="AA62" s="48">
        <f>BDP($B$62,"TRAIL_12M_OPER_INC")</f>
        <v/>
      </c>
      <c r="AB62" s="48">
        <f>BDP($B$62,"SHORT_AND_LONG_TERM_DEBT")</f>
        <v/>
      </c>
      <c r="AC62" s="48">
        <f>BDP($B$62,"TOTAL_EQUITY")</f>
        <v/>
      </c>
      <c r="AD62" s="48">
        <f>BDP($B$62,"BS_CASH_NEAR_CASH_ITEM")</f>
        <v/>
      </c>
      <c r="AE62" s="48">
        <f>BDP($B$62,"BS_LT_INVEST")</f>
        <v/>
      </c>
      <c r="AF62" s="36">
        <f>AB62+AC62</f>
        <v/>
      </c>
      <c r="AG62" s="48">
        <f>BDP($B$62,"RETURN_ON_INV_CAPITAL")/100</f>
        <v/>
      </c>
      <c r="AH62" s="36" t="n"/>
      <c r="AI62" s="48">
        <f>BDP($B$62,"BEST_EPS","BEST_FPERIOD_OVERRIDE","24Y")</f>
        <v/>
      </c>
      <c r="AJ62" s="48">
        <f>BDP($B$62,"BEST_EPS","BEST_FPERIOD_OVERRIDE","25Y")</f>
        <v/>
      </c>
      <c r="AK62" s="48">
        <f>BDP($B$62,"BEST_EPS","BEST_FPERIOD_OVERRIDE","26Y")</f>
        <v/>
      </c>
      <c r="AL62" s="48">
        <f>BDP($B$62,"BEST_EPS","BEST_FPERIOD_OVERRIDE","27Y")</f>
        <v/>
      </c>
      <c r="AM62" s="48">
        <f>BDP($B$62,"BEST_EPS","BEST_FPERIOD_OVERRIDE","28Y")</f>
        <v/>
      </c>
      <c r="AN62" s="36" t="n"/>
      <c r="AO62" s="48">
        <f>BDP($B$62,"BEST_SALES","BEST_FPERIOD_OVERRIDE","24Y")</f>
        <v/>
      </c>
      <c r="AP62" s="48">
        <f>BDP($B$62,"BEST_SALES","BEST_FPERIOD_OVERRIDE","25Y")</f>
        <v/>
      </c>
      <c r="AQ62" s="48">
        <f>BDP($B$62,"BEST_SALES","BEST_FPERIOD_OVERRIDE","26Y")</f>
        <v/>
      </c>
      <c r="AR62" s="48">
        <f>BDP($B$62,"BEST_SALES","BEST_FPERIOD_OVERRIDE","27Y")</f>
        <v/>
      </c>
      <c r="AS62" s="48">
        <f>BDP($B$62,"BEST_SALES","BEST_FPERIOD_OVERRIDE","28Y")</f>
        <v/>
      </c>
      <c r="AT62" s="36" t="n"/>
      <c r="AU62" s="48">
        <f>BDP($B$62,"BEST_EBIT","BEST_FPERIOD_OVERRIDE","24Y")</f>
        <v/>
      </c>
      <c r="AV62" s="48">
        <f>BDP($B$62,"BEST_EBIT","BEST_FPERIOD_OVERRIDE","25Y")</f>
        <v/>
      </c>
      <c r="AW62" s="48">
        <f>BDP($B$62,"BEST_EBIT","BEST_FPERIOD_OVERRIDE","26Y")</f>
        <v/>
      </c>
      <c r="AX62" s="48">
        <f>BDP($B$62,"BEST_EBIT","BEST_FPERIOD_OVERRIDE","27Y")</f>
        <v/>
      </c>
      <c r="AY62" s="48">
        <f>BDP($B$62,"BEST_EBIT","BEST_FPERIOD_OVERRIDE","28Y")</f>
        <v/>
      </c>
      <c r="AZ62" s="36" t="n"/>
      <c r="BA62">
        <f>C62+BD62</f>
        <v/>
      </c>
      <c r="BB62">
        <f>AB62-AD62</f>
        <v/>
      </c>
      <c r="BC62">
        <f>C62</f>
        <v/>
      </c>
      <c r="BD62" s="48">
        <f>BDP($B$62,"TRAIL_12M_EBITDA")</f>
        <v/>
      </c>
      <c r="BE62" s="48">
        <f>_xll.BDP("ICE US Equity","TRAIL_12M_EBITDA")</f>
        <v/>
      </c>
    </row>
    <row r="63">
      <c r="C63" s="31" t="n"/>
      <c r="D63" s="57" t="n"/>
      <c r="E63" s="51">
        <f>AVERAGE(E52:E62)</f>
        <v/>
      </c>
      <c r="F63" s="51">
        <f>AVERAGE(F52:F62)</f>
        <v/>
      </c>
      <c r="G63" s="51">
        <f>AVERAGE(G52:G62)</f>
        <v/>
      </c>
      <c r="H63" s="52">
        <f>AVERAGE(H52:H62)</f>
        <v/>
      </c>
      <c r="I63" s="53" t="n"/>
      <c r="J63" s="54">
        <f>AVERAGE(J52:J62)</f>
        <v/>
      </c>
      <c r="K63" s="54">
        <f>AVERAGE(K52:K62)</f>
        <v/>
      </c>
      <c r="L63" s="54">
        <f>AVERAGE(L52:L62)</f>
        <v/>
      </c>
      <c r="M63" s="54">
        <f>AVERAGE(M52:M62)</f>
        <v/>
      </c>
      <c r="N63" s="54">
        <f>AVERAGE(N52:N62)</f>
        <v/>
      </c>
      <c r="O63" s="1" t="n"/>
      <c r="P63" s="49" t="n"/>
      <c r="Q63" s="1" t="n"/>
      <c r="R63" s="1" t="n"/>
      <c r="S63" s="42" t="n"/>
      <c r="U63" s="28" t="n"/>
      <c r="AB63" s="36" t="n"/>
      <c r="AC63" s="36" t="n"/>
      <c r="AD63" s="36" t="n"/>
      <c r="AE63" s="36" t="n"/>
      <c r="AF63" s="36" t="n"/>
      <c r="AH63" s="36" t="n"/>
      <c r="AJ63" s="36" t="n"/>
      <c r="AK63" s="36" t="n"/>
      <c r="AL63" s="36" t="n"/>
      <c r="AM63" s="36" t="n"/>
      <c r="AN63" s="36" t="n"/>
      <c r="AP63" s="36" t="n"/>
      <c r="AQ63" s="36" t="n"/>
      <c r="AR63" s="36" t="n"/>
      <c r="AS63" s="36" t="n"/>
      <c r="AT63" s="36" t="n"/>
      <c r="AV63" s="36" t="n"/>
      <c r="AW63" s="36" t="n"/>
      <c r="AX63" s="36" t="n"/>
      <c r="AY63" s="36" t="n"/>
      <c r="AZ63" s="36" t="n"/>
      <c r="BE63" s="36" t="n"/>
    </row>
    <row r="64">
      <c r="A64" s="1" t="n"/>
      <c r="B64" s="1" t="n"/>
      <c r="C64" s="4" t="n"/>
      <c r="D64" s="38" t="n"/>
      <c r="E64" s="39" t="n"/>
      <c r="F64" s="39" t="n"/>
      <c r="G64" s="39" t="n"/>
      <c r="H64" s="4" t="n"/>
      <c r="I64" s="4" t="n"/>
      <c r="J64" s="41" t="n"/>
      <c r="K64" s="4" t="n"/>
      <c r="L64" s="41" t="n"/>
      <c r="M64" s="41" t="n"/>
      <c r="N64" s="41" t="n"/>
      <c r="O64" s="1" t="n"/>
      <c r="P64" s="1" t="n"/>
      <c r="Q64" s="1" t="n"/>
      <c r="R64" s="1" t="n"/>
      <c r="S64" s="42" t="n"/>
      <c r="T64" s="1" t="n"/>
      <c r="U64" s="26" t="n"/>
      <c r="V64" s="1" t="n"/>
      <c r="W64" s="1" t="n"/>
      <c r="X64" s="1" t="n"/>
      <c r="Y64" s="1" t="n"/>
      <c r="Z64" s="1" t="n"/>
      <c r="AA64" s="1" t="n"/>
      <c r="AB64" s="4" t="n"/>
      <c r="AC64" s="4" t="n"/>
      <c r="AD64" s="4" t="n"/>
      <c r="AE64" s="4" t="n"/>
      <c r="AF64" s="4" t="n"/>
      <c r="AG64" s="4" t="n"/>
      <c r="AH64" s="41" t="n"/>
      <c r="AI64" s="1" t="n"/>
      <c r="AJ64" s="4" t="n"/>
      <c r="AK64" s="4" t="n"/>
      <c r="AL64" s="4" t="n"/>
      <c r="AM64" s="4" t="n"/>
      <c r="AN64" s="4" t="n"/>
      <c r="AO64" s="1" t="n"/>
      <c r="AP64" s="4" t="n"/>
      <c r="AQ64" s="4" t="n"/>
      <c r="AR64" s="4" t="n"/>
      <c r="AS64" s="4" t="n"/>
      <c r="AT64" s="4" t="n"/>
      <c r="AU64" s="1" t="n"/>
      <c r="AV64" s="4" t="n"/>
      <c r="AW64" s="4" t="n"/>
      <c r="AX64" s="4" t="n"/>
      <c r="AY64" s="4" t="n"/>
      <c r="AZ64" s="4" t="n"/>
      <c r="BA64" s="1" t="n"/>
      <c r="BB64" s="42" t="n"/>
      <c r="BC64" s="42" t="n"/>
      <c r="BD64" s="4" t="n"/>
      <c r="BE64" s="4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</row>
    <row r="65">
      <c r="A65" s="3" t="inlineStr">
        <is>
          <t>Retail and consumer</t>
        </is>
      </c>
      <c r="B65" s="1" t="n"/>
      <c r="C65" s="43" t="n"/>
      <c r="D65" s="44" t="n"/>
      <c r="E65" s="45" t="n"/>
      <c r="F65" s="45" t="n"/>
      <c r="G65" s="45" t="n"/>
      <c r="H65" s="43" t="n"/>
      <c r="I65" s="43" t="n"/>
      <c r="J65" s="47" t="n"/>
      <c r="K65" s="43" t="n"/>
      <c r="L65" s="47" t="n"/>
      <c r="M65" s="47" t="n"/>
      <c r="N65" s="47" t="n"/>
      <c r="O65" s="1" t="n"/>
      <c r="P65" s="48" t="n"/>
      <c r="Q65" s="1" t="n"/>
      <c r="R65" s="1" t="n"/>
      <c r="S65" s="42">
        <f>IF(AND(E65&lt;&gt;"",N65&lt;&gt;"",N65&lt;&gt;0),E65/(N65*100),"")</f>
        <v/>
      </c>
      <c r="T65" s="1" t="n"/>
      <c r="U65" s="26" t="inlineStr">
        <is>
          <t>Jan</t>
        </is>
      </c>
      <c r="V65" s="1" t="n"/>
      <c r="W65" s="1" t="n"/>
      <c r="X65" s="1" t="n"/>
      <c r="Y65" s="1" t="n"/>
      <c r="Z65" s="1" t="n"/>
      <c r="AA65" s="48" t="n"/>
      <c r="AB65" s="43" t="n"/>
      <c r="AC65" s="43" t="n"/>
      <c r="AD65" s="43" t="n"/>
      <c r="AE65" s="43" t="n"/>
      <c r="AF65" s="4">
        <f>AB65+AC65</f>
        <v/>
      </c>
      <c r="AG65" s="43" t="n"/>
      <c r="AH65" s="41" t="n"/>
      <c r="AI65" s="48" t="n"/>
      <c r="AJ65" s="43" t="n"/>
      <c r="AK65" s="43" t="n"/>
      <c r="AL65" s="43" t="n"/>
      <c r="AM65" s="43" t="n"/>
      <c r="AN65" s="4" t="n"/>
      <c r="AO65" s="48" t="n"/>
      <c r="AP65" s="43" t="n"/>
      <c r="AQ65" s="43" t="n"/>
      <c r="AR65" s="43" t="n"/>
      <c r="AS65" s="43" t="n"/>
      <c r="AT65" s="4" t="n"/>
      <c r="AU65" s="48" t="n"/>
      <c r="AV65" s="43" t="n"/>
      <c r="AW65" s="43" t="n"/>
      <c r="AX65" s="43" t="n"/>
      <c r="AY65" s="43" t="n"/>
      <c r="AZ65" s="4" t="n"/>
      <c r="BA65" s="1">
        <f>C65+BD65</f>
        <v/>
      </c>
      <c r="BB65" s="42">
        <f>AB65-AD65</f>
        <v/>
      </c>
      <c r="BC65" s="42">
        <f>C65</f>
        <v/>
      </c>
      <c r="BD65" s="43" t="n"/>
      <c r="BE65" s="4" t="n"/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</row>
    <row r="66">
      <c r="A66" s="1" t="inlineStr">
        <is>
          <t>COST</t>
        </is>
      </c>
      <c r="B66" s="1" t="inlineStr">
        <is>
          <t>COST US Equity</t>
        </is>
      </c>
      <c r="C66" s="43">
        <f>BDP($B$66,"CUR_MKT_CAP")/1000000000</f>
        <v/>
      </c>
      <c r="D66" s="44">
        <f>BDP($B$66,"PX_LAST")</f>
        <v/>
      </c>
      <c r="E66" s="45">
        <f>IF(BDP($B$66,"BEST_EPS","BEST_FPERIOD_OVERRIDE","26Y")&lt;&gt;0,$D$66/BDP($B$66,"BEST_EPS","BEST_FPERIOD_OVERRIDE","26Y"),"")</f>
        <v/>
      </c>
      <c r="F66" s="45">
        <f>IF(BDP($B$66,"BEST_EPS","BEST_FPERIOD_OVERRIDE","27Y")&lt;&gt;0,$D$66/BDP($B$66,"BEST_EPS","BEST_FPERIOD_OVERRIDE","27Y"),"")</f>
        <v/>
      </c>
      <c r="G66" s="45">
        <f>IF(BDP($B$66,"BEST_EPS","BEST_FPERIOD_OVERRIDE","28Y")&lt;&gt;0,$D$66/BDP($B$66,"BEST_EPS","BEST_FPERIOD_OVERRIDE","28Y"),"")</f>
        <v/>
      </c>
      <c r="H66" s="46">
        <f>BDP($B$66,"NET_DEBT_TO_EBITDA")</f>
        <v/>
      </c>
      <c r="I66" s="43">
        <f>BDP($B$66,"BEST_SALES","BEST_FPERIOD_OVERRIDE","26Y")/1000</f>
        <v/>
      </c>
      <c r="J66" s="47">
        <f>IF(BDP($B$66,"BEST_SALES","BEST_FPERIOD_OVERRIDE","26Y")&lt;&gt;0,BDP($B$66,"BEST_EBIT","BEST_FPERIOD_OVERRIDE","26Y")/BDP($B$66,"BEST_SALES","BEST_FPERIOD_OVERRIDE","26Y"),"")</f>
        <v/>
      </c>
      <c r="K66" s="47">
        <f>BDP($B$66,"RETURN_ON_INV_CAPITAL")/100</f>
        <v/>
      </c>
      <c r="L66" s="47">
        <f>IF(AND(BDP($B$66,"BEST_SALES","BEST_FPERIOD_OVERRIDE","25Y")&gt;0,BDP($B$66,"BEST_SALES","BEST_FPERIOD_OVERRIDE","28Y")&gt;0),(BDP($B$66,"BEST_SALES","BEST_FPERIOD_OVERRIDE","28Y")/BDP($B$66,"BEST_SALES","BEST_FPERIOD_OVERRIDE","25Y"))^(1/3)-1,"")</f>
        <v/>
      </c>
      <c r="M66" s="47">
        <f>IF(AND(BDP($B$66,"BEST_EBIT","BEST_FPERIOD_OVERRIDE","25Y")&gt;0,BDP($B$66,"BEST_EBIT","BEST_FPERIOD_OVERRIDE","28Y")&gt;0),(BDP($B$66,"BEST_EBIT","BEST_FPERIOD_OVERRIDE","28Y")/BDP($B$66,"BEST_EBIT","BEST_FPERIOD_OVERRIDE","25Y"))^(1/3)-1,"")</f>
        <v/>
      </c>
      <c r="N66" s="47">
        <f>IF(AND(BDP($B$66,"BEST_EPS","BEST_FPERIOD_OVERRIDE","25Y")&gt;0,BDP($B$66,"BEST_EPS","BEST_FPERIOD_OVERRIDE","28Y")&gt;0),(BDP($B$66,"BEST_EPS","BEST_FPERIOD_OVERRIDE","28Y")/BDP($B$66,"BEST_EPS","BEST_FPERIOD_OVERRIDE","25Y"))^(1/3)-1,"")</f>
        <v/>
      </c>
      <c r="O66" s="1" t="n"/>
      <c r="P66" s="47">
        <f>BDP($B$66,"CHG_PCT_YTD")/100</f>
        <v/>
      </c>
      <c r="Q66" s="1" t="n"/>
      <c r="R66" s="1" t="n"/>
      <c r="S66" s="42">
        <f>IF(AND(E66&lt;&gt;"",N66&lt;&gt;"",N66&lt;&gt;0),E66/(N66*100),"")</f>
        <v/>
      </c>
      <c r="T66" s="1" t="n"/>
      <c r="U66" s="26" t="inlineStr">
        <is>
          <t>Aug</t>
        </is>
      </c>
      <c r="V66" s="1" t="n"/>
      <c r="W66" s="1" t="n"/>
      <c r="X66" s="1" t="n"/>
      <c r="Y66" s="1" t="n"/>
      <c r="Z66" s="1" t="n"/>
      <c r="AA66" s="48">
        <f>BDP($B$66,"TRAIL_12M_OPER_INC")</f>
        <v/>
      </c>
      <c r="AB66" s="43">
        <f>BDP($B$66,"SHORT_AND_LONG_TERM_DEBT")</f>
        <v/>
      </c>
      <c r="AC66" s="43">
        <f>BDP($B$66,"TOTAL_EQUITY")</f>
        <v/>
      </c>
      <c r="AD66" s="43">
        <f>BDP($B$66,"BS_CASH_NEAR_CASH_ITEM")</f>
        <v/>
      </c>
      <c r="AE66" s="43">
        <f>BDP($B$66,"BS_LT_INVEST")</f>
        <v/>
      </c>
      <c r="AF66" s="31">
        <f>AB66+AC66</f>
        <v/>
      </c>
      <c r="AG66" s="43">
        <f>BDP($B$66,"RETURN_ON_INV_CAPITAL")/100</f>
        <v/>
      </c>
      <c r="AH66" s="49" t="n"/>
      <c r="AI66" s="48">
        <f>BDP($B$66,"BEST_EPS","BEST_FPERIOD_OVERRIDE","24Y")</f>
        <v/>
      </c>
      <c r="AJ66" s="43">
        <f>BDP($B$66,"BEST_EPS","BEST_FPERIOD_OVERRIDE","25Y")</f>
        <v/>
      </c>
      <c r="AK66" s="43">
        <f>BDP($B$66,"BEST_EPS","BEST_FPERIOD_OVERRIDE","26Y")</f>
        <v/>
      </c>
      <c r="AL66" s="43">
        <f>BDP($B$66,"BEST_EPS","BEST_FPERIOD_OVERRIDE","27Y")</f>
        <v/>
      </c>
      <c r="AM66" s="43">
        <f>BDP($B$66,"BEST_EPS","BEST_FPERIOD_OVERRIDE","28Y")</f>
        <v/>
      </c>
      <c r="AN66" s="31" t="n"/>
      <c r="AO66" s="48">
        <f>BDP($B$66,"BEST_SALES","BEST_FPERIOD_OVERRIDE","24Y")</f>
        <v/>
      </c>
      <c r="AP66" s="43">
        <f>BDP($B$66,"BEST_SALES","BEST_FPERIOD_OVERRIDE","25Y")</f>
        <v/>
      </c>
      <c r="AQ66" s="43">
        <f>BDP($B$66,"BEST_SALES","BEST_FPERIOD_OVERRIDE","26Y")</f>
        <v/>
      </c>
      <c r="AR66" s="43">
        <f>BDP($B$66,"BEST_SALES","BEST_FPERIOD_OVERRIDE","27Y")</f>
        <v/>
      </c>
      <c r="AS66" s="43">
        <f>BDP($B$66,"BEST_SALES","BEST_FPERIOD_OVERRIDE","28Y")</f>
        <v/>
      </c>
      <c r="AT66" s="31" t="n"/>
      <c r="AU66" s="48">
        <f>BDP($B$66,"BEST_EBIT","BEST_FPERIOD_OVERRIDE","24Y")</f>
        <v/>
      </c>
      <c r="AV66" s="43">
        <f>BDP($B$66,"BEST_EBIT","BEST_FPERIOD_OVERRIDE","25Y")</f>
        <v/>
      </c>
      <c r="AW66" s="43">
        <f>BDP($B$66,"BEST_EBIT","BEST_FPERIOD_OVERRIDE","26Y")</f>
        <v/>
      </c>
      <c r="AX66" s="43">
        <f>BDP($B$66,"BEST_EBIT","BEST_FPERIOD_OVERRIDE","27Y")</f>
        <v/>
      </c>
      <c r="AY66" s="43">
        <f>BDP($B$66,"BEST_EBIT","BEST_FPERIOD_OVERRIDE","28Y")</f>
        <v/>
      </c>
      <c r="AZ66" s="31" t="n"/>
      <c r="BA66" s="1">
        <f>C66+BD66</f>
        <v/>
      </c>
      <c r="BB66" s="42">
        <f>AB66-AD66</f>
        <v/>
      </c>
      <c r="BC66" s="42">
        <f>C66</f>
        <v/>
      </c>
      <c r="BD66" s="43">
        <f>BDP($B$66,"TRAIL_12M_EBITDA")</f>
        <v/>
      </c>
      <c r="BE66" s="43">
        <f>_xll.BDP("COST US Equity","TRAIL_12M_EBITDA")</f>
        <v/>
      </c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</row>
    <row r="67">
      <c r="A67" s="1" t="inlineStr">
        <is>
          <t>ORLY</t>
        </is>
      </c>
      <c r="B67" s="1" t="inlineStr">
        <is>
          <t>ORLY US Equity</t>
        </is>
      </c>
      <c r="C67" s="43">
        <f>BDP($B$67,"CUR_MKT_CAP")/1000000000</f>
        <v/>
      </c>
      <c r="D67" s="44">
        <f>BDP($B$67,"PX_LAST")</f>
        <v/>
      </c>
      <c r="E67" s="45">
        <f>IF(BDP($B$67,"BEST_EPS","BEST_FPERIOD_OVERRIDE","26Y")&lt;&gt;0,$D$67/BDP($B$67,"BEST_EPS","BEST_FPERIOD_OVERRIDE","26Y"),"")</f>
        <v/>
      </c>
      <c r="F67" s="45">
        <f>IF(BDP($B$67,"BEST_EPS","BEST_FPERIOD_OVERRIDE","27Y")&lt;&gt;0,$D$67/BDP($B$67,"BEST_EPS","BEST_FPERIOD_OVERRIDE","27Y"),"")</f>
        <v/>
      </c>
      <c r="G67" s="45">
        <f>IF(BDP($B$67,"BEST_EPS","BEST_FPERIOD_OVERRIDE","28Y")&lt;&gt;0,$D$67/BDP($B$67,"BEST_EPS","BEST_FPERIOD_OVERRIDE","28Y"),"")</f>
        <v/>
      </c>
      <c r="H67" s="46">
        <f>BDP($B$67,"NET_DEBT_TO_EBITDA")</f>
        <v/>
      </c>
      <c r="I67" s="43">
        <f>BDP($B$67,"BEST_SALES","BEST_FPERIOD_OVERRIDE","26Y")/1000</f>
        <v/>
      </c>
      <c r="J67" s="47">
        <f>IF(BDP($B$67,"BEST_SALES","BEST_FPERIOD_OVERRIDE","26Y")&lt;&gt;0,BDP($B$67,"BEST_EBIT","BEST_FPERIOD_OVERRIDE","26Y")/BDP($B$67,"BEST_SALES","BEST_FPERIOD_OVERRIDE","26Y"),"")</f>
        <v/>
      </c>
      <c r="K67" s="47">
        <f>BDP($B$67,"RETURN_ON_INV_CAPITAL")/100</f>
        <v/>
      </c>
      <c r="L67" s="47">
        <f>IF(AND(BDP($B$67,"BEST_SALES","BEST_FPERIOD_OVERRIDE","25Y")&gt;0,BDP($B$67,"BEST_SALES","BEST_FPERIOD_OVERRIDE","28Y")&gt;0),(BDP($B$67,"BEST_SALES","BEST_FPERIOD_OVERRIDE","28Y")/BDP($B$67,"BEST_SALES","BEST_FPERIOD_OVERRIDE","25Y"))^(1/3)-1,"")</f>
        <v/>
      </c>
      <c r="M67" s="47">
        <f>IF(AND(BDP($B$67,"BEST_EBIT","BEST_FPERIOD_OVERRIDE","25Y")&gt;0,BDP($B$67,"BEST_EBIT","BEST_FPERIOD_OVERRIDE","28Y")&gt;0),(BDP($B$67,"BEST_EBIT","BEST_FPERIOD_OVERRIDE","28Y")/BDP($B$67,"BEST_EBIT","BEST_FPERIOD_OVERRIDE","25Y"))^(1/3)-1,"")</f>
        <v/>
      </c>
      <c r="N67" s="47">
        <f>IF(AND(BDP($B$67,"BEST_EPS","BEST_FPERIOD_OVERRIDE","25Y")&gt;0,BDP($B$67,"BEST_EPS","BEST_FPERIOD_OVERRIDE","28Y")&gt;0),(BDP($B$67,"BEST_EPS","BEST_FPERIOD_OVERRIDE","28Y")/BDP($B$67,"BEST_EPS","BEST_FPERIOD_OVERRIDE","25Y"))^(1/3)-1,"")</f>
        <v/>
      </c>
      <c r="O67" s="1" t="n"/>
      <c r="P67" s="47">
        <f>BDP($B$67,"CHG_PCT_YTD")/100</f>
        <v/>
      </c>
      <c r="Q67" s="1" t="n"/>
      <c r="R67" s="1" t="n"/>
      <c r="S67" s="42">
        <f>IF(AND(E67&lt;&gt;"",N67&lt;&gt;"",N67&lt;&gt;0),E67/(N67*100),"")</f>
        <v/>
      </c>
      <c r="T67" s="1" t="n"/>
      <c r="U67" s="26" t="inlineStr">
        <is>
          <t>Dec</t>
        </is>
      </c>
      <c r="V67" s="1" t="n"/>
      <c r="W67" s="1" t="n"/>
      <c r="X67" s="1" t="n"/>
      <c r="Y67" s="1" t="n"/>
      <c r="Z67" s="1" t="n"/>
      <c r="AA67" s="48">
        <f>BDP($B$67,"TRAIL_12M_OPER_INC")</f>
        <v/>
      </c>
      <c r="AB67" s="43">
        <f>BDP($B$67,"SHORT_AND_LONG_TERM_DEBT")</f>
        <v/>
      </c>
      <c r="AC67" s="43">
        <f>BDP($B$67,"TOTAL_EQUITY")</f>
        <v/>
      </c>
      <c r="AD67" s="43">
        <f>BDP($B$67,"BS_CASH_NEAR_CASH_ITEM")</f>
        <v/>
      </c>
      <c r="AE67" s="43">
        <f>BDP($B$67,"BS_LT_INVEST")</f>
        <v/>
      </c>
      <c r="AF67" s="31">
        <f>AB67+AC67</f>
        <v/>
      </c>
      <c r="AG67" s="43">
        <f>BDP($B$67,"RETURN_ON_INV_CAPITAL")/100</f>
        <v/>
      </c>
      <c r="AH67" s="49" t="n"/>
      <c r="AI67" s="48">
        <f>BDP($B$67,"BEST_EPS","BEST_FPERIOD_OVERRIDE","24Y")</f>
        <v/>
      </c>
      <c r="AJ67" s="43">
        <f>BDP($B$67,"BEST_EPS","BEST_FPERIOD_OVERRIDE","25Y")</f>
        <v/>
      </c>
      <c r="AK67" s="43">
        <f>BDP($B$67,"BEST_EPS","BEST_FPERIOD_OVERRIDE","26Y")</f>
        <v/>
      </c>
      <c r="AL67" s="43">
        <f>BDP($B$67,"BEST_EPS","BEST_FPERIOD_OVERRIDE","27Y")</f>
        <v/>
      </c>
      <c r="AM67" s="43">
        <f>BDP($B$67,"BEST_EPS","BEST_FPERIOD_OVERRIDE","28Y")</f>
        <v/>
      </c>
      <c r="AN67" s="31" t="n"/>
      <c r="AO67" s="48">
        <f>BDP($B$67,"BEST_SALES","BEST_FPERIOD_OVERRIDE","24Y")</f>
        <v/>
      </c>
      <c r="AP67" s="43">
        <f>BDP($B$67,"BEST_SALES","BEST_FPERIOD_OVERRIDE","25Y")</f>
        <v/>
      </c>
      <c r="AQ67" s="43">
        <f>BDP($B$67,"BEST_SALES","BEST_FPERIOD_OVERRIDE","26Y")</f>
        <v/>
      </c>
      <c r="AR67" s="43">
        <f>BDP($B$67,"BEST_SALES","BEST_FPERIOD_OVERRIDE","27Y")</f>
        <v/>
      </c>
      <c r="AS67" s="43">
        <f>BDP($B$67,"BEST_SALES","BEST_FPERIOD_OVERRIDE","28Y")</f>
        <v/>
      </c>
      <c r="AT67" s="31" t="n"/>
      <c r="AU67" s="48">
        <f>BDP($B$67,"BEST_EBIT","BEST_FPERIOD_OVERRIDE","24Y")</f>
        <v/>
      </c>
      <c r="AV67" s="43">
        <f>BDP($B$67,"BEST_EBIT","BEST_FPERIOD_OVERRIDE","25Y")</f>
        <v/>
      </c>
      <c r="AW67" s="43">
        <f>BDP($B$67,"BEST_EBIT","BEST_FPERIOD_OVERRIDE","26Y")</f>
        <v/>
      </c>
      <c r="AX67" s="43">
        <f>BDP($B$67,"BEST_EBIT","BEST_FPERIOD_OVERRIDE","27Y")</f>
        <v/>
      </c>
      <c r="AY67" s="43">
        <f>BDP($B$67,"BEST_EBIT","BEST_FPERIOD_OVERRIDE","28Y")</f>
        <v/>
      </c>
      <c r="AZ67" s="31" t="n"/>
      <c r="BA67" s="1">
        <f>C67+BD67</f>
        <v/>
      </c>
      <c r="BB67" s="42">
        <f>AB67-AD67</f>
        <v/>
      </c>
      <c r="BC67" s="42">
        <f>C67</f>
        <v/>
      </c>
      <c r="BD67" s="43">
        <f>BDP($B$67,"TRAIL_12M_EBITDA")</f>
        <v/>
      </c>
      <c r="BE67" s="43">
        <f>_xll.BDP("ORLY US Equity","TRAIL_12M_EBITDA")</f>
        <v/>
      </c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</row>
    <row r="68">
      <c r="A68" s="1" t="inlineStr">
        <is>
          <t>TJX</t>
        </is>
      </c>
      <c r="B68" s="1" t="inlineStr">
        <is>
          <t>TJX US Equity</t>
        </is>
      </c>
      <c r="C68" s="43">
        <f>BDP($B$68,"CUR_MKT_CAP")/1000000000</f>
        <v/>
      </c>
      <c r="D68" s="44">
        <f>BDP($B$68,"PX_LAST")</f>
        <v/>
      </c>
      <c r="E68" s="45">
        <f>IF(BDP($B$68,"BEST_EPS","BEST_FPERIOD_OVERRIDE","27Y")&lt;&gt;0,$D$68/BDP($B$68,"BEST_EPS","BEST_FPERIOD_OVERRIDE","27Y"),"")</f>
        <v/>
      </c>
      <c r="F68" s="45">
        <f>IF(BDP($B$68,"BEST_EPS","BEST_FPERIOD_OVERRIDE","28Y")&lt;&gt;0,$D$68/BDP($B$68,"BEST_EPS","BEST_FPERIOD_OVERRIDE","28Y"),"")</f>
        <v/>
      </c>
      <c r="G68" s="45">
        <f>IF(BDP($B$68,"BEST_EPS","BEST_FPERIOD_OVERRIDE","29Y")&lt;&gt;0,$D$68/BDP($B$68,"BEST_EPS","BEST_FPERIOD_OVERRIDE","29Y"),"")</f>
        <v/>
      </c>
      <c r="H68" s="46">
        <f>BDP($B$68,"NET_DEBT_TO_EBITDA")</f>
        <v/>
      </c>
      <c r="I68" s="43">
        <f>BDP($B$68,"BEST_SALES","BEST_FPERIOD_OVERRIDE","27Y")/1000</f>
        <v/>
      </c>
      <c r="J68" s="47">
        <f>IF(BDP($B$68,"BEST_SALES","BEST_FPERIOD_OVERRIDE","27Y")&lt;&gt;0,BDP($B$68,"BEST_EBIT","BEST_FPERIOD_OVERRIDE","27Y")/BDP($B$68,"BEST_SALES","BEST_FPERIOD_OVERRIDE","27Y"),"")</f>
        <v/>
      </c>
      <c r="K68" s="47">
        <f>BDP($B$68,"RETURN_ON_INV_CAPITAL")/100</f>
        <v/>
      </c>
      <c r="L68" s="47">
        <f>IF(AND(BDP($B$68,"BEST_SALES","BEST_FPERIOD_OVERRIDE","26Y")&gt;0,BDP($B$68,"BEST_SALES","BEST_FPERIOD_OVERRIDE","29Y")&gt;0),(BDP($B$68,"BEST_SALES","BEST_FPERIOD_OVERRIDE","29Y")/BDP($B$68,"BEST_SALES","BEST_FPERIOD_OVERRIDE","26Y"))^(1/3)-1,"")</f>
        <v/>
      </c>
      <c r="M68" s="47">
        <f>IF(AND(BDP($B$68,"BEST_EBIT","BEST_FPERIOD_OVERRIDE","26Y")&gt;0,BDP($B$68,"BEST_EBIT","BEST_FPERIOD_OVERRIDE","29Y")&gt;0),(BDP($B$68,"BEST_EBIT","BEST_FPERIOD_OVERRIDE","29Y")/BDP($B$68,"BEST_EBIT","BEST_FPERIOD_OVERRIDE","26Y"))^(1/3)-1,"")</f>
        <v/>
      </c>
      <c r="N68" s="47">
        <f>IF(AND(BDP($B$68,"BEST_EPS","BEST_FPERIOD_OVERRIDE","26Y")&gt;0,BDP($B$68,"BEST_EPS","BEST_FPERIOD_OVERRIDE","29Y")&gt;0),(BDP($B$68,"BEST_EPS","BEST_FPERIOD_OVERRIDE","29Y")/BDP($B$68,"BEST_EPS","BEST_FPERIOD_OVERRIDE","26Y"))^(1/3)-1,"")</f>
        <v/>
      </c>
      <c r="O68" s="1" t="n"/>
      <c r="P68" s="47">
        <f>BDP($B$68,"CHG_PCT_YTD")/100</f>
        <v/>
      </c>
      <c r="Q68" s="1" t="n"/>
      <c r="R68" s="1" t="n"/>
      <c r="S68" s="42">
        <f>IF(AND(E68&lt;&gt;"",N68&lt;&gt;"",N68&lt;&gt;0),E68/(N68*100),"")</f>
        <v/>
      </c>
      <c r="T68" s="1" t="n"/>
      <c r="U68" s="26" t="inlineStr">
        <is>
          <t>Jan</t>
        </is>
      </c>
      <c r="V68" s="1" t="n"/>
      <c r="W68" s="1" t="n"/>
      <c r="X68" s="1" t="n"/>
      <c r="Y68" s="1" t="n"/>
      <c r="Z68" s="1" t="n"/>
      <c r="AA68" s="48">
        <f>BDP($B$68,"TRAIL_12M_OPER_INC")</f>
        <v/>
      </c>
      <c r="AB68" s="43">
        <f>BDP($B$68,"SHORT_AND_LONG_TERM_DEBT")</f>
        <v/>
      </c>
      <c r="AC68" s="43">
        <f>BDP($B$68,"TOTAL_EQUITY")</f>
        <v/>
      </c>
      <c r="AD68" s="43">
        <f>BDP($B$68,"BS_CASH_NEAR_CASH_ITEM")</f>
        <v/>
      </c>
      <c r="AE68" s="43">
        <f>BDP($B$68,"BS_LT_INVEST")</f>
        <v/>
      </c>
      <c r="AF68" s="31">
        <f>AB68+AC68</f>
        <v/>
      </c>
      <c r="AG68" s="43">
        <f>BDP($B$68,"RETURN_ON_INV_CAPITAL")/100</f>
        <v/>
      </c>
      <c r="AH68" s="49" t="n"/>
      <c r="AI68" s="48">
        <f>BDP($B$68,"BEST_EPS","BEST_FPERIOD_OVERRIDE","25Y")</f>
        <v/>
      </c>
      <c r="AJ68" s="43">
        <f>BDP($B$68,"BEST_EPS","BEST_FPERIOD_OVERRIDE","26Y")</f>
        <v/>
      </c>
      <c r="AK68" s="43">
        <f>BDP($B$68,"BEST_EPS","BEST_FPERIOD_OVERRIDE","27Y")</f>
        <v/>
      </c>
      <c r="AL68" s="43">
        <f>BDP($B$68,"BEST_EPS","BEST_FPERIOD_OVERRIDE","28Y")</f>
        <v/>
      </c>
      <c r="AM68" s="43">
        <f>BDP($B$68,"BEST_EPS","BEST_FPERIOD_OVERRIDE","29Y")</f>
        <v/>
      </c>
      <c r="AN68" s="31" t="n"/>
      <c r="AO68" s="48">
        <f>BDP($B$68,"BEST_SALES","BEST_FPERIOD_OVERRIDE","25Y")</f>
        <v/>
      </c>
      <c r="AP68" s="43">
        <f>BDP($B$68,"BEST_SALES","BEST_FPERIOD_OVERRIDE","26Y")</f>
        <v/>
      </c>
      <c r="AQ68" s="43">
        <f>BDP($B$68,"BEST_SALES","BEST_FPERIOD_OVERRIDE","27Y")</f>
        <v/>
      </c>
      <c r="AR68" s="43">
        <f>BDP($B$68,"BEST_SALES","BEST_FPERIOD_OVERRIDE","28Y")</f>
        <v/>
      </c>
      <c r="AS68" s="43">
        <f>BDP($B$68,"BEST_SALES","BEST_FPERIOD_OVERRIDE","29Y")</f>
        <v/>
      </c>
      <c r="AT68" s="31" t="n"/>
      <c r="AU68" s="48">
        <f>BDP($B$68,"BEST_EBIT","BEST_FPERIOD_OVERRIDE","25Y")</f>
        <v/>
      </c>
      <c r="AV68" s="43">
        <f>BDP($B$68,"BEST_EBIT","BEST_FPERIOD_OVERRIDE","26Y")</f>
        <v/>
      </c>
      <c r="AW68" s="43">
        <f>BDP($B$68,"BEST_EBIT","BEST_FPERIOD_OVERRIDE","27Y")</f>
        <v/>
      </c>
      <c r="AX68" s="43">
        <f>BDP($B$68,"BEST_EBIT","BEST_FPERIOD_OVERRIDE","28Y")</f>
        <v/>
      </c>
      <c r="AY68" s="43">
        <f>BDP($B$68,"BEST_EBIT","BEST_FPERIOD_OVERRIDE","29Y")</f>
        <v/>
      </c>
      <c r="AZ68" s="31" t="n"/>
      <c r="BA68" s="1">
        <f>C68+BD68</f>
        <v/>
      </c>
      <c r="BB68" s="42">
        <f>AB68-AD68</f>
        <v/>
      </c>
      <c r="BC68" s="42">
        <f>C68</f>
        <v/>
      </c>
      <c r="BD68" s="43">
        <f>BDP($B$68,"TRAIL_12M_EBITDA")</f>
        <v/>
      </c>
      <c r="BE68" s="43">
        <f>_xll.BDP("TJX US Equity","TRAIL_12M_EBITDA")</f>
        <v/>
      </c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</row>
    <row r="69">
      <c r="A69" s="1" t="inlineStr">
        <is>
          <t>HLT</t>
        </is>
      </c>
      <c r="B69" s="1" t="inlineStr">
        <is>
          <t>HLT US Equity</t>
        </is>
      </c>
      <c r="C69" s="43">
        <f>BDP($B$69,"CUR_MKT_CAP")/1000000000</f>
        <v/>
      </c>
      <c r="D69" s="44">
        <f>BDP($B$69,"PX_LAST")</f>
        <v/>
      </c>
      <c r="E69" s="45">
        <f>IF(BDP($B$69,"BEST_EPS","BEST_FPERIOD_OVERRIDE","26Y")&lt;&gt;0,$D$69/BDP($B$69,"BEST_EPS","BEST_FPERIOD_OVERRIDE","26Y"),"")</f>
        <v/>
      </c>
      <c r="F69" s="45">
        <f>IF(BDP($B$69,"BEST_EPS","BEST_FPERIOD_OVERRIDE","27Y")&lt;&gt;0,$D$69/BDP($B$69,"BEST_EPS","BEST_FPERIOD_OVERRIDE","27Y"),"")</f>
        <v/>
      </c>
      <c r="G69" s="45">
        <f>IF(BDP($B$69,"BEST_EPS","BEST_FPERIOD_OVERRIDE","28Y")&lt;&gt;0,$D$69/BDP($B$69,"BEST_EPS","BEST_FPERIOD_OVERRIDE","28Y"),"")</f>
        <v/>
      </c>
      <c r="H69" s="46">
        <f>BDP($B$69,"NET_DEBT_TO_EBITDA")</f>
        <v/>
      </c>
      <c r="I69" s="43">
        <f>BDP($B$69,"BEST_SALES","BEST_FPERIOD_OVERRIDE","26Y")/1000</f>
        <v/>
      </c>
      <c r="J69" s="47">
        <f>IF(BDP($B$69,"BEST_SALES","BEST_FPERIOD_OVERRIDE","26Y")&lt;&gt;0,BDP($B$69,"BEST_EBIT","BEST_FPERIOD_OVERRIDE","26Y")/BDP($B$69,"BEST_SALES","BEST_FPERIOD_OVERRIDE","26Y"),"")</f>
        <v/>
      </c>
      <c r="K69" s="47">
        <f>BDP($B$69,"RETURN_ON_INV_CAPITAL")/100</f>
        <v/>
      </c>
      <c r="L69" s="47">
        <f>IF(AND(BDP($B$69,"BEST_SALES","BEST_FPERIOD_OVERRIDE","25Y")&gt;0,BDP($B$69,"BEST_SALES","BEST_FPERIOD_OVERRIDE","28Y")&gt;0),(BDP($B$69,"BEST_SALES","BEST_FPERIOD_OVERRIDE","28Y")/BDP($B$69,"BEST_SALES","BEST_FPERIOD_OVERRIDE","25Y"))^(1/3)-1,"")</f>
        <v/>
      </c>
      <c r="M69" s="47">
        <f>IF(AND(BDP($B$69,"BEST_EBIT","BEST_FPERIOD_OVERRIDE","25Y")&gt;0,BDP($B$69,"BEST_EBIT","BEST_FPERIOD_OVERRIDE","28Y")&gt;0),(BDP($B$69,"BEST_EBIT","BEST_FPERIOD_OVERRIDE","28Y")/BDP($B$69,"BEST_EBIT","BEST_FPERIOD_OVERRIDE","25Y"))^(1/3)-1,"")</f>
        <v/>
      </c>
      <c r="N69" s="47">
        <f>IF(AND(BDP($B$69,"BEST_EPS","BEST_FPERIOD_OVERRIDE","25Y")&gt;0,BDP($B$69,"BEST_EPS","BEST_FPERIOD_OVERRIDE","28Y")&gt;0),(BDP($B$69,"BEST_EPS","BEST_FPERIOD_OVERRIDE","28Y")/BDP($B$69,"BEST_EPS","BEST_FPERIOD_OVERRIDE","25Y"))^(1/3)-1,"")</f>
        <v/>
      </c>
      <c r="O69" s="1" t="n"/>
      <c r="P69" s="47">
        <f>BDP($B$69,"CHG_PCT_YTD")/100</f>
        <v/>
      </c>
      <c r="Q69" s="1" t="n"/>
      <c r="R69" s="1" t="n"/>
      <c r="S69" s="42">
        <f>IF(AND(E69&lt;&gt;"",N69&lt;&gt;"",N69&lt;&gt;0),E69/(N69*100),"")</f>
        <v/>
      </c>
      <c r="T69" s="1" t="n"/>
      <c r="U69" s="26" t="inlineStr">
        <is>
          <t>Dec</t>
        </is>
      </c>
      <c r="V69" s="1" t="n"/>
      <c r="W69" s="1" t="n"/>
      <c r="X69" s="1" t="n"/>
      <c r="Y69" s="1" t="n"/>
      <c r="Z69" s="1" t="n"/>
      <c r="AA69" s="48">
        <f>BDP($B$69,"TRAIL_12M_OPER_INC")</f>
        <v/>
      </c>
      <c r="AB69" s="43">
        <f>BDP($B$69,"SHORT_AND_LONG_TERM_DEBT")</f>
        <v/>
      </c>
      <c r="AC69" s="43">
        <f>BDP($B$69,"TOTAL_EQUITY")</f>
        <v/>
      </c>
      <c r="AD69" s="43">
        <f>BDP($B$69,"BS_CASH_NEAR_CASH_ITEM")</f>
        <v/>
      </c>
      <c r="AE69" s="43">
        <f>BDP($B$69,"BS_LT_INVEST")</f>
        <v/>
      </c>
      <c r="AF69" s="31">
        <f>AB69+AC69</f>
        <v/>
      </c>
      <c r="AG69" s="43">
        <f>BDP($B$69,"RETURN_ON_INV_CAPITAL")/100</f>
        <v/>
      </c>
      <c r="AH69" s="49" t="n"/>
      <c r="AI69" s="48">
        <f>BDP($B$69,"BEST_EPS","BEST_FPERIOD_OVERRIDE","24Y")</f>
        <v/>
      </c>
      <c r="AJ69" s="43">
        <f>BDP($B$69,"BEST_EPS","BEST_FPERIOD_OVERRIDE","25Y")</f>
        <v/>
      </c>
      <c r="AK69" s="43">
        <f>BDP($B$69,"BEST_EPS","BEST_FPERIOD_OVERRIDE","26Y")</f>
        <v/>
      </c>
      <c r="AL69" s="43">
        <f>BDP($B$69,"BEST_EPS","BEST_FPERIOD_OVERRIDE","27Y")</f>
        <v/>
      </c>
      <c r="AM69" s="43">
        <f>BDP($B$69,"BEST_EPS","BEST_FPERIOD_OVERRIDE","28Y")</f>
        <v/>
      </c>
      <c r="AN69" s="31" t="n"/>
      <c r="AO69" s="48">
        <f>BDP($B$69,"BEST_SALES","BEST_FPERIOD_OVERRIDE","24Y")</f>
        <v/>
      </c>
      <c r="AP69" s="43">
        <f>BDP($B$69,"BEST_SALES","BEST_FPERIOD_OVERRIDE","25Y")</f>
        <v/>
      </c>
      <c r="AQ69" s="43">
        <f>BDP($B$69,"BEST_SALES","BEST_FPERIOD_OVERRIDE","26Y")</f>
        <v/>
      </c>
      <c r="AR69" s="43">
        <f>BDP($B$69,"BEST_SALES","BEST_FPERIOD_OVERRIDE","27Y")</f>
        <v/>
      </c>
      <c r="AS69" s="43">
        <f>BDP($B$69,"BEST_SALES","BEST_FPERIOD_OVERRIDE","28Y")</f>
        <v/>
      </c>
      <c r="AT69" s="31" t="n"/>
      <c r="AU69" s="48">
        <f>BDP($B$69,"BEST_EBIT","BEST_FPERIOD_OVERRIDE","24Y")</f>
        <v/>
      </c>
      <c r="AV69" s="43">
        <f>BDP($B$69,"BEST_EBIT","BEST_FPERIOD_OVERRIDE","25Y")</f>
        <v/>
      </c>
      <c r="AW69" s="43">
        <f>BDP($B$69,"BEST_EBIT","BEST_FPERIOD_OVERRIDE","26Y")</f>
        <v/>
      </c>
      <c r="AX69" s="43">
        <f>BDP($B$69,"BEST_EBIT","BEST_FPERIOD_OVERRIDE","27Y")</f>
        <v/>
      </c>
      <c r="AY69" s="43">
        <f>BDP($B$69,"BEST_EBIT","BEST_FPERIOD_OVERRIDE","28Y")</f>
        <v/>
      </c>
      <c r="AZ69" s="31" t="n"/>
      <c r="BA69" s="1">
        <f>C69+BD69</f>
        <v/>
      </c>
      <c r="BB69" s="42">
        <f>AB69-AD69</f>
        <v/>
      </c>
      <c r="BC69" s="42">
        <f>C69</f>
        <v/>
      </c>
      <c r="BD69" s="43">
        <f>BDP($B$69,"TRAIL_12M_EBITDA")</f>
        <v/>
      </c>
      <c r="BE69" s="43">
        <f>_xll.BDP("HLT US Equity","TRAIL_12M_EBITDA")</f>
        <v/>
      </c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</row>
    <row r="70">
      <c r="A70" s="1" t="inlineStr">
        <is>
          <t>BKNG</t>
        </is>
      </c>
      <c r="B70" s="1" t="inlineStr">
        <is>
          <t>BKNG US Equity</t>
        </is>
      </c>
      <c r="C70" s="43">
        <f>BDP($B$70,"CUR_MKT_CAP")/1000000000</f>
        <v/>
      </c>
      <c r="D70" s="44">
        <f>BDP($B$70,"PX_LAST")</f>
        <v/>
      </c>
      <c r="E70" s="45">
        <f>IF(BDP($B$70,"BEST_EPS","BEST_FPERIOD_OVERRIDE","26Y")&lt;&gt;0,$D$70/BDP($B$70,"BEST_EPS","BEST_FPERIOD_OVERRIDE","26Y"),"")</f>
        <v/>
      </c>
      <c r="F70" s="45">
        <f>IF(BDP($B$70,"BEST_EPS","BEST_FPERIOD_OVERRIDE","27Y")&lt;&gt;0,$D$70/BDP($B$70,"BEST_EPS","BEST_FPERIOD_OVERRIDE","27Y"),"")</f>
        <v/>
      </c>
      <c r="G70" s="45">
        <f>IF(BDP($B$70,"BEST_EPS","BEST_FPERIOD_OVERRIDE","28Y")&lt;&gt;0,$D$70/BDP($B$70,"BEST_EPS","BEST_FPERIOD_OVERRIDE","28Y"),"")</f>
        <v/>
      </c>
      <c r="H70" s="46">
        <f>BDP($B$70,"NET_DEBT_TO_EBITDA")</f>
        <v/>
      </c>
      <c r="I70" s="43">
        <f>BDP($B$70,"BEST_SALES","BEST_FPERIOD_OVERRIDE","26Y")/1000</f>
        <v/>
      </c>
      <c r="J70" s="47">
        <f>IF(BDP($B$70,"BEST_SALES","BEST_FPERIOD_OVERRIDE","26Y")&lt;&gt;0,BDP($B$70,"BEST_EBIT","BEST_FPERIOD_OVERRIDE","26Y")/BDP($B$70,"BEST_SALES","BEST_FPERIOD_OVERRIDE","26Y"),"")</f>
        <v/>
      </c>
      <c r="K70" s="47">
        <f>BDP($B$70,"RETURN_ON_INV_CAPITAL")/100</f>
        <v/>
      </c>
      <c r="L70" s="47">
        <f>IF(AND(BDP($B$70,"BEST_SALES","BEST_FPERIOD_OVERRIDE","25Y")&gt;0,BDP($B$70,"BEST_SALES","BEST_FPERIOD_OVERRIDE","28Y")&gt;0),(BDP($B$70,"BEST_SALES","BEST_FPERIOD_OVERRIDE","28Y")/BDP($B$70,"BEST_SALES","BEST_FPERIOD_OVERRIDE","25Y"))^(1/3)-1,"")</f>
        <v/>
      </c>
      <c r="M70" s="47">
        <f>IF(AND(BDP($B$70,"BEST_EBIT","BEST_FPERIOD_OVERRIDE","25Y")&gt;0,BDP($B$70,"BEST_EBIT","BEST_FPERIOD_OVERRIDE","28Y")&gt;0),(BDP($B$70,"BEST_EBIT","BEST_FPERIOD_OVERRIDE","28Y")/BDP($B$70,"BEST_EBIT","BEST_FPERIOD_OVERRIDE","25Y"))^(1/3)-1,"")</f>
        <v/>
      </c>
      <c r="N70" s="47">
        <f>IF(AND(BDP($B$70,"BEST_EPS","BEST_FPERIOD_OVERRIDE","25Y")&gt;0,BDP($B$70,"BEST_EPS","BEST_FPERIOD_OVERRIDE","28Y")&gt;0),(BDP($B$70,"BEST_EPS","BEST_FPERIOD_OVERRIDE","28Y")/BDP($B$70,"BEST_EPS","BEST_FPERIOD_OVERRIDE","25Y"))^(1/3)-1,"")</f>
        <v/>
      </c>
      <c r="O70" s="1" t="n"/>
      <c r="P70" s="47">
        <f>BDP($B$70,"CHG_PCT_YTD")/100</f>
        <v/>
      </c>
      <c r="Q70" s="1" t="n"/>
      <c r="R70" s="1" t="n"/>
      <c r="S70" s="42">
        <f>IF(AND(E70&lt;&gt;"",N70&lt;&gt;"",N70&lt;&gt;0),E70/(N70*100),"")</f>
        <v/>
      </c>
      <c r="T70" s="1" t="n"/>
      <c r="U70" s="26" t="inlineStr">
        <is>
          <t>Dec</t>
        </is>
      </c>
      <c r="V70" s="1" t="n"/>
      <c r="W70" s="1" t="n"/>
      <c r="X70" s="1" t="n"/>
      <c r="Y70" s="1" t="n"/>
      <c r="Z70" s="1" t="n"/>
      <c r="AA70" s="48">
        <f>BDP($B$70,"TRAIL_12M_OPER_INC")</f>
        <v/>
      </c>
      <c r="AB70" s="43">
        <f>BDP($B$70,"SHORT_AND_LONG_TERM_DEBT")</f>
        <v/>
      </c>
      <c r="AC70" s="43">
        <f>BDP($B$70,"TOTAL_EQUITY")</f>
        <v/>
      </c>
      <c r="AD70" s="43">
        <f>BDP($B$70,"BS_CASH_NEAR_CASH_ITEM")</f>
        <v/>
      </c>
      <c r="AE70" s="43">
        <f>BDP($B$70,"BS_LT_INVEST")</f>
        <v/>
      </c>
      <c r="AF70" s="31">
        <f>AB70+AC70</f>
        <v/>
      </c>
      <c r="AG70" s="43">
        <f>BDP($B$70,"RETURN_ON_INV_CAPITAL")/100</f>
        <v/>
      </c>
      <c r="AH70" s="49" t="n"/>
      <c r="AI70" s="48">
        <f>BDP($B$70,"BEST_EPS","BEST_FPERIOD_OVERRIDE","24Y")</f>
        <v/>
      </c>
      <c r="AJ70" s="43">
        <f>BDP($B$70,"BEST_EPS","BEST_FPERIOD_OVERRIDE","25Y")</f>
        <v/>
      </c>
      <c r="AK70" s="43">
        <f>BDP($B$70,"BEST_EPS","BEST_FPERIOD_OVERRIDE","26Y")</f>
        <v/>
      </c>
      <c r="AL70" s="43">
        <f>BDP($B$70,"BEST_EPS","BEST_FPERIOD_OVERRIDE","27Y")</f>
        <v/>
      </c>
      <c r="AM70" s="43">
        <f>BDP($B$70,"BEST_EPS","BEST_FPERIOD_OVERRIDE","28Y")</f>
        <v/>
      </c>
      <c r="AN70" s="31" t="n"/>
      <c r="AO70" s="48">
        <f>BDP($B$70,"BEST_SALES","BEST_FPERIOD_OVERRIDE","24Y")</f>
        <v/>
      </c>
      <c r="AP70" s="43">
        <f>BDP($B$70,"BEST_SALES","BEST_FPERIOD_OVERRIDE","25Y")</f>
        <v/>
      </c>
      <c r="AQ70" s="43">
        <f>BDP($B$70,"BEST_SALES","BEST_FPERIOD_OVERRIDE","26Y")</f>
        <v/>
      </c>
      <c r="AR70" s="43">
        <f>BDP($B$70,"BEST_SALES","BEST_FPERIOD_OVERRIDE","27Y")</f>
        <v/>
      </c>
      <c r="AS70" s="43">
        <f>BDP($B$70,"BEST_SALES","BEST_FPERIOD_OVERRIDE","28Y")</f>
        <v/>
      </c>
      <c r="AT70" s="31" t="n"/>
      <c r="AU70" s="48">
        <f>BDP($B$70,"BEST_EBIT","BEST_FPERIOD_OVERRIDE","24Y")</f>
        <v/>
      </c>
      <c r="AV70" s="43">
        <f>BDP($B$70,"BEST_EBIT","BEST_FPERIOD_OVERRIDE","25Y")</f>
        <v/>
      </c>
      <c r="AW70" s="43">
        <f>BDP($B$70,"BEST_EBIT","BEST_FPERIOD_OVERRIDE","26Y")</f>
        <v/>
      </c>
      <c r="AX70" s="43">
        <f>BDP($B$70,"BEST_EBIT","BEST_FPERIOD_OVERRIDE","27Y")</f>
        <v/>
      </c>
      <c r="AY70" s="43">
        <f>BDP($B$70,"BEST_EBIT","BEST_FPERIOD_OVERRIDE","28Y")</f>
        <v/>
      </c>
      <c r="AZ70" s="31" t="n"/>
      <c r="BA70" s="1">
        <f>C70+BD70</f>
        <v/>
      </c>
      <c r="BB70" s="42">
        <f>AB70-AD70</f>
        <v/>
      </c>
      <c r="BC70" s="42">
        <f>C70</f>
        <v/>
      </c>
      <c r="BD70" s="43">
        <f>BDP($B$70,"TRAIL_12M_EBITDA")</f>
        <v/>
      </c>
      <c r="BE70" s="43">
        <f>_xll.BDP("BKNG US Equity","TRAIL_12M_EBITDA")</f>
        <v/>
      </c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</row>
    <row r="71">
      <c r="A71" s="1" t="inlineStr">
        <is>
          <t>UBER</t>
        </is>
      </c>
      <c r="B71" s="1" t="inlineStr">
        <is>
          <t>UBER US Equity</t>
        </is>
      </c>
      <c r="C71" s="43">
        <f>BDP($B$71,"CUR_MKT_CAP")/1000000000</f>
        <v/>
      </c>
      <c r="D71" s="44">
        <f>BDP($B$71,"PX_LAST")</f>
        <v/>
      </c>
      <c r="E71" s="45">
        <f>IF(BDP($B$71,"BEST_EPS","BEST_FPERIOD_OVERRIDE","26Y")&lt;&gt;0,$D$71/BDP($B$71,"BEST_EPS","BEST_FPERIOD_OVERRIDE","26Y"),"")</f>
        <v/>
      </c>
      <c r="F71" s="45">
        <f>IF(BDP($B$71,"BEST_EPS","BEST_FPERIOD_OVERRIDE","27Y")&lt;&gt;0,$D$71/BDP($B$71,"BEST_EPS","BEST_FPERIOD_OVERRIDE","27Y"),"")</f>
        <v/>
      </c>
      <c r="G71" s="45">
        <f>IF(BDP($B$71,"BEST_EPS","BEST_FPERIOD_OVERRIDE","28Y")&lt;&gt;0,$D$71/BDP($B$71,"BEST_EPS","BEST_FPERIOD_OVERRIDE","28Y"),"")</f>
        <v/>
      </c>
      <c r="H71" s="46">
        <f>BDP($B$71,"NET_DEBT_TO_EBITDA")</f>
        <v/>
      </c>
      <c r="I71" s="43">
        <f>BDP($B$71,"BEST_SALES","BEST_FPERIOD_OVERRIDE","26Y")/1000</f>
        <v/>
      </c>
      <c r="J71" s="47">
        <f>IF(BDP($B$71,"BEST_SALES","BEST_FPERIOD_OVERRIDE","26Y")&lt;&gt;0,BDP($B$71,"BEST_EBIT","BEST_FPERIOD_OVERRIDE","26Y")/BDP($B$71,"BEST_SALES","BEST_FPERIOD_OVERRIDE","26Y"),"")</f>
        <v/>
      </c>
      <c r="K71" s="47">
        <f>BDP($B$71,"RETURN_ON_INV_CAPITAL")/100</f>
        <v/>
      </c>
      <c r="L71" s="47">
        <f>IF(AND(BDP($B$71,"BEST_SALES","BEST_FPERIOD_OVERRIDE","25Y")&gt;0,BDP($B$71,"BEST_SALES","BEST_FPERIOD_OVERRIDE","28Y")&gt;0),(BDP($B$71,"BEST_SALES","BEST_FPERIOD_OVERRIDE","28Y")/BDP($B$71,"BEST_SALES","BEST_FPERIOD_OVERRIDE","25Y"))^(1/3)-1,"")</f>
        <v/>
      </c>
      <c r="M71" s="47">
        <f>IF(AND(BDP($B$71,"BEST_EBIT","BEST_FPERIOD_OVERRIDE","25Y")&gt;0,BDP($B$71,"BEST_EBIT","BEST_FPERIOD_OVERRIDE","28Y")&gt;0),(BDP($B$71,"BEST_EBIT","BEST_FPERIOD_OVERRIDE","28Y")/BDP($B$71,"BEST_EBIT","BEST_FPERIOD_OVERRIDE","25Y"))^(1/3)-1,"")</f>
        <v/>
      </c>
      <c r="N71" s="47">
        <f>IF(AND(BDP($B$71,"BEST_EPS","BEST_FPERIOD_OVERRIDE","25Y")&gt;0,BDP($B$71,"BEST_EPS","BEST_FPERIOD_OVERRIDE","28Y")&gt;0),(BDP($B$71,"BEST_EPS","BEST_FPERIOD_OVERRIDE","28Y")/BDP($B$71,"BEST_EPS","BEST_FPERIOD_OVERRIDE","25Y"))^(1/3)-1,"")</f>
        <v/>
      </c>
      <c r="O71" s="1" t="n"/>
      <c r="P71" s="47">
        <f>BDP($B$71,"CHG_PCT_YTD")/100</f>
        <v/>
      </c>
      <c r="Q71" s="1" t="n"/>
      <c r="R71" s="1" t="n"/>
      <c r="S71" s="42">
        <f>IF(AND(E71&lt;&gt;"",N71&lt;&gt;"",N71&lt;&gt;0),E71/(N71*100),"")</f>
        <v/>
      </c>
      <c r="T71" s="1" t="n"/>
      <c r="U71" s="26" t="inlineStr">
        <is>
          <t>Dec</t>
        </is>
      </c>
      <c r="V71" s="1" t="n"/>
      <c r="W71" s="1" t="n"/>
      <c r="X71" s="1" t="n"/>
      <c r="Y71" s="1" t="n"/>
      <c r="Z71" s="1" t="n"/>
      <c r="AA71" s="48">
        <f>BDP($B$71,"TRAIL_12M_OPER_INC")</f>
        <v/>
      </c>
      <c r="AB71" s="43">
        <f>BDP($B$71,"SHORT_AND_LONG_TERM_DEBT")</f>
        <v/>
      </c>
      <c r="AC71" s="43">
        <f>BDP($B$71,"TOTAL_EQUITY")</f>
        <v/>
      </c>
      <c r="AD71" s="43">
        <f>BDP($B$71,"BS_CASH_NEAR_CASH_ITEM")</f>
        <v/>
      </c>
      <c r="AE71" s="43">
        <f>BDP($B$71,"BS_LT_INVEST")</f>
        <v/>
      </c>
      <c r="AF71" s="31">
        <f>AB71+AC71</f>
        <v/>
      </c>
      <c r="AG71" s="43">
        <f>BDP($B$71,"RETURN_ON_INV_CAPITAL")/100</f>
        <v/>
      </c>
      <c r="AH71" s="49" t="n"/>
      <c r="AI71" s="48">
        <f>BDP($B$71,"BEST_EPS","BEST_FPERIOD_OVERRIDE","24Y")</f>
        <v/>
      </c>
      <c r="AJ71" s="43">
        <f>BDP($B$71,"BEST_EPS","BEST_FPERIOD_OVERRIDE","25Y")</f>
        <v/>
      </c>
      <c r="AK71" s="43">
        <f>BDP($B$71,"BEST_EPS","BEST_FPERIOD_OVERRIDE","26Y")</f>
        <v/>
      </c>
      <c r="AL71" s="43">
        <f>BDP($B$71,"BEST_EPS","BEST_FPERIOD_OVERRIDE","27Y")</f>
        <v/>
      </c>
      <c r="AM71" s="43">
        <f>BDP($B$71,"BEST_EPS","BEST_FPERIOD_OVERRIDE","28Y")</f>
        <v/>
      </c>
      <c r="AN71" s="31" t="n"/>
      <c r="AO71" s="48">
        <f>BDP($B$71,"BEST_SALES","BEST_FPERIOD_OVERRIDE","24Y")</f>
        <v/>
      </c>
      <c r="AP71" s="43">
        <f>BDP($B$71,"BEST_SALES","BEST_FPERIOD_OVERRIDE","25Y")</f>
        <v/>
      </c>
      <c r="AQ71" s="43">
        <f>BDP($B$71,"BEST_SALES","BEST_FPERIOD_OVERRIDE","26Y")</f>
        <v/>
      </c>
      <c r="AR71" s="43">
        <f>BDP($B$71,"BEST_SALES","BEST_FPERIOD_OVERRIDE","27Y")</f>
        <v/>
      </c>
      <c r="AS71" s="43">
        <f>BDP($B$71,"BEST_SALES","BEST_FPERIOD_OVERRIDE","28Y")</f>
        <v/>
      </c>
      <c r="AT71" s="31" t="n"/>
      <c r="AU71" s="48">
        <f>BDP($B$71,"BEST_EBIT","BEST_FPERIOD_OVERRIDE","24Y")</f>
        <v/>
      </c>
      <c r="AV71" s="43">
        <f>BDP($B$71,"BEST_EBIT","BEST_FPERIOD_OVERRIDE","25Y")</f>
        <v/>
      </c>
      <c r="AW71" s="43">
        <f>BDP($B$71,"BEST_EBIT","BEST_FPERIOD_OVERRIDE","26Y")</f>
        <v/>
      </c>
      <c r="AX71" s="43">
        <f>BDP($B$71,"BEST_EBIT","BEST_FPERIOD_OVERRIDE","27Y")</f>
        <v/>
      </c>
      <c r="AY71" s="43">
        <f>BDP($B$71,"BEST_EBIT","BEST_FPERIOD_OVERRIDE","28Y")</f>
        <v/>
      </c>
      <c r="AZ71" s="31" t="n"/>
      <c r="BA71" s="1">
        <f>C71+BD71</f>
        <v/>
      </c>
      <c r="BB71" s="42">
        <f>AB71-AD71</f>
        <v/>
      </c>
      <c r="BC71" s="42">
        <f>C71</f>
        <v/>
      </c>
      <c r="BD71" s="43">
        <f>BDP($B$71,"TRAIL_12M_EBITDA")</f>
        <v/>
      </c>
      <c r="BE71" s="43">
        <f>_xll.BDP("UBER US Equity","TRAIL_12M_EBITDA")</f>
        <v/>
      </c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</row>
    <row r="72">
      <c r="A72" s="1" t="inlineStr">
        <is>
          <t>SGI</t>
        </is>
      </c>
      <c r="B72" s="1" t="inlineStr">
        <is>
          <t>SGI US Equity</t>
        </is>
      </c>
      <c r="C72" s="43">
        <f>BDP($B$72,"CUR_MKT_CAP")/1000000000</f>
        <v/>
      </c>
      <c r="D72" s="44">
        <f>BDP($B$72,"PX_LAST")</f>
        <v/>
      </c>
      <c r="E72" s="45">
        <f>IF(BDP($B$72,"BEST_EPS","BEST_FPERIOD_OVERRIDE","26Y")&lt;&gt;0,$D$72/BDP($B$72,"BEST_EPS","BEST_FPERIOD_OVERRIDE","26Y"),"")</f>
        <v/>
      </c>
      <c r="F72" s="45">
        <f>IF(BDP($B$72,"BEST_EPS","BEST_FPERIOD_OVERRIDE","27Y")&lt;&gt;0,$D$72/BDP($B$72,"BEST_EPS","BEST_FPERIOD_OVERRIDE","27Y"),"")</f>
        <v/>
      </c>
      <c r="G72" s="45">
        <f>IF(BDP($B$72,"BEST_EPS","BEST_FPERIOD_OVERRIDE","28Y")&lt;&gt;0,$D$72/BDP($B$72,"BEST_EPS","BEST_FPERIOD_OVERRIDE","28Y"),"")</f>
        <v/>
      </c>
      <c r="H72" s="46">
        <f>BDP($B$72,"NET_DEBT_TO_EBITDA")</f>
        <v/>
      </c>
      <c r="I72" s="43">
        <f>BDP($B$72,"BEST_SALES","BEST_FPERIOD_OVERRIDE","26Y")/1000</f>
        <v/>
      </c>
      <c r="J72" s="47">
        <f>IF(BDP($B$72,"BEST_SALES","BEST_FPERIOD_OVERRIDE","26Y")&lt;&gt;0,BDP($B$72,"BEST_EBIT","BEST_FPERIOD_OVERRIDE","26Y")/BDP($B$72,"BEST_SALES","BEST_FPERIOD_OVERRIDE","26Y"),"")</f>
        <v/>
      </c>
      <c r="K72" s="47">
        <f>BDP($B$72,"RETURN_ON_INV_CAPITAL")/100</f>
        <v/>
      </c>
      <c r="L72" s="47">
        <f>IF(AND(BDP($B$72,"BEST_SALES","BEST_FPERIOD_OVERRIDE","25Y")&gt;0,BDP($B$72,"BEST_SALES","BEST_FPERIOD_OVERRIDE","28Y")&gt;0),(BDP($B$72,"BEST_SALES","BEST_FPERIOD_OVERRIDE","28Y")/BDP($B$72,"BEST_SALES","BEST_FPERIOD_OVERRIDE","25Y"))^(1/3)-1,"")</f>
        <v/>
      </c>
      <c r="M72" s="47">
        <f>IF(AND(BDP($B$72,"BEST_EBIT","BEST_FPERIOD_OVERRIDE","25Y")&gt;0,BDP($B$72,"BEST_EBIT","BEST_FPERIOD_OVERRIDE","28Y")&gt;0),(BDP($B$72,"BEST_EBIT","BEST_FPERIOD_OVERRIDE","28Y")/BDP($B$72,"BEST_EBIT","BEST_FPERIOD_OVERRIDE","25Y"))^(1/3)-1,"")</f>
        <v/>
      </c>
      <c r="N72" s="47">
        <f>IF(AND(BDP($B$72,"BEST_EPS","BEST_FPERIOD_OVERRIDE","25Y")&gt;0,BDP($B$72,"BEST_EPS","BEST_FPERIOD_OVERRIDE","28Y")&gt;0),(BDP($B$72,"BEST_EPS","BEST_FPERIOD_OVERRIDE","28Y")/BDP($B$72,"BEST_EPS","BEST_FPERIOD_OVERRIDE","25Y"))^(1/3)-1,"")</f>
        <v/>
      </c>
      <c r="O72" s="1" t="n"/>
      <c r="P72" s="47">
        <f>BDP($B$72,"CHG_PCT_YTD")/100</f>
        <v/>
      </c>
      <c r="Q72" s="1" t="n"/>
      <c r="R72" s="1" t="n"/>
      <c r="S72" s="42">
        <f>IF(AND(E72&lt;&gt;"",N72&lt;&gt;"",N72&lt;&gt;0),E72/(N72*100),"")</f>
        <v/>
      </c>
      <c r="T72" s="1" t="n"/>
      <c r="U72" s="26" t="inlineStr">
        <is>
          <t>Dec</t>
        </is>
      </c>
      <c r="V72" s="1" t="n"/>
      <c r="W72" s="1" t="n"/>
      <c r="X72" s="1" t="n"/>
      <c r="Y72" s="1" t="n"/>
      <c r="Z72" s="1" t="n"/>
      <c r="AA72" s="48">
        <f>BDP($B$72,"TRAIL_12M_OPER_INC")</f>
        <v/>
      </c>
      <c r="AB72" s="43">
        <f>BDP($B$72,"SHORT_AND_LONG_TERM_DEBT")</f>
        <v/>
      </c>
      <c r="AC72" s="43">
        <f>BDP($B$72,"TOTAL_EQUITY")</f>
        <v/>
      </c>
      <c r="AD72" s="43">
        <f>BDP($B$72,"BS_CASH_NEAR_CASH_ITEM")</f>
        <v/>
      </c>
      <c r="AE72" s="43">
        <f>BDP($B$72,"BS_LT_INVEST")</f>
        <v/>
      </c>
      <c r="AF72" s="31">
        <f>AB72+AC72</f>
        <v/>
      </c>
      <c r="AG72" s="43">
        <f>BDP($B$72,"RETURN_ON_INV_CAPITAL")/100</f>
        <v/>
      </c>
      <c r="AH72" s="49" t="n"/>
      <c r="AI72" s="48">
        <f>BDP($B$72,"BEST_EPS","BEST_FPERIOD_OVERRIDE","24Y")</f>
        <v/>
      </c>
      <c r="AJ72" s="43">
        <f>BDP($B$72,"BEST_EPS","BEST_FPERIOD_OVERRIDE","25Y")</f>
        <v/>
      </c>
      <c r="AK72" s="43">
        <f>BDP($B$72,"BEST_EPS","BEST_FPERIOD_OVERRIDE","26Y")</f>
        <v/>
      </c>
      <c r="AL72" s="43">
        <f>BDP($B$72,"BEST_EPS","BEST_FPERIOD_OVERRIDE","27Y")</f>
        <v/>
      </c>
      <c r="AM72" s="43">
        <f>BDP($B$72,"BEST_EPS","BEST_FPERIOD_OVERRIDE","28Y")</f>
        <v/>
      </c>
      <c r="AN72" s="31" t="n"/>
      <c r="AO72" s="48">
        <f>BDP($B$72,"BEST_SALES","BEST_FPERIOD_OVERRIDE","24Y")</f>
        <v/>
      </c>
      <c r="AP72" s="43">
        <f>BDP($B$72,"BEST_SALES","BEST_FPERIOD_OVERRIDE","25Y")</f>
        <v/>
      </c>
      <c r="AQ72" s="43">
        <f>BDP($B$72,"BEST_SALES","BEST_FPERIOD_OVERRIDE","26Y")</f>
        <v/>
      </c>
      <c r="AR72" s="43">
        <f>BDP($B$72,"BEST_SALES","BEST_FPERIOD_OVERRIDE","27Y")</f>
        <v/>
      </c>
      <c r="AS72" s="43">
        <f>BDP($B$72,"BEST_SALES","BEST_FPERIOD_OVERRIDE","28Y")</f>
        <v/>
      </c>
      <c r="AT72" s="31" t="n"/>
      <c r="AU72" s="48">
        <f>BDP($B$72,"BEST_EBIT","BEST_FPERIOD_OVERRIDE","24Y")</f>
        <v/>
      </c>
      <c r="AV72" s="43">
        <f>BDP($B$72,"BEST_EBIT","BEST_FPERIOD_OVERRIDE","25Y")</f>
        <v/>
      </c>
      <c r="AW72" s="43">
        <f>BDP($B$72,"BEST_EBIT","BEST_FPERIOD_OVERRIDE","26Y")</f>
        <v/>
      </c>
      <c r="AX72" s="43">
        <f>BDP($B$72,"BEST_EBIT","BEST_FPERIOD_OVERRIDE","27Y")</f>
        <v/>
      </c>
      <c r="AY72" s="43">
        <f>BDP($B$72,"BEST_EBIT","BEST_FPERIOD_OVERRIDE","28Y")</f>
        <v/>
      </c>
      <c r="AZ72" s="31" t="n"/>
      <c r="BA72" s="1">
        <f>C72+BD72</f>
        <v/>
      </c>
      <c r="BB72" s="42">
        <f>AB72-AD72</f>
        <v/>
      </c>
      <c r="BC72" s="42">
        <f>C72</f>
        <v/>
      </c>
      <c r="BD72" s="43">
        <f>BDP($B$72,"TRAIL_12M_EBITDA")</f>
        <v/>
      </c>
      <c r="BE72" s="43">
        <f>_xll.BDP("SGI US Equity","TRAIL_12M_EBITDA")</f>
        <v/>
      </c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</row>
    <row r="73">
      <c r="A73" s="1" t="inlineStr">
        <is>
          <t>FWONK</t>
        </is>
      </c>
      <c r="B73" s="1" t="inlineStr">
        <is>
          <t>FWONK US Equity</t>
        </is>
      </c>
      <c r="C73" s="43">
        <f>BDP($B$73,"CUR_MKT_CAP")/1000000000</f>
        <v/>
      </c>
      <c r="D73" s="44">
        <f>BDP($B$73,"PX_LAST")</f>
        <v/>
      </c>
      <c r="E73" s="45">
        <f>IF(BDP($B$73,"BEST_EPS","BEST_FPERIOD_OVERRIDE","26Y")&lt;&gt;0,$D$73/BDP($B$73,"BEST_EPS","BEST_FPERIOD_OVERRIDE","26Y"),"")</f>
        <v/>
      </c>
      <c r="F73" s="45">
        <f>IF(BDP($B$73,"BEST_EPS","BEST_FPERIOD_OVERRIDE","27Y")&lt;&gt;0,$D$73/BDP($B$73,"BEST_EPS","BEST_FPERIOD_OVERRIDE","27Y"),"")</f>
        <v/>
      </c>
      <c r="G73" s="45">
        <f>IF(BDP($B$73,"BEST_EPS","BEST_FPERIOD_OVERRIDE","28Y")&lt;&gt;0,$D$73/BDP($B$73,"BEST_EPS","BEST_FPERIOD_OVERRIDE","28Y"),"")</f>
        <v/>
      </c>
      <c r="H73" s="46">
        <f>BDP($B$73,"NET_DEBT_TO_EBITDA")</f>
        <v/>
      </c>
      <c r="I73" s="43">
        <f>BDP($B$73,"BEST_SALES","BEST_FPERIOD_OVERRIDE","26Y")/1000</f>
        <v/>
      </c>
      <c r="J73" s="47">
        <f>IF(BDP($B$73,"BEST_SALES","BEST_FPERIOD_OVERRIDE","26Y")&lt;&gt;0,BDP($B$73,"BEST_EBIT","BEST_FPERIOD_OVERRIDE","26Y")/BDP($B$73,"BEST_SALES","BEST_FPERIOD_OVERRIDE","26Y"),"")</f>
        <v/>
      </c>
      <c r="K73" s="47">
        <f>BDP($B$73,"RETURN_ON_INV_CAPITAL")/100</f>
        <v/>
      </c>
      <c r="L73" s="47">
        <f>IF(AND(BDP($B$73,"BEST_SALES","BEST_FPERIOD_OVERRIDE","25Y")&gt;0,BDP($B$73,"BEST_SALES","BEST_FPERIOD_OVERRIDE","28Y")&gt;0),(BDP($B$73,"BEST_SALES","BEST_FPERIOD_OVERRIDE","28Y")/BDP($B$73,"BEST_SALES","BEST_FPERIOD_OVERRIDE","25Y"))^(1/3)-1,"")</f>
        <v/>
      </c>
      <c r="M73" s="47">
        <f>IF(AND(BDP($B$73,"BEST_EBIT","BEST_FPERIOD_OVERRIDE","25Y")&gt;0,BDP($B$73,"BEST_EBIT","BEST_FPERIOD_OVERRIDE","28Y")&gt;0),(BDP($B$73,"BEST_EBIT","BEST_FPERIOD_OVERRIDE","28Y")/BDP($B$73,"BEST_EBIT","BEST_FPERIOD_OVERRIDE","25Y"))^(1/3)-1,"")</f>
        <v/>
      </c>
      <c r="N73" s="47">
        <f>IF(AND(BDP($B$73,"BEST_EPS","BEST_FPERIOD_OVERRIDE","25Y")&gt;0,BDP($B$73,"BEST_EPS","BEST_FPERIOD_OVERRIDE","28Y")&gt;0),(BDP($B$73,"BEST_EPS","BEST_FPERIOD_OVERRIDE","28Y")/BDP($B$73,"BEST_EPS","BEST_FPERIOD_OVERRIDE","25Y"))^(1/3)-1,"")</f>
        <v/>
      </c>
      <c r="O73" s="1" t="n"/>
      <c r="P73" s="47">
        <f>BDP($B$73,"CHG_PCT_YTD")/100</f>
        <v/>
      </c>
      <c r="Q73" s="1" t="n"/>
      <c r="R73" s="1" t="n"/>
      <c r="S73" s="42">
        <f>IF(AND(E73&lt;&gt;"",N73&lt;&gt;"",N73&lt;&gt;0),E73/(N73*100),"")</f>
        <v/>
      </c>
      <c r="T73" s="1" t="n"/>
      <c r="U73" s="26" t="inlineStr">
        <is>
          <t>Dec</t>
        </is>
      </c>
      <c r="V73" s="1" t="n"/>
      <c r="W73" s="1" t="n"/>
      <c r="X73" s="1" t="n"/>
      <c r="Y73" s="1" t="n"/>
      <c r="Z73" s="1" t="n"/>
      <c r="AA73" s="48">
        <f>BDP($B$73,"TRAIL_12M_OPER_INC")</f>
        <v/>
      </c>
      <c r="AB73" s="43">
        <f>BDP($B$73,"SHORT_AND_LONG_TERM_DEBT")</f>
        <v/>
      </c>
      <c r="AC73" s="43">
        <f>BDP($B$73,"TOTAL_EQUITY")</f>
        <v/>
      </c>
      <c r="AD73" s="43">
        <f>BDP($B$73,"BS_CASH_NEAR_CASH_ITEM")</f>
        <v/>
      </c>
      <c r="AE73" s="43">
        <f>BDP($B$73,"BS_LT_INVEST")</f>
        <v/>
      </c>
      <c r="AF73" s="31">
        <f>AB73+AC73</f>
        <v/>
      </c>
      <c r="AG73" s="43">
        <f>BDP($B$73,"RETURN_ON_INV_CAPITAL")/100</f>
        <v/>
      </c>
      <c r="AH73" s="49" t="n"/>
      <c r="AI73" s="48">
        <f>BDP($B$73,"BEST_EPS","BEST_FPERIOD_OVERRIDE","24Y")</f>
        <v/>
      </c>
      <c r="AJ73" s="43">
        <f>BDP($B$73,"BEST_EPS","BEST_FPERIOD_OVERRIDE","25Y")</f>
        <v/>
      </c>
      <c r="AK73" s="43">
        <f>BDP($B$73,"BEST_EPS","BEST_FPERIOD_OVERRIDE","26Y")</f>
        <v/>
      </c>
      <c r="AL73" s="43">
        <f>BDP($B$73,"BEST_EPS","BEST_FPERIOD_OVERRIDE","27Y")</f>
        <v/>
      </c>
      <c r="AM73" s="43">
        <f>BDP($B$73,"BEST_EPS","BEST_FPERIOD_OVERRIDE","28Y")</f>
        <v/>
      </c>
      <c r="AN73" s="31" t="n"/>
      <c r="AO73" s="48">
        <f>BDP($B$73,"BEST_SALES","BEST_FPERIOD_OVERRIDE","24Y")</f>
        <v/>
      </c>
      <c r="AP73" s="43">
        <f>BDP($B$73,"BEST_SALES","BEST_FPERIOD_OVERRIDE","25Y")</f>
        <v/>
      </c>
      <c r="AQ73" s="43">
        <f>BDP($B$73,"BEST_SALES","BEST_FPERIOD_OVERRIDE","26Y")</f>
        <v/>
      </c>
      <c r="AR73" s="43">
        <f>BDP($B$73,"BEST_SALES","BEST_FPERIOD_OVERRIDE","27Y")</f>
        <v/>
      </c>
      <c r="AS73" s="43">
        <f>BDP($B$73,"BEST_SALES","BEST_FPERIOD_OVERRIDE","28Y")</f>
        <v/>
      </c>
      <c r="AT73" s="31" t="n"/>
      <c r="AU73" s="48">
        <f>BDP($B$73,"BEST_EBIT","BEST_FPERIOD_OVERRIDE","24Y")</f>
        <v/>
      </c>
      <c r="AV73" s="43">
        <f>BDP($B$73,"BEST_EBIT","BEST_FPERIOD_OVERRIDE","25Y")</f>
        <v/>
      </c>
      <c r="AW73" s="43">
        <f>BDP($B$73,"BEST_EBIT","BEST_FPERIOD_OVERRIDE","26Y")</f>
        <v/>
      </c>
      <c r="AX73" s="43">
        <f>BDP($B$73,"BEST_EBIT","BEST_FPERIOD_OVERRIDE","27Y")</f>
        <v/>
      </c>
      <c r="AY73" s="43">
        <f>BDP($B$73,"BEST_EBIT","BEST_FPERIOD_OVERRIDE","28Y")</f>
        <v/>
      </c>
      <c r="AZ73" s="31" t="n"/>
      <c r="BA73" s="1">
        <f>C73+BD73</f>
        <v/>
      </c>
      <c r="BB73" s="42">
        <f>AB73-AD73</f>
        <v/>
      </c>
      <c r="BC73" s="42">
        <f>C73</f>
        <v/>
      </c>
      <c r="BD73" s="43">
        <f>BDP($B$73,"TRAIL_12M_EBITDA")</f>
        <v/>
      </c>
      <c r="BE73" s="43">
        <f>_xll.BDP("FWONK US Equity","TRAIL_12M_EBITDA")</f>
        <v/>
      </c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</row>
    <row r="74">
      <c r="A74" s="1" t="inlineStr">
        <is>
          <t>MC</t>
        </is>
      </c>
      <c r="B74" s="1" t="inlineStr">
        <is>
          <t>MC FP Equity</t>
        </is>
      </c>
      <c r="C74" s="43">
        <f>BDP($B$74,"CUR_MKT_CAP")/1000000000</f>
        <v/>
      </c>
      <c r="D74" s="44">
        <f>BDP($B$74,"PX_LAST")</f>
        <v/>
      </c>
      <c r="E74" s="45">
        <f>IF(BDP($B$74,"BEST_EPS","BEST_FPERIOD_OVERRIDE","26Y")&lt;&gt;0,$D$74/BDP($B$74,"BEST_EPS","BEST_FPERIOD_OVERRIDE","26Y"),"")</f>
        <v/>
      </c>
      <c r="F74" s="45">
        <f>IF(BDP($B$74,"BEST_EPS","BEST_FPERIOD_OVERRIDE","27Y")&lt;&gt;0,$D$74/BDP($B$74,"BEST_EPS","BEST_FPERIOD_OVERRIDE","27Y"),"")</f>
        <v/>
      </c>
      <c r="G74" s="45">
        <f>IF(BDP($B$74,"BEST_EPS","BEST_FPERIOD_OVERRIDE","28Y")&lt;&gt;0,$D$74/BDP($B$74,"BEST_EPS","BEST_FPERIOD_OVERRIDE","28Y"),"")</f>
        <v/>
      </c>
      <c r="H74" s="46">
        <f>BDP($B$74,"NET_DEBT_TO_EBITDA")</f>
        <v/>
      </c>
      <c r="I74" s="43">
        <f>BDP($B$74,"BEST_SALES","BEST_FPERIOD_OVERRIDE","26Y")/1000</f>
        <v/>
      </c>
      <c r="J74" s="47">
        <f>IF(BDP($B$74,"BEST_SALES","BEST_FPERIOD_OVERRIDE","26Y")&lt;&gt;0,BDP($B$74,"BEST_EBIT","BEST_FPERIOD_OVERRIDE","26Y")/BDP($B$74,"BEST_SALES","BEST_FPERIOD_OVERRIDE","26Y"),"")</f>
        <v/>
      </c>
      <c r="K74" s="47">
        <f>BDP($B$74,"RETURN_ON_INV_CAPITAL")/100</f>
        <v/>
      </c>
      <c r="L74" s="47">
        <f>IF(AND(BDP($B$74,"BEST_SALES","BEST_FPERIOD_OVERRIDE","25Y")&gt;0,BDP($B$74,"BEST_SALES","BEST_FPERIOD_OVERRIDE","28Y")&gt;0),(BDP($B$74,"BEST_SALES","BEST_FPERIOD_OVERRIDE","28Y")/BDP($B$74,"BEST_SALES","BEST_FPERIOD_OVERRIDE","25Y"))^(1/3)-1,"")</f>
        <v/>
      </c>
      <c r="M74" s="47">
        <f>IF(AND(BDP($B$74,"BEST_EBIT","BEST_FPERIOD_OVERRIDE","25Y")&gt;0,BDP($B$74,"BEST_EBIT","BEST_FPERIOD_OVERRIDE","28Y")&gt;0),(BDP($B$74,"BEST_EBIT","BEST_FPERIOD_OVERRIDE","28Y")/BDP($B$74,"BEST_EBIT","BEST_FPERIOD_OVERRIDE","25Y"))^(1/3)-1,"")</f>
        <v/>
      </c>
      <c r="N74" s="47">
        <f>IF(AND(BDP($B$74,"BEST_EPS","BEST_FPERIOD_OVERRIDE","25Y")&gt;0,BDP($B$74,"BEST_EPS","BEST_FPERIOD_OVERRIDE","28Y")&gt;0),(BDP($B$74,"BEST_EPS","BEST_FPERIOD_OVERRIDE","28Y")/BDP($B$74,"BEST_EPS","BEST_FPERIOD_OVERRIDE","25Y"))^(1/3)-1,"")</f>
        <v/>
      </c>
      <c r="O74" s="1" t="n"/>
      <c r="P74" s="47">
        <f>BDP($B$74,"CHG_PCT_YTD")/100</f>
        <v/>
      </c>
      <c r="Q74" s="1" t="n"/>
      <c r="R74" s="1" t="n"/>
      <c r="S74" s="42">
        <f>IF(AND(E74&lt;&gt;"",N74&lt;&gt;"",N74&lt;&gt;0),E74/(N74*100),"")</f>
        <v/>
      </c>
      <c r="T74" s="1" t="n"/>
      <c r="U74" s="26" t="inlineStr">
        <is>
          <t>Dec</t>
        </is>
      </c>
      <c r="V74" s="1" t="n"/>
      <c r="W74" s="1" t="n"/>
      <c r="X74" s="1" t="n"/>
      <c r="Y74" s="1" t="n"/>
      <c r="Z74" s="1" t="n"/>
      <c r="AA74" s="48">
        <f>BDP($B$74,"TRAIL_12M_OPER_INC")</f>
        <v/>
      </c>
      <c r="AB74" s="43">
        <f>BDP($B$74,"SHORT_AND_LONG_TERM_DEBT")</f>
        <v/>
      </c>
      <c r="AC74" s="43">
        <f>BDP($B$74,"TOTAL_EQUITY")</f>
        <v/>
      </c>
      <c r="AD74" s="43">
        <f>BDP($B$74,"BS_CASH_NEAR_CASH_ITEM")</f>
        <v/>
      </c>
      <c r="AE74" s="43">
        <f>BDP($B$74,"BS_LT_INVEST")</f>
        <v/>
      </c>
      <c r="AF74" s="31">
        <f>AB74+AC74</f>
        <v/>
      </c>
      <c r="AG74" s="43">
        <f>BDP($B$74,"RETURN_ON_INV_CAPITAL")/100</f>
        <v/>
      </c>
      <c r="AH74" s="49" t="n"/>
      <c r="AI74" s="48">
        <f>BDP($B$74,"BEST_EPS","BEST_FPERIOD_OVERRIDE","24Y")</f>
        <v/>
      </c>
      <c r="AJ74" s="43">
        <f>BDP($B$74,"BEST_EPS","BEST_FPERIOD_OVERRIDE","25Y")</f>
        <v/>
      </c>
      <c r="AK74" s="43">
        <f>BDP($B$74,"BEST_EPS","BEST_FPERIOD_OVERRIDE","26Y")</f>
        <v/>
      </c>
      <c r="AL74" s="43">
        <f>BDP($B$74,"BEST_EPS","BEST_FPERIOD_OVERRIDE","27Y")</f>
        <v/>
      </c>
      <c r="AM74" s="43">
        <f>BDP($B$74,"BEST_EPS","BEST_FPERIOD_OVERRIDE","28Y")</f>
        <v/>
      </c>
      <c r="AN74" s="31" t="n"/>
      <c r="AO74" s="48">
        <f>BDP($B$74,"BEST_SALES","BEST_FPERIOD_OVERRIDE","24Y")</f>
        <v/>
      </c>
      <c r="AP74" s="43">
        <f>BDP($B$74,"BEST_SALES","BEST_FPERIOD_OVERRIDE","25Y")</f>
        <v/>
      </c>
      <c r="AQ74" s="43">
        <f>BDP($B$74,"BEST_SALES","BEST_FPERIOD_OVERRIDE","26Y")</f>
        <v/>
      </c>
      <c r="AR74" s="43">
        <f>BDP($B$74,"BEST_SALES","BEST_FPERIOD_OVERRIDE","27Y")</f>
        <v/>
      </c>
      <c r="AS74" s="43">
        <f>BDP($B$74,"BEST_SALES","BEST_FPERIOD_OVERRIDE","28Y")</f>
        <v/>
      </c>
      <c r="AT74" s="31" t="n"/>
      <c r="AU74" s="48">
        <f>BDP($B$74,"BEST_EBIT","BEST_FPERIOD_OVERRIDE","24Y")</f>
        <v/>
      </c>
      <c r="AV74" s="43">
        <f>BDP($B$74,"BEST_EBIT","BEST_FPERIOD_OVERRIDE","25Y")</f>
        <v/>
      </c>
      <c r="AW74" s="43">
        <f>BDP($B$74,"BEST_EBIT","BEST_FPERIOD_OVERRIDE","26Y")</f>
        <v/>
      </c>
      <c r="AX74" s="43">
        <f>BDP($B$74,"BEST_EBIT","BEST_FPERIOD_OVERRIDE","27Y")</f>
        <v/>
      </c>
      <c r="AY74" s="43">
        <f>BDP($B$74,"BEST_EBIT","BEST_FPERIOD_OVERRIDE","28Y")</f>
        <v/>
      </c>
      <c r="AZ74" s="31" t="n"/>
      <c r="BA74" s="1">
        <f>C74+BD74</f>
        <v/>
      </c>
      <c r="BB74" s="42">
        <f>AB74-AD74</f>
        <v/>
      </c>
      <c r="BC74" s="42">
        <f>C74</f>
        <v/>
      </c>
      <c r="BD74" s="43">
        <f>BDP($B$74,"TRAIL_12M_EBITDA")</f>
        <v/>
      </c>
      <c r="BE74" s="43">
        <f>_xll.BDP("MC FP Equity","TRAIL_12M_EBITDA")</f>
        <v/>
      </c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</row>
    <row r="75">
      <c r="A75" s="1" t="inlineStr">
        <is>
          <t>RMS</t>
        </is>
      </c>
      <c r="B75" s="1" t="inlineStr">
        <is>
          <t>RMS FP Equity</t>
        </is>
      </c>
      <c r="C75" s="43">
        <f>BDP($B$75,"CUR_MKT_CAP")/1000000000</f>
        <v/>
      </c>
      <c r="D75" s="44">
        <f>BDP($B$75,"PX_LAST")</f>
        <v/>
      </c>
      <c r="E75" s="45">
        <f>IF(BDP($B$75,"BEST_EPS","BEST_FPERIOD_OVERRIDE","26Y")&lt;&gt;0,$D$75/BDP($B$75,"BEST_EPS","BEST_FPERIOD_OVERRIDE","26Y"),"")</f>
        <v/>
      </c>
      <c r="F75" s="45">
        <f>IF(BDP($B$75,"BEST_EPS","BEST_FPERIOD_OVERRIDE","27Y")&lt;&gt;0,$D$75/BDP($B$75,"BEST_EPS","BEST_FPERIOD_OVERRIDE","27Y"),"")</f>
        <v/>
      </c>
      <c r="G75" s="45">
        <f>IF(BDP($B$75,"BEST_EPS","BEST_FPERIOD_OVERRIDE","28Y")&lt;&gt;0,$D$75/BDP($B$75,"BEST_EPS","BEST_FPERIOD_OVERRIDE","28Y"),"")</f>
        <v/>
      </c>
      <c r="H75" s="46">
        <f>BDP($B$75,"NET_DEBT_TO_EBITDA")</f>
        <v/>
      </c>
      <c r="I75" s="43">
        <f>BDP($B$75,"BEST_SALES","BEST_FPERIOD_OVERRIDE","26Y")/1000</f>
        <v/>
      </c>
      <c r="J75" s="47">
        <f>IF(BDP($B$75,"BEST_SALES","BEST_FPERIOD_OVERRIDE","26Y")&lt;&gt;0,BDP($B$75,"BEST_EBIT","BEST_FPERIOD_OVERRIDE","26Y")/BDP($B$75,"BEST_SALES","BEST_FPERIOD_OVERRIDE","26Y"),"")</f>
        <v/>
      </c>
      <c r="K75" s="47">
        <f>BDP($B$75,"RETURN_ON_INV_CAPITAL")/100</f>
        <v/>
      </c>
      <c r="L75" s="47">
        <f>IF(AND(BDP($B$75,"BEST_SALES","BEST_FPERIOD_OVERRIDE","25Y")&gt;0,BDP($B$75,"BEST_SALES","BEST_FPERIOD_OVERRIDE","28Y")&gt;0),(BDP($B$75,"BEST_SALES","BEST_FPERIOD_OVERRIDE","28Y")/BDP($B$75,"BEST_SALES","BEST_FPERIOD_OVERRIDE","25Y"))^(1/3)-1,"")</f>
        <v/>
      </c>
      <c r="M75" s="47">
        <f>IF(AND(BDP($B$75,"BEST_EBIT","BEST_FPERIOD_OVERRIDE","25Y")&gt;0,BDP($B$75,"BEST_EBIT","BEST_FPERIOD_OVERRIDE","28Y")&gt;0),(BDP($B$75,"BEST_EBIT","BEST_FPERIOD_OVERRIDE","28Y")/BDP($B$75,"BEST_EBIT","BEST_FPERIOD_OVERRIDE","25Y"))^(1/3)-1,"")</f>
        <v/>
      </c>
      <c r="N75" s="47">
        <f>IF(AND(BDP($B$75,"BEST_EPS","BEST_FPERIOD_OVERRIDE","25Y")&gt;0,BDP($B$75,"BEST_EPS","BEST_FPERIOD_OVERRIDE","28Y")&gt;0),(BDP($B$75,"BEST_EPS","BEST_FPERIOD_OVERRIDE","28Y")/BDP($B$75,"BEST_EPS","BEST_FPERIOD_OVERRIDE","25Y"))^(1/3)-1,"")</f>
        <v/>
      </c>
      <c r="O75" s="1" t="n"/>
      <c r="P75" s="47">
        <f>BDP($B$75,"CHG_PCT_YTD")/100</f>
        <v/>
      </c>
      <c r="Q75" s="1" t="n"/>
      <c r="R75" s="1" t="n"/>
      <c r="S75" s="42">
        <f>IF(AND(E75&lt;&gt;"",N75&lt;&gt;"",N75&lt;&gt;0),E75/(N75*100),"")</f>
        <v/>
      </c>
      <c r="T75" s="1" t="n"/>
      <c r="U75" s="26" t="inlineStr">
        <is>
          <t>Dec</t>
        </is>
      </c>
      <c r="V75" s="1" t="n"/>
      <c r="W75" s="1" t="n"/>
      <c r="X75" s="1" t="n"/>
      <c r="Y75" s="1" t="n"/>
      <c r="Z75" s="1" t="n"/>
      <c r="AA75" s="48">
        <f>BDP($B$75,"TRAIL_12M_OPER_INC")</f>
        <v/>
      </c>
      <c r="AB75" s="43">
        <f>BDP($B$75,"SHORT_AND_LONG_TERM_DEBT")</f>
        <v/>
      </c>
      <c r="AC75" s="43">
        <f>BDP($B$75,"TOTAL_EQUITY")</f>
        <v/>
      </c>
      <c r="AD75" s="43">
        <f>BDP($B$75,"BS_CASH_NEAR_CASH_ITEM")</f>
        <v/>
      </c>
      <c r="AE75" s="43">
        <f>BDP($B$75,"BS_LT_INVEST")</f>
        <v/>
      </c>
      <c r="AF75" s="31">
        <f>AB75+AC75</f>
        <v/>
      </c>
      <c r="AG75" s="43">
        <f>BDP($B$75,"RETURN_ON_INV_CAPITAL")/100</f>
        <v/>
      </c>
      <c r="AH75" s="49" t="n"/>
      <c r="AI75" s="48">
        <f>BDP($B$75,"BEST_EPS","BEST_FPERIOD_OVERRIDE","24Y")</f>
        <v/>
      </c>
      <c r="AJ75" s="43">
        <f>BDP($B$75,"BEST_EPS","BEST_FPERIOD_OVERRIDE","25Y")</f>
        <v/>
      </c>
      <c r="AK75" s="43">
        <f>BDP($B$75,"BEST_EPS","BEST_FPERIOD_OVERRIDE","26Y")</f>
        <v/>
      </c>
      <c r="AL75" s="43">
        <f>BDP($B$75,"BEST_EPS","BEST_FPERIOD_OVERRIDE","27Y")</f>
        <v/>
      </c>
      <c r="AM75" s="43">
        <f>BDP($B$75,"BEST_EPS","BEST_FPERIOD_OVERRIDE","28Y")</f>
        <v/>
      </c>
      <c r="AN75" s="31" t="n"/>
      <c r="AO75" s="48">
        <f>BDP($B$75,"BEST_SALES","BEST_FPERIOD_OVERRIDE","24Y")</f>
        <v/>
      </c>
      <c r="AP75" s="43">
        <f>BDP($B$75,"BEST_SALES","BEST_FPERIOD_OVERRIDE","25Y")</f>
        <v/>
      </c>
      <c r="AQ75" s="43">
        <f>BDP($B$75,"BEST_SALES","BEST_FPERIOD_OVERRIDE","26Y")</f>
        <v/>
      </c>
      <c r="AR75" s="43">
        <f>BDP($B$75,"BEST_SALES","BEST_FPERIOD_OVERRIDE","27Y")</f>
        <v/>
      </c>
      <c r="AS75" s="43">
        <f>BDP($B$75,"BEST_SALES","BEST_FPERIOD_OVERRIDE","28Y")</f>
        <v/>
      </c>
      <c r="AT75" s="31" t="n"/>
      <c r="AU75" s="48">
        <f>BDP($B$75,"BEST_EBIT","BEST_FPERIOD_OVERRIDE","24Y")</f>
        <v/>
      </c>
      <c r="AV75" s="43">
        <f>BDP($B$75,"BEST_EBIT","BEST_FPERIOD_OVERRIDE","25Y")</f>
        <v/>
      </c>
      <c r="AW75" s="43">
        <f>BDP($B$75,"BEST_EBIT","BEST_FPERIOD_OVERRIDE","26Y")</f>
        <v/>
      </c>
      <c r="AX75" s="43">
        <f>BDP($B$75,"BEST_EBIT","BEST_FPERIOD_OVERRIDE","27Y")</f>
        <v/>
      </c>
      <c r="AY75" s="43">
        <f>BDP($B$75,"BEST_EBIT","BEST_FPERIOD_OVERRIDE","28Y")</f>
        <v/>
      </c>
      <c r="AZ75" s="31" t="n"/>
      <c r="BA75" s="1">
        <f>C75+BD75</f>
        <v/>
      </c>
      <c r="BB75" s="42">
        <f>AB75-AD75</f>
        <v/>
      </c>
      <c r="BC75" s="42">
        <f>C75</f>
        <v/>
      </c>
      <c r="BD75" s="43">
        <f>BDP($B$75,"TRAIL_12M_EBITDA")</f>
        <v/>
      </c>
      <c r="BE75" s="43">
        <f>_xll.BDP("RMS FP Equity","TRAIL_12M_EBITDA")</f>
        <v/>
      </c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</row>
    <row r="76">
      <c r="A76" s="1" t="inlineStr">
        <is>
          <t>PM</t>
        </is>
      </c>
      <c r="B76" s="1" t="inlineStr">
        <is>
          <t>PM US Equity</t>
        </is>
      </c>
      <c r="C76" s="43">
        <f>BDP($B$76,"CUR_MKT_CAP")/1000000000</f>
        <v/>
      </c>
      <c r="D76" s="44">
        <f>BDP($B$76,"PX_LAST")</f>
        <v/>
      </c>
      <c r="E76" s="45">
        <f>IF(BDP($B$76,"BEST_EPS","BEST_FPERIOD_OVERRIDE","26Y")&lt;&gt;0,$D$76/BDP($B$76,"BEST_EPS","BEST_FPERIOD_OVERRIDE","26Y"),"")</f>
        <v/>
      </c>
      <c r="F76" s="45">
        <f>IF(BDP($B$76,"BEST_EPS","BEST_FPERIOD_OVERRIDE","27Y")&lt;&gt;0,$D$76/BDP($B$76,"BEST_EPS","BEST_FPERIOD_OVERRIDE","27Y"),"")</f>
        <v/>
      </c>
      <c r="G76" s="45">
        <f>IF(BDP($B$76,"BEST_EPS","BEST_FPERIOD_OVERRIDE","28Y")&lt;&gt;0,$D$76/BDP($B$76,"BEST_EPS","BEST_FPERIOD_OVERRIDE","28Y"),"")</f>
        <v/>
      </c>
      <c r="H76" s="46">
        <f>BDP($B$76,"NET_DEBT_TO_EBITDA")</f>
        <v/>
      </c>
      <c r="I76" s="43">
        <f>BDP($B$76,"BEST_SALES","BEST_FPERIOD_OVERRIDE","26Y")/1000</f>
        <v/>
      </c>
      <c r="J76" s="47">
        <f>IF(BDP($B$76,"BEST_SALES","BEST_FPERIOD_OVERRIDE","26Y")&lt;&gt;0,BDP($B$76,"BEST_EBIT","BEST_FPERIOD_OVERRIDE","26Y")/BDP($B$76,"BEST_SALES","BEST_FPERIOD_OVERRIDE","26Y"),"")</f>
        <v/>
      </c>
      <c r="K76" s="47">
        <f>BDP($B$76,"RETURN_ON_INV_CAPITAL")/100</f>
        <v/>
      </c>
      <c r="L76" s="47">
        <f>IF(AND(BDP($B$76,"BEST_SALES","BEST_FPERIOD_OVERRIDE","25Y")&gt;0,BDP($B$76,"BEST_SALES","BEST_FPERIOD_OVERRIDE","28Y")&gt;0),(BDP($B$76,"BEST_SALES","BEST_FPERIOD_OVERRIDE","28Y")/BDP($B$76,"BEST_SALES","BEST_FPERIOD_OVERRIDE","25Y"))^(1/3)-1,"")</f>
        <v/>
      </c>
      <c r="M76" s="47">
        <f>IF(AND(BDP($B$76,"BEST_EBIT","BEST_FPERIOD_OVERRIDE","25Y")&gt;0,BDP($B$76,"BEST_EBIT","BEST_FPERIOD_OVERRIDE","28Y")&gt;0),(BDP($B$76,"BEST_EBIT","BEST_FPERIOD_OVERRIDE","28Y")/BDP($B$76,"BEST_EBIT","BEST_FPERIOD_OVERRIDE","25Y"))^(1/3)-1,"")</f>
        <v/>
      </c>
      <c r="N76" s="47">
        <f>IF(AND(BDP($B$76,"BEST_EPS","BEST_FPERIOD_OVERRIDE","25Y")&gt;0,BDP($B$76,"BEST_EPS","BEST_FPERIOD_OVERRIDE","28Y")&gt;0),(BDP($B$76,"BEST_EPS","BEST_FPERIOD_OVERRIDE","28Y")/BDP($B$76,"BEST_EPS","BEST_FPERIOD_OVERRIDE","25Y"))^(1/3)-1,"")</f>
        <v/>
      </c>
      <c r="O76" s="1" t="n"/>
      <c r="P76" s="47">
        <f>BDP($B$76,"CHG_PCT_YTD")/100</f>
        <v/>
      </c>
      <c r="Q76" s="1" t="n"/>
      <c r="R76" s="1" t="n"/>
      <c r="S76" s="42">
        <f>IF(AND(E76&lt;&gt;"",N76&lt;&gt;"",N76&lt;&gt;0),E76/(N76*100),"")</f>
        <v/>
      </c>
      <c r="T76" s="1" t="n"/>
      <c r="U76" s="26" t="inlineStr">
        <is>
          <t>Dec</t>
        </is>
      </c>
      <c r="V76" s="1" t="n"/>
      <c r="W76" s="1" t="n"/>
      <c r="X76" s="1" t="n"/>
      <c r="Y76" s="1" t="n"/>
      <c r="Z76" s="1" t="n"/>
      <c r="AA76" s="48">
        <f>BDP($B$76,"TRAIL_12M_OPER_INC")</f>
        <v/>
      </c>
      <c r="AB76" s="43">
        <f>BDP($B$76,"SHORT_AND_LONG_TERM_DEBT")</f>
        <v/>
      </c>
      <c r="AC76" s="43">
        <f>BDP($B$76,"TOTAL_EQUITY")</f>
        <v/>
      </c>
      <c r="AD76" s="43">
        <f>BDP($B$76,"BS_CASH_NEAR_CASH_ITEM")</f>
        <v/>
      </c>
      <c r="AE76" s="43">
        <f>BDP($B$76,"BS_LT_INVEST")</f>
        <v/>
      </c>
      <c r="AF76" s="31">
        <f>AB76+AC76</f>
        <v/>
      </c>
      <c r="AG76" s="43">
        <f>BDP($B$76,"RETURN_ON_INV_CAPITAL")/100</f>
        <v/>
      </c>
      <c r="AH76" s="49" t="n"/>
      <c r="AI76" s="48">
        <f>BDP($B$76,"BEST_EPS","BEST_FPERIOD_OVERRIDE","24Y")</f>
        <v/>
      </c>
      <c r="AJ76" s="43">
        <f>BDP($B$76,"BEST_EPS","BEST_FPERIOD_OVERRIDE","25Y")</f>
        <v/>
      </c>
      <c r="AK76" s="43">
        <f>BDP($B$76,"BEST_EPS","BEST_FPERIOD_OVERRIDE","26Y")</f>
        <v/>
      </c>
      <c r="AL76" s="43">
        <f>BDP($B$76,"BEST_EPS","BEST_FPERIOD_OVERRIDE","27Y")</f>
        <v/>
      </c>
      <c r="AM76" s="43">
        <f>BDP($B$76,"BEST_EPS","BEST_FPERIOD_OVERRIDE","28Y")</f>
        <v/>
      </c>
      <c r="AN76" s="31" t="n"/>
      <c r="AO76" s="48">
        <f>BDP($B$76,"BEST_SALES","BEST_FPERIOD_OVERRIDE","24Y")</f>
        <v/>
      </c>
      <c r="AP76" s="43">
        <f>BDP($B$76,"BEST_SALES","BEST_FPERIOD_OVERRIDE","25Y")</f>
        <v/>
      </c>
      <c r="AQ76" s="43">
        <f>BDP($B$76,"BEST_SALES","BEST_FPERIOD_OVERRIDE","26Y")</f>
        <v/>
      </c>
      <c r="AR76" s="43">
        <f>BDP($B$76,"BEST_SALES","BEST_FPERIOD_OVERRIDE","27Y")</f>
        <v/>
      </c>
      <c r="AS76" s="43">
        <f>BDP($B$76,"BEST_SALES","BEST_FPERIOD_OVERRIDE","28Y")</f>
        <v/>
      </c>
      <c r="AT76" s="31" t="n"/>
      <c r="AU76" s="48">
        <f>BDP($B$76,"BEST_EBIT","BEST_FPERIOD_OVERRIDE","24Y")</f>
        <v/>
      </c>
      <c r="AV76" s="43">
        <f>BDP($B$76,"BEST_EBIT","BEST_FPERIOD_OVERRIDE","25Y")</f>
        <v/>
      </c>
      <c r="AW76" s="43">
        <f>BDP($B$76,"BEST_EBIT","BEST_FPERIOD_OVERRIDE","26Y")</f>
        <v/>
      </c>
      <c r="AX76" s="43">
        <f>BDP($B$76,"BEST_EBIT","BEST_FPERIOD_OVERRIDE","27Y")</f>
        <v/>
      </c>
      <c r="AY76" s="43">
        <f>BDP($B$76,"BEST_EBIT","BEST_FPERIOD_OVERRIDE","28Y")</f>
        <v/>
      </c>
      <c r="AZ76" s="31" t="n"/>
      <c r="BA76" s="1">
        <f>C76+BD76</f>
        <v/>
      </c>
      <c r="BB76" s="42">
        <f>AB76-AD76</f>
        <v/>
      </c>
      <c r="BC76" s="42">
        <f>C76</f>
        <v/>
      </c>
      <c r="BD76" s="43">
        <f>BDP($B$76,"TRAIL_12M_EBITDA")</f>
        <v/>
      </c>
      <c r="BE76" s="43">
        <f>_xll.BDP("PM US Equity","TRAIL_12M_EBITDA")</f>
        <v/>
      </c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</row>
    <row r="77">
      <c r="A77" s="1" t="n"/>
      <c r="B77" s="1" t="n"/>
      <c r="C77" s="4" t="n"/>
      <c r="D77" s="38" t="n"/>
      <c r="E77" s="51">
        <f>AVERAGE(E66:E76)</f>
        <v/>
      </c>
      <c r="F77" s="51">
        <f>AVERAGE(F66:F76)</f>
        <v/>
      </c>
      <c r="G77" s="51">
        <f>AVERAGE(G66:G76)</f>
        <v/>
      </c>
      <c r="H77" s="52">
        <f>AVERAGE(H66:H76)</f>
        <v/>
      </c>
      <c r="I77" s="53" t="n"/>
      <c r="J77" s="54">
        <f>AVERAGE(J66:J76)</f>
        <v/>
      </c>
      <c r="K77" s="54">
        <f>AVERAGE(K66:K76)</f>
        <v/>
      </c>
      <c r="L77" s="54">
        <f>AVERAGE(L66:L76)</f>
        <v/>
      </c>
      <c r="M77" s="54">
        <f>AVERAGE(M66:M76)</f>
        <v/>
      </c>
      <c r="N77" s="54">
        <f>AVERAGE(N66:N76)</f>
        <v/>
      </c>
      <c r="O77" s="1" t="n"/>
      <c r="P77" s="1" t="n"/>
      <c r="Q77" s="1" t="n"/>
      <c r="R77" s="1" t="n"/>
      <c r="S77" s="42" t="n"/>
      <c r="T77" s="1" t="n"/>
      <c r="U77" s="26" t="n"/>
      <c r="V77" s="1" t="n"/>
      <c r="W77" s="1" t="n"/>
      <c r="X77" s="1" t="n"/>
      <c r="Y77" s="1" t="n"/>
      <c r="Z77" s="1" t="n"/>
      <c r="AA77" s="1" t="n"/>
      <c r="AB77" s="4" t="n"/>
      <c r="AC77" s="4" t="n"/>
      <c r="AD77" s="4" t="n"/>
      <c r="AE77" s="4" t="n"/>
      <c r="AF77" s="4" t="n"/>
      <c r="AG77" s="4" t="n"/>
      <c r="AH77" s="41" t="n"/>
      <c r="AI77" s="1" t="n"/>
      <c r="AJ77" s="4" t="n"/>
      <c r="AK77" s="4" t="n"/>
      <c r="AL77" s="4" t="n"/>
      <c r="AM77" s="4" t="n"/>
      <c r="AN77" s="4" t="n"/>
      <c r="AO77" s="1" t="n"/>
      <c r="AP77" s="4" t="n"/>
      <c r="AQ77" s="4" t="n"/>
      <c r="AR77" s="4" t="n"/>
      <c r="AS77" s="4" t="n"/>
      <c r="AT77" s="4" t="n"/>
      <c r="AU77" s="1" t="n"/>
      <c r="AV77" s="4" t="n"/>
      <c r="AW77" s="4" t="n"/>
      <c r="AX77" s="4" t="n"/>
      <c r="AY77" s="4" t="n"/>
      <c r="AZ77" s="4" t="n"/>
      <c r="BA77" s="1" t="n"/>
      <c r="BB77" s="42" t="n"/>
      <c r="BC77" s="42" t="n"/>
      <c r="BD77" s="4" t="n"/>
      <c r="BE77" s="4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</row>
    <row r="78">
      <c r="A78" s="3" t="inlineStr">
        <is>
          <t>Industrials</t>
        </is>
      </c>
      <c r="B78" s="1" t="n"/>
      <c r="C78" s="43" t="n"/>
      <c r="D78" s="44" t="n"/>
      <c r="E78" s="45" t="n"/>
      <c r="F78" s="45" t="n"/>
      <c r="G78" s="45" t="n"/>
      <c r="H78" s="43" t="n"/>
      <c r="I78" s="43" t="n"/>
      <c r="J78" s="47" t="n"/>
      <c r="K78" s="43" t="n"/>
      <c r="L78" s="47" t="n"/>
      <c r="M78" s="47" t="n"/>
      <c r="N78" s="47" t="n"/>
      <c r="O78" s="1" t="n"/>
      <c r="P78" s="48" t="n"/>
      <c r="Q78" s="1" t="n"/>
      <c r="R78" s="1" t="n"/>
      <c r="S78" s="42">
        <f>IF(AND(E78&lt;&gt;"",N78&lt;&gt;"",N78&lt;&gt;0),E78/(N78*100),"")</f>
        <v/>
      </c>
      <c r="T78" s="1" t="n"/>
      <c r="U78" s="26" t="inlineStr">
        <is>
          <t>Dec</t>
        </is>
      </c>
      <c r="V78" s="1" t="n"/>
      <c r="W78" s="1" t="n"/>
      <c r="X78" s="1" t="n"/>
      <c r="Y78" s="1" t="n"/>
      <c r="Z78" s="1" t="n"/>
      <c r="AA78" s="48" t="n"/>
      <c r="AB78" s="43" t="n"/>
      <c r="AC78" s="43" t="n"/>
      <c r="AD78" s="43" t="n"/>
      <c r="AE78" s="43" t="n"/>
      <c r="AF78" s="4">
        <f>AB78+AC78</f>
        <v/>
      </c>
      <c r="AG78" s="43" t="n"/>
      <c r="AH78" s="41" t="n"/>
      <c r="AI78" s="48" t="n"/>
      <c r="AJ78" s="43" t="n"/>
      <c r="AK78" s="43" t="n"/>
      <c r="AL78" s="43" t="n"/>
      <c r="AM78" s="43" t="n"/>
      <c r="AN78" s="4" t="n"/>
      <c r="AO78" s="48" t="n"/>
      <c r="AP78" s="43" t="n"/>
      <c r="AQ78" s="43" t="n"/>
      <c r="AR78" s="43" t="n"/>
      <c r="AS78" s="43" t="n"/>
      <c r="AT78" s="4" t="n"/>
      <c r="AU78" s="48" t="n"/>
      <c r="AV78" s="43" t="n"/>
      <c r="AW78" s="43" t="n"/>
      <c r="AX78" s="43" t="n"/>
      <c r="AY78" s="43" t="n"/>
      <c r="AZ78" s="4" t="n"/>
      <c r="BA78" s="1">
        <f>C78+BD78</f>
        <v/>
      </c>
      <c r="BB78" s="42">
        <f>AB78-AD78</f>
        <v/>
      </c>
      <c r="BC78" s="42">
        <f>C78</f>
        <v/>
      </c>
      <c r="BD78" s="43" t="n"/>
      <c r="BE78" s="4" t="n"/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</row>
    <row r="79">
      <c r="A79" s="1" t="inlineStr">
        <is>
          <t>GE</t>
        </is>
      </c>
      <c r="B79" s="1" t="inlineStr">
        <is>
          <t>GE US Equity</t>
        </is>
      </c>
      <c r="C79" s="43">
        <f>BDP($B$79,"CUR_MKT_CAP")/1000000000</f>
        <v/>
      </c>
      <c r="D79" s="44">
        <f>BDP($B$79,"PX_LAST")</f>
        <v/>
      </c>
      <c r="E79" s="45">
        <f>IF(BDP($B$79,"BEST_EPS","BEST_FPERIOD_OVERRIDE","26Y")&lt;&gt;0,$D$79/BDP($B$79,"BEST_EPS","BEST_FPERIOD_OVERRIDE","26Y"),"")</f>
        <v/>
      </c>
      <c r="F79" s="45">
        <f>IF(BDP($B$79,"BEST_EPS","BEST_FPERIOD_OVERRIDE","27Y")&lt;&gt;0,$D$79/BDP($B$79,"BEST_EPS","BEST_FPERIOD_OVERRIDE","27Y"),"")</f>
        <v/>
      </c>
      <c r="G79" s="45">
        <f>IF(BDP($B$79,"BEST_EPS","BEST_FPERIOD_OVERRIDE","28Y")&lt;&gt;0,$D$79/BDP($B$79,"BEST_EPS","BEST_FPERIOD_OVERRIDE","28Y"),"")</f>
        <v/>
      </c>
      <c r="H79" s="46">
        <f>BDP($B$79,"NET_DEBT_TO_EBITDA")</f>
        <v/>
      </c>
      <c r="I79" s="43">
        <f>BDP($B$79,"BEST_SALES","BEST_FPERIOD_OVERRIDE","26Y")/1000</f>
        <v/>
      </c>
      <c r="J79" s="47">
        <f>IF(BDP($B$79,"BEST_SALES","BEST_FPERIOD_OVERRIDE","26Y")&lt;&gt;0,BDP($B$79,"BEST_EBIT","BEST_FPERIOD_OVERRIDE","26Y")/BDP($B$79,"BEST_SALES","BEST_FPERIOD_OVERRIDE","26Y"),"")</f>
        <v/>
      </c>
      <c r="K79" s="47">
        <f>BDP($B$79,"RETURN_ON_INV_CAPITAL")/100</f>
        <v/>
      </c>
      <c r="L79" s="47">
        <f>IF(AND(BDP($B$79,"BEST_SALES","BEST_FPERIOD_OVERRIDE","25Y")&gt;0,BDP($B$79,"BEST_SALES","BEST_FPERIOD_OVERRIDE","28Y")&gt;0),(BDP($B$79,"BEST_SALES","BEST_FPERIOD_OVERRIDE","28Y")/BDP($B$79,"BEST_SALES","BEST_FPERIOD_OVERRIDE","25Y"))^(1/3)-1,"")</f>
        <v/>
      </c>
      <c r="M79" s="47">
        <f>IF(AND(BDP($B$79,"BEST_EBIT","BEST_FPERIOD_OVERRIDE","25Y")&gt;0,BDP($B$79,"BEST_EBIT","BEST_FPERIOD_OVERRIDE","28Y")&gt;0),(BDP($B$79,"BEST_EBIT","BEST_FPERIOD_OVERRIDE","28Y")/BDP($B$79,"BEST_EBIT","BEST_FPERIOD_OVERRIDE","25Y"))^(1/3)-1,"")</f>
        <v/>
      </c>
      <c r="N79" s="47">
        <f>IF(AND(BDP($B$79,"BEST_EPS","BEST_FPERIOD_OVERRIDE","25Y")&gt;0,BDP($B$79,"BEST_EPS","BEST_FPERIOD_OVERRIDE","28Y")&gt;0),(BDP($B$79,"BEST_EPS","BEST_FPERIOD_OVERRIDE","28Y")/BDP($B$79,"BEST_EPS","BEST_FPERIOD_OVERRIDE","25Y"))^(1/3)-1,"")</f>
        <v/>
      </c>
      <c r="O79" s="1" t="n"/>
      <c r="P79" s="47">
        <f>BDP($B$79,"CHG_PCT_YTD")/100</f>
        <v/>
      </c>
      <c r="Q79" s="1" t="n"/>
      <c r="R79" s="1" t="n"/>
      <c r="S79" s="42">
        <f>IF(AND(E79&lt;&gt;"",N79&lt;&gt;"",N79&lt;&gt;0),E79/(N79*100),"")</f>
        <v/>
      </c>
      <c r="T79" s="1" t="n"/>
      <c r="U79" s="29" t="inlineStr">
        <is>
          <t>Dec</t>
        </is>
      </c>
      <c r="V79" s="1" t="n"/>
      <c r="W79" s="1" t="n"/>
      <c r="X79" s="1" t="n"/>
      <c r="Y79" s="1" t="n"/>
      <c r="Z79" s="1" t="n"/>
      <c r="AA79" s="48">
        <f>BDP($B$79,"TRAIL_12M_OPER_INC")</f>
        <v/>
      </c>
      <c r="AB79" s="43">
        <f>BDP($B$79,"SHORT_AND_LONG_TERM_DEBT")</f>
        <v/>
      </c>
      <c r="AC79" s="43">
        <f>BDP($B$79,"TOTAL_EQUITY")</f>
        <v/>
      </c>
      <c r="AD79" s="43">
        <f>BDP($B$79,"BS_CASH_NEAR_CASH_ITEM")</f>
        <v/>
      </c>
      <c r="AE79" s="43">
        <f>BDP($B$79,"BS_LT_INVEST")</f>
        <v/>
      </c>
      <c r="AF79" s="31">
        <f>AB79+AC79</f>
        <v/>
      </c>
      <c r="AG79" s="43">
        <f>BDP($B$79,"RETURN_ON_INV_CAPITAL")/100</f>
        <v/>
      </c>
      <c r="AH79" s="49" t="n"/>
      <c r="AI79" s="48">
        <f>BDP($B$79,"BEST_EPS","BEST_FPERIOD_OVERRIDE","24Y")</f>
        <v/>
      </c>
      <c r="AJ79" s="43">
        <f>BDP($B$79,"BEST_EPS","BEST_FPERIOD_OVERRIDE","25Y")</f>
        <v/>
      </c>
      <c r="AK79" s="43">
        <f>BDP($B$79,"BEST_EPS","BEST_FPERIOD_OVERRIDE","26Y")</f>
        <v/>
      </c>
      <c r="AL79" s="43">
        <f>BDP($B$79,"BEST_EPS","BEST_FPERIOD_OVERRIDE","27Y")</f>
        <v/>
      </c>
      <c r="AM79" s="43">
        <f>BDP($B$79,"BEST_EPS","BEST_FPERIOD_OVERRIDE","28Y")</f>
        <v/>
      </c>
      <c r="AN79" s="31" t="n"/>
      <c r="AO79" s="48">
        <f>BDP($B$79,"BEST_SALES","BEST_FPERIOD_OVERRIDE","24Y")</f>
        <v/>
      </c>
      <c r="AP79" s="43">
        <f>BDP($B$79,"BEST_SALES","BEST_FPERIOD_OVERRIDE","25Y")</f>
        <v/>
      </c>
      <c r="AQ79" s="43">
        <f>BDP($B$79,"BEST_SALES","BEST_FPERIOD_OVERRIDE","26Y")</f>
        <v/>
      </c>
      <c r="AR79" s="43">
        <f>BDP($B$79,"BEST_SALES","BEST_FPERIOD_OVERRIDE","27Y")</f>
        <v/>
      </c>
      <c r="AS79" s="43">
        <f>BDP($B$79,"BEST_SALES","BEST_FPERIOD_OVERRIDE","28Y")</f>
        <v/>
      </c>
      <c r="AT79" s="31" t="n"/>
      <c r="AU79" s="48">
        <f>BDP($B$79,"BEST_EBIT","BEST_FPERIOD_OVERRIDE","24Y")</f>
        <v/>
      </c>
      <c r="AV79" s="43">
        <f>BDP($B$79,"BEST_EBIT","BEST_FPERIOD_OVERRIDE","25Y")</f>
        <v/>
      </c>
      <c r="AW79" s="43">
        <f>BDP($B$79,"BEST_EBIT","BEST_FPERIOD_OVERRIDE","26Y")</f>
        <v/>
      </c>
      <c r="AX79" s="43">
        <f>BDP($B$79,"BEST_EBIT","BEST_FPERIOD_OVERRIDE","27Y")</f>
        <v/>
      </c>
      <c r="AY79" s="43">
        <f>BDP($B$79,"BEST_EBIT","BEST_FPERIOD_OVERRIDE","28Y")</f>
        <v/>
      </c>
      <c r="AZ79" s="31" t="n"/>
      <c r="BA79" s="1">
        <f>C79+BD79</f>
        <v/>
      </c>
      <c r="BB79" s="42">
        <f>AB79-AD79</f>
        <v/>
      </c>
      <c r="BC79" s="42">
        <f>C79</f>
        <v/>
      </c>
      <c r="BD79" s="43">
        <f>BDP($B$79,"TRAIL_12M_EBITDA")</f>
        <v/>
      </c>
      <c r="BE79" s="43">
        <f>_xll.BDP("GE US Equity","TRAIL_12M_EBITDA")</f>
        <v/>
      </c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</row>
    <row r="80">
      <c r="A80" s="1" t="inlineStr">
        <is>
          <t>TMO</t>
        </is>
      </c>
      <c r="B80" s="1" t="inlineStr">
        <is>
          <t>TMO US Equity</t>
        </is>
      </c>
      <c r="C80" s="43">
        <f>BDP($B$80,"CUR_MKT_CAP")/1000000000</f>
        <v/>
      </c>
      <c r="D80" s="44">
        <f>BDP($B$80,"PX_LAST")</f>
        <v/>
      </c>
      <c r="E80" s="45">
        <f>IF(BDP($B$80,"BEST_EPS","BEST_FPERIOD_OVERRIDE","26Y")&lt;&gt;0,$D$80/BDP($B$80,"BEST_EPS","BEST_FPERIOD_OVERRIDE","26Y"),"")</f>
        <v/>
      </c>
      <c r="F80" s="45">
        <f>IF(BDP($B$80,"BEST_EPS","BEST_FPERIOD_OVERRIDE","27Y")&lt;&gt;0,$D$80/BDP($B$80,"BEST_EPS","BEST_FPERIOD_OVERRIDE","27Y"),"")</f>
        <v/>
      </c>
      <c r="G80" s="45">
        <f>IF(BDP($B$80,"BEST_EPS","BEST_FPERIOD_OVERRIDE","28Y")&lt;&gt;0,$D$80/BDP($B$80,"BEST_EPS","BEST_FPERIOD_OVERRIDE","28Y"),"")</f>
        <v/>
      </c>
      <c r="H80" s="46">
        <f>BDP($B$80,"NET_DEBT_TO_EBITDA")</f>
        <v/>
      </c>
      <c r="I80" s="43">
        <f>BDP($B$80,"BEST_SALES","BEST_FPERIOD_OVERRIDE","26Y")/1000</f>
        <v/>
      </c>
      <c r="J80" s="47">
        <f>IF(BDP($B$80,"BEST_SALES","BEST_FPERIOD_OVERRIDE","26Y")&lt;&gt;0,BDP($B$80,"BEST_EBIT","BEST_FPERIOD_OVERRIDE","26Y")/BDP($B$80,"BEST_SALES","BEST_FPERIOD_OVERRIDE","26Y"),"")</f>
        <v/>
      </c>
      <c r="K80" s="47">
        <f>BDP($B$80,"RETURN_ON_INV_CAPITAL")/100</f>
        <v/>
      </c>
      <c r="L80" s="47">
        <f>IF(AND(BDP($B$80,"BEST_SALES","BEST_FPERIOD_OVERRIDE","25Y")&gt;0,BDP($B$80,"BEST_SALES","BEST_FPERIOD_OVERRIDE","28Y")&gt;0),(BDP($B$80,"BEST_SALES","BEST_FPERIOD_OVERRIDE","28Y")/BDP($B$80,"BEST_SALES","BEST_FPERIOD_OVERRIDE","25Y"))^(1/3)-1,"")</f>
        <v/>
      </c>
      <c r="M80" s="47">
        <f>IF(AND(BDP($B$80,"BEST_EBIT","BEST_FPERIOD_OVERRIDE","25Y")&gt;0,BDP($B$80,"BEST_EBIT","BEST_FPERIOD_OVERRIDE","28Y")&gt;0),(BDP($B$80,"BEST_EBIT","BEST_FPERIOD_OVERRIDE","28Y")/BDP($B$80,"BEST_EBIT","BEST_FPERIOD_OVERRIDE","25Y"))^(1/3)-1,"")</f>
        <v/>
      </c>
      <c r="N80" s="47">
        <f>IF(AND(BDP($B$80,"BEST_EPS","BEST_FPERIOD_OVERRIDE","25Y")&gt;0,BDP($B$80,"BEST_EPS","BEST_FPERIOD_OVERRIDE","28Y")&gt;0),(BDP($B$80,"BEST_EPS","BEST_FPERIOD_OVERRIDE","28Y")/BDP($B$80,"BEST_EPS","BEST_FPERIOD_OVERRIDE","25Y"))^(1/3)-1,"")</f>
        <v/>
      </c>
      <c r="O80" s="1" t="n"/>
      <c r="P80" s="47">
        <f>BDP($B$80,"CHG_PCT_YTD")/100</f>
        <v/>
      </c>
      <c r="Q80" s="1" t="n"/>
      <c r="R80" s="1" t="n"/>
      <c r="S80" s="42">
        <f>IF(AND(E80&lt;&gt;"",N80&lt;&gt;"",N80&lt;&gt;0),E80/(N80*100),"")</f>
        <v/>
      </c>
      <c r="T80" s="1" t="n"/>
      <c r="U80" s="26" t="inlineStr">
        <is>
          <t>Dec</t>
        </is>
      </c>
      <c r="V80" s="1" t="n"/>
      <c r="W80" s="1" t="n"/>
      <c r="X80" s="1" t="n"/>
      <c r="Y80" s="1" t="n"/>
      <c r="Z80" s="1" t="n"/>
      <c r="AA80" s="48">
        <f>BDP($B$80,"TRAIL_12M_OPER_INC")</f>
        <v/>
      </c>
      <c r="AB80" s="43">
        <f>BDP($B$80,"SHORT_AND_LONG_TERM_DEBT")</f>
        <v/>
      </c>
      <c r="AC80" s="43">
        <f>BDP($B$80,"TOTAL_EQUITY")</f>
        <v/>
      </c>
      <c r="AD80" s="43">
        <f>BDP($B$80,"BS_CASH_NEAR_CASH_ITEM")</f>
        <v/>
      </c>
      <c r="AE80" s="43">
        <f>BDP($B$80,"BS_LT_INVEST")</f>
        <v/>
      </c>
      <c r="AF80" s="31">
        <f>AB80+AC80</f>
        <v/>
      </c>
      <c r="AG80" s="43">
        <f>BDP($B$80,"RETURN_ON_INV_CAPITAL")/100</f>
        <v/>
      </c>
      <c r="AH80" s="49" t="n"/>
      <c r="AI80" s="48">
        <f>BDP($B$80,"BEST_EPS","BEST_FPERIOD_OVERRIDE","24Y")</f>
        <v/>
      </c>
      <c r="AJ80" s="43">
        <f>BDP($B$80,"BEST_EPS","BEST_FPERIOD_OVERRIDE","25Y")</f>
        <v/>
      </c>
      <c r="AK80" s="43">
        <f>BDP($B$80,"BEST_EPS","BEST_FPERIOD_OVERRIDE","26Y")</f>
        <v/>
      </c>
      <c r="AL80" s="43">
        <f>BDP($B$80,"BEST_EPS","BEST_FPERIOD_OVERRIDE","27Y")</f>
        <v/>
      </c>
      <c r="AM80" s="43">
        <f>BDP($B$80,"BEST_EPS","BEST_FPERIOD_OVERRIDE","28Y")</f>
        <v/>
      </c>
      <c r="AN80" s="31" t="n"/>
      <c r="AO80" s="48">
        <f>BDP($B$80,"BEST_SALES","BEST_FPERIOD_OVERRIDE","24Y")</f>
        <v/>
      </c>
      <c r="AP80" s="43">
        <f>BDP($B$80,"BEST_SALES","BEST_FPERIOD_OVERRIDE","25Y")</f>
        <v/>
      </c>
      <c r="AQ80" s="43">
        <f>BDP($B$80,"BEST_SALES","BEST_FPERIOD_OVERRIDE","26Y")</f>
        <v/>
      </c>
      <c r="AR80" s="43">
        <f>BDP($B$80,"BEST_SALES","BEST_FPERIOD_OVERRIDE","27Y")</f>
        <v/>
      </c>
      <c r="AS80" s="43">
        <f>BDP($B$80,"BEST_SALES","BEST_FPERIOD_OVERRIDE","28Y")</f>
        <v/>
      </c>
      <c r="AT80" s="31" t="n"/>
      <c r="AU80" s="48">
        <f>BDP($B$80,"BEST_EBIT","BEST_FPERIOD_OVERRIDE","24Y")</f>
        <v/>
      </c>
      <c r="AV80" s="43">
        <f>BDP($B$80,"BEST_EBIT","BEST_FPERIOD_OVERRIDE","25Y")</f>
        <v/>
      </c>
      <c r="AW80" s="43">
        <f>BDP($B$80,"BEST_EBIT","BEST_FPERIOD_OVERRIDE","26Y")</f>
        <v/>
      </c>
      <c r="AX80" s="43">
        <f>BDP($B$80,"BEST_EBIT","BEST_FPERIOD_OVERRIDE","27Y")</f>
        <v/>
      </c>
      <c r="AY80" s="43">
        <f>BDP($B$80,"BEST_EBIT","BEST_FPERIOD_OVERRIDE","28Y")</f>
        <v/>
      </c>
      <c r="AZ80" s="31" t="n"/>
      <c r="BA80" s="1">
        <f>C80+BD80</f>
        <v/>
      </c>
      <c r="BB80" s="42">
        <f>AB80-AD80</f>
        <v/>
      </c>
      <c r="BC80" s="42">
        <f>C80</f>
        <v/>
      </c>
      <c r="BD80" s="43">
        <f>BDP($B$80,"TRAIL_12M_EBITDA")</f>
        <v/>
      </c>
      <c r="BE80" s="43">
        <f>_xll.BDP("TMO US Equity","TRAIL_12M_EBITDA")</f>
        <v/>
      </c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</row>
    <row r="81">
      <c r="A81" s="1" t="inlineStr">
        <is>
          <t>DHR</t>
        </is>
      </c>
      <c r="B81" s="1" t="inlineStr">
        <is>
          <t>DHR US Equity</t>
        </is>
      </c>
      <c r="C81" s="43">
        <f>BDP($B$81,"CUR_MKT_CAP")/1000000000</f>
        <v/>
      </c>
      <c r="D81" s="44">
        <f>BDP($B$81,"PX_LAST")</f>
        <v/>
      </c>
      <c r="E81" s="45">
        <f>IF(BDP($B$81,"BEST_EPS","BEST_FPERIOD_OVERRIDE","26Y")&lt;&gt;0,$D$81/BDP($B$81,"BEST_EPS","BEST_FPERIOD_OVERRIDE","26Y"),"")</f>
        <v/>
      </c>
      <c r="F81" s="45">
        <f>IF(BDP($B$81,"BEST_EPS","BEST_FPERIOD_OVERRIDE","27Y")&lt;&gt;0,$D$81/BDP($B$81,"BEST_EPS","BEST_FPERIOD_OVERRIDE","27Y"),"")</f>
        <v/>
      </c>
      <c r="G81" s="45">
        <f>IF(BDP($B$81,"BEST_EPS","BEST_FPERIOD_OVERRIDE","28Y")&lt;&gt;0,$D$81/BDP($B$81,"BEST_EPS","BEST_FPERIOD_OVERRIDE","28Y"),"")</f>
        <v/>
      </c>
      <c r="H81" s="46">
        <f>BDP($B$81,"NET_DEBT_TO_EBITDA")</f>
        <v/>
      </c>
      <c r="I81" s="43">
        <f>BDP($B$81,"BEST_SALES","BEST_FPERIOD_OVERRIDE","26Y")/1000</f>
        <v/>
      </c>
      <c r="J81" s="47">
        <f>IF(BDP($B$81,"BEST_SALES","BEST_FPERIOD_OVERRIDE","26Y")&lt;&gt;0,BDP($B$81,"BEST_EBIT","BEST_FPERIOD_OVERRIDE","26Y")/BDP($B$81,"BEST_SALES","BEST_FPERIOD_OVERRIDE","26Y"),"")</f>
        <v/>
      </c>
      <c r="K81" s="47">
        <f>BDP($B$81,"RETURN_ON_INV_CAPITAL")/100</f>
        <v/>
      </c>
      <c r="L81" s="47">
        <f>IF(AND(BDP($B$81,"BEST_SALES","BEST_FPERIOD_OVERRIDE","25Y")&gt;0,BDP($B$81,"BEST_SALES","BEST_FPERIOD_OVERRIDE","28Y")&gt;0),(BDP($B$81,"BEST_SALES","BEST_FPERIOD_OVERRIDE","28Y")/BDP($B$81,"BEST_SALES","BEST_FPERIOD_OVERRIDE","25Y"))^(1/3)-1,"")</f>
        <v/>
      </c>
      <c r="M81" s="47">
        <f>IF(AND(BDP($B$81,"BEST_EBIT","BEST_FPERIOD_OVERRIDE","25Y")&gt;0,BDP($B$81,"BEST_EBIT","BEST_FPERIOD_OVERRIDE","28Y")&gt;0),(BDP($B$81,"BEST_EBIT","BEST_FPERIOD_OVERRIDE","28Y")/BDP($B$81,"BEST_EBIT","BEST_FPERIOD_OVERRIDE","25Y"))^(1/3)-1,"")</f>
        <v/>
      </c>
      <c r="N81" s="47">
        <f>IF(AND(BDP($B$81,"BEST_EPS","BEST_FPERIOD_OVERRIDE","25Y")&gt;0,BDP($B$81,"BEST_EPS","BEST_FPERIOD_OVERRIDE","28Y")&gt;0),(BDP($B$81,"BEST_EPS","BEST_FPERIOD_OVERRIDE","28Y")/BDP($B$81,"BEST_EPS","BEST_FPERIOD_OVERRIDE","25Y"))^(1/3)-1,"")</f>
        <v/>
      </c>
      <c r="O81" s="1" t="n"/>
      <c r="P81" s="47">
        <f>BDP($B$81,"CHG_PCT_YTD")/100</f>
        <v/>
      </c>
      <c r="Q81" s="1" t="n"/>
      <c r="R81" s="1" t="n"/>
      <c r="S81" s="42">
        <f>IF(AND(E81&lt;&gt;"",N81&lt;&gt;"",N81&lt;&gt;0),E81/(N81*100),"")</f>
        <v/>
      </c>
      <c r="T81" s="1" t="n"/>
      <c r="U81" s="26" t="inlineStr">
        <is>
          <t>Dec</t>
        </is>
      </c>
      <c r="V81" s="1" t="n"/>
      <c r="W81" s="1" t="n"/>
      <c r="X81" s="1" t="n"/>
      <c r="Y81" s="1" t="n"/>
      <c r="Z81" s="1" t="n"/>
      <c r="AA81" s="48">
        <f>BDP($B$81,"TRAIL_12M_OPER_INC")</f>
        <v/>
      </c>
      <c r="AB81" s="43">
        <f>BDP($B$81,"SHORT_AND_LONG_TERM_DEBT")</f>
        <v/>
      </c>
      <c r="AC81" s="43">
        <f>BDP($B$81,"TOTAL_EQUITY")</f>
        <v/>
      </c>
      <c r="AD81" s="43">
        <f>BDP($B$81,"BS_CASH_NEAR_CASH_ITEM")</f>
        <v/>
      </c>
      <c r="AE81" s="43">
        <f>BDP($B$81,"BS_LT_INVEST")</f>
        <v/>
      </c>
      <c r="AF81" s="31">
        <f>AB81+AC81</f>
        <v/>
      </c>
      <c r="AG81" s="43">
        <f>BDP($B$81,"RETURN_ON_INV_CAPITAL")/100</f>
        <v/>
      </c>
      <c r="AH81" s="49" t="n"/>
      <c r="AI81" s="48">
        <f>BDP($B$81,"BEST_EPS","BEST_FPERIOD_OVERRIDE","24Y")</f>
        <v/>
      </c>
      <c r="AJ81" s="43">
        <f>BDP($B$81,"BEST_EPS","BEST_FPERIOD_OVERRIDE","25Y")</f>
        <v/>
      </c>
      <c r="AK81" s="43">
        <f>BDP($B$81,"BEST_EPS","BEST_FPERIOD_OVERRIDE","26Y")</f>
        <v/>
      </c>
      <c r="AL81" s="43">
        <f>BDP($B$81,"BEST_EPS","BEST_FPERIOD_OVERRIDE","27Y")</f>
        <v/>
      </c>
      <c r="AM81" s="43">
        <f>BDP($B$81,"BEST_EPS","BEST_FPERIOD_OVERRIDE","28Y")</f>
        <v/>
      </c>
      <c r="AN81" s="31" t="n"/>
      <c r="AO81" s="48">
        <f>BDP($B$81,"BEST_SALES","BEST_FPERIOD_OVERRIDE","24Y")</f>
        <v/>
      </c>
      <c r="AP81" s="43">
        <f>BDP($B$81,"BEST_SALES","BEST_FPERIOD_OVERRIDE","25Y")</f>
        <v/>
      </c>
      <c r="AQ81" s="43">
        <f>BDP($B$81,"BEST_SALES","BEST_FPERIOD_OVERRIDE","26Y")</f>
        <v/>
      </c>
      <c r="AR81" s="43">
        <f>BDP($B$81,"BEST_SALES","BEST_FPERIOD_OVERRIDE","27Y")</f>
        <v/>
      </c>
      <c r="AS81" s="43">
        <f>BDP($B$81,"BEST_SALES","BEST_FPERIOD_OVERRIDE","28Y")</f>
        <v/>
      </c>
      <c r="AT81" s="31" t="n"/>
      <c r="AU81" s="48">
        <f>BDP($B$81,"BEST_EBIT","BEST_FPERIOD_OVERRIDE","24Y")</f>
        <v/>
      </c>
      <c r="AV81" s="43">
        <f>BDP($B$81,"BEST_EBIT","BEST_FPERIOD_OVERRIDE","25Y")</f>
        <v/>
      </c>
      <c r="AW81" s="43">
        <f>BDP($B$81,"BEST_EBIT","BEST_FPERIOD_OVERRIDE","26Y")</f>
        <v/>
      </c>
      <c r="AX81" s="43">
        <f>BDP($B$81,"BEST_EBIT","BEST_FPERIOD_OVERRIDE","27Y")</f>
        <v/>
      </c>
      <c r="AY81" s="43">
        <f>BDP($B$81,"BEST_EBIT","BEST_FPERIOD_OVERRIDE","28Y")</f>
        <v/>
      </c>
      <c r="AZ81" s="31" t="n"/>
      <c r="BA81" s="1">
        <f>C81+BD81</f>
        <v/>
      </c>
      <c r="BB81" s="42">
        <f>AB81-AD81</f>
        <v/>
      </c>
      <c r="BC81" s="42">
        <f>C81</f>
        <v/>
      </c>
      <c r="BD81" s="43">
        <f>BDP($B$81,"TRAIL_12M_EBITDA")</f>
        <v/>
      </c>
      <c r="BE81" s="43">
        <f>_xll.BDP("DHR US Equity","TRAIL_12M_EBITDA")</f>
        <v/>
      </c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</row>
    <row r="82">
      <c r="A82" s="1" t="inlineStr">
        <is>
          <t>APH</t>
        </is>
      </c>
      <c r="B82" s="1" t="inlineStr">
        <is>
          <t>APH US Equity</t>
        </is>
      </c>
      <c r="C82" s="43">
        <f>BDP($B$82,"CUR_MKT_CAP")/1000000000</f>
        <v/>
      </c>
      <c r="D82" s="44">
        <f>BDP($B$82,"PX_LAST")</f>
        <v/>
      </c>
      <c r="E82" s="45">
        <f>IF(BDP($B$82,"BEST_EPS","BEST_FPERIOD_OVERRIDE","26Y")&lt;&gt;0,$D$82/BDP($B$82,"BEST_EPS","BEST_FPERIOD_OVERRIDE","26Y"),"")</f>
        <v/>
      </c>
      <c r="F82" s="45">
        <f>IF(BDP($B$82,"BEST_EPS","BEST_FPERIOD_OVERRIDE","27Y")&lt;&gt;0,$D$82/BDP($B$82,"BEST_EPS","BEST_FPERIOD_OVERRIDE","27Y"),"")</f>
        <v/>
      </c>
      <c r="G82" s="45">
        <f>IF(BDP($B$82,"BEST_EPS","BEST_FPERIOD_OVERRIDE","28Y")&lt;&gt;0,$D$82/BDP($B$82,"BEST_EPS","BEST_FPERIOD_OVERRIDE","28Y"),"")</f>
        <v/>
      </c>
      <c r="H82" s="46">
        <f>BDP($B$82,"NET_DEBT_TO_EBITDA")</f>
        <v/>
      </c>
      <c r="I82" s="43">
        <f>BDP($B$82,"BEST_SALES","BEST_FPERIOD_OVERRIDE","26Y")/1000</f>
        <v/>
      </c>
      <c r="J82" s="47">
        <f>IF(BDP($B$82,"BEST_SALES","BEST_FPERIOD_OVERRIDE","26Y")&lt;&gt;0,BDP($B$82,"BEST_EBIT","BEST_FPERIOD_OVERRIDE","26Y")/BDP($B$82,"BEST_SALES","BEST_FPERIOD_OVERRIDE","26Y"),"")</f>
        <v/>
      </c>
      <c r="K82" s="47">
        <f>BDP($B$82,"RETURN_ON_INV_CAPITAL")/100</f>
        <v/>
      </c>
      <c r="L82" s="47">
        <f>IF(AND(BDP($B$82,"BEST_SALES","BEST_FPERIOD_OVERRIDE","25Y")&gt;0,BDP($B$82,"BEST_SALES","BEST_FPERIOD_OVERRIDE","28Y")&gt;0),(BDP($B$82,"BEST_SALES","BEST_FPERIOD_OVERRIDE","28Y")/BDP($B$82,"BEST_SALES","BEST_FPERIOD_OVERRIDE","25Y"))^(1/3)-1,"")</f>
        <v/>
      </c>
      <c r="M82" s="47">
        <f>IF(AND(BDP($B$82,"BEST_EBIT","BEST_FPERIOD_OVERRIDE","25Y")&gt;0,BDP($B$82,"BEST_EBIT","BEST_FPERIOD_OVERRIDE","28Y")&gt;0),(BDP($B$82,"BEST_EBIT","BEST_FPERIOD_OVERRIDE","28Y")/BDP($B$82,"BEST_EBIT","BEST_FPERIOD_OVERRIDE","25Y"))^(1/3)-1,"")</f>
        <v/>
      </c>
      <c r="N82" s="47">
        <f>IF(AND(BDP($B$82,"BEST_EPS","BEST_FPERIOD_OVERRIDE","25Y")&gt;0,BDP($B$82,"BEST_EPS","BEST_FPERIOD_OVERRIDE","28Y")&gt;0),(BDP($B$82,"BEST_EPS","BEST_FPERIOD_OVERRIDE","28Y")/BDP($B$82,"BEST_EPS","BEST_FPERIOD_OVERRIDE","25Y"))^(1/3)-1,"")</f>
        <v/>
      </c>
      <c r="O82" s="1" t="n"/>
      <c r="P82" s="47">
        <f>BDP($B$82,"CHG_PCT_YTD")/100</f>
        <v/>
      </c>
      <c r="Q82" s="1" t="n"/>
      <c r="R82" s="1" t="n"/>
      <c r="S82" s="42">
        <f>IF(AND(E82&lt;&gt;"",N82&lt;&gt;"",N82&lt;&gt;0),E82/(N82*100),"")</f>
        <v/>
      </c>
      <c r="T82" s="1" t="n"/>
      <c r="U82" s="26" t="inlineStr">
        <is>
          <t>Dec</t>
        </is>
      </c>
      <c r="V82" s="1" t="n"/>
      <c r="W82" s="1" t="n"/>
      <c r="X82" s="1" t="n"/>
      <c r="Y82" s="1" t="n"/>
      <c r="Z82" s="1" t="n"/>
      <c r="AA82" s="48">
        <f>BDP($B$82,"TRAIL_12M_OPER_INC")</f>
        <v/>
      </c>
      <c r="AB82" s="43">
        <f>BDP($B$82,"SHORT_AND_LONG_TERM_DEBT")</f>
        <v/>
      </c>
      <c r="AC82" s="43">
        <f>BDP($B$82,"TOTAL_EQUITY")</f>
        <v/>
      </c>
      <c r="AD82" s="43">
        <f>BDP($B$82,"BS_CASH_NEAR_CASH_ITEM")</f>
        <v/>
      </c>
      <c r="AE82" s="43">
        <f>BDP($B$82,"BS_LT_INVEST")</f>
        <v/>
      </c>
      <c r="AF82" s="31">
        <f>AB82+AC82</f>
        <v/>
      </c>
      <c r="AG82" s="43">
        <f>BDP($B$82,"RETURN_ON_INV_CAPITAL")/100</f>
        <v/>
      </c>
      <c r="AH82" s="49" t="n"/>
      <c r="AI82" s="48">
        <f>BDP($B$82,"BEST_EPS","BEST_FPERIOD_OVERRIDE","24Y")</f>
        <v/>
      </c>
      <c r="AJ82" s="43">
        <f>BDP($B$82,"BEST_EPS","BEST_FPERIOD_OVERRIDE","25Y")</f>
        <v/>
      </c>
      <c r="AK82" s="43">
        <f>BDP($B$82,"BEST_EPS","BEST_FPERIOD_OVERRIDE","26Y")</f>
        <v/>
      </c>
      <c r="AL82" s="43">
        <f>BDP($B$82,"BEST_EPS","BEST_FPERIOD_OVERRIDE","27Y")</f>
        <v/>
      </c>
      <c r="AM82" s="43">
        <f>BDP($B$82,"BEST_EPS","BEST_FPERIOD_OVERRIDE","28Y")</f>
        <v/>
      </c>
      <c r="AN82" s="31" t="n"/>
      <c r="AO82" s="48">
        <f>BDP($B$82,"BEST_SALES","BEST_FPERIOD_OVERRIDE","24Y")</f>
        <v/>
      </c>
      <c r="AP82" s="43">
        <f>BDP($B$82,"BEST_SALES","BEST_FPERIOD_OVERRIDE","25Y")</f>
        <v/>
      </c>
      <c r="AQ82" s="43">
        <f>BDP($B$82,"BEST_SALES","BEST_FPERIOD_OVERRIDE","26Y")</f>
        <v/>
      </c>
      <c r="AR82" s="43">
        <f>BDP($B$82,"BEST_SALES","BEST_FPERIOD_OVERRIDE","27Y")</f>
        <v/>
      </c>
      <c r="AS82" s="43">
        <f>BDP($B$82,"BEST_SALES","BEST_FPERIOD_OVERRIDE","28Y")</f>
        <v/>
      </c>
      <c r="AT82" s="31" t="n"/>
      <c r="AU82" s="48">
        <f>BDP($B$82,"BEST_EBIT","BEST_FPERIOD_OVERRIDE","24Y")</f>
        <v/>
      </c>
      <c r="AV82" s="43">
        <f>BDP($B$82,"BEST_EBIT","BEST_FPERIOD_OVERRIDE","25Y")</f>
        <v/>
      </c>
      <c r="AW82" s="43">
        <f>BDP($B$82,"BEST_EBIT","BEST_FPERIOD_OVERRIDE","26Y")</f>
        <v/>
      </c>
      <c r="AX82" s="43">
        <f>BDP($B$82,"BEST_EBIT","BEST_FPERIOD_OVERRIDE","27Y")</f>
        <v/>
      </c>
      <c r="AY82" s="43">
        <f>BDP($B$82,"BEST_EBIT","BEST_FPERIOD_OVERRIDE","28Y")</f>
        <v/>
      </c>
      <c r="AZ82" s="31" t="n"/>
      <c r="BA82" s="1">
        <f>C82+BD82</f>
        <v/>
      </c>
      <c r="BB82" s="42">
        <f>AB82-AD82</f>
        <v/>
      </c>
      <c r="BC82" s="42">
        <f>C82</f>
        <v/>
      </c>
      <c r="BD82" s="43">
        <f>BDP($B$82,"TRAIL_12M_EBITDA")</f>
        <v/>
      </c>
      <c r="BE82" s="43">
        <f>_xll.BDP("APH US Equity","TRAIL_12M_EBITDA")</f>
        <v/>
      </c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</row>
    <row r="83">
      <c r="A83" s="1" t="inlineStr">
        <is>
          <t>MSI</t>
        </is>
      </c>
      <c r="B83" s="1" t="inlineStr">
        <is>
          <t>MSI US Equity</t>
        </is>
      </c>
      <c r="C83" s="43">
        <f>BDP($B$83,"CUR_MKT_CAP")/1000000000</f>
        <v/>
      </c>
      <c r="D83" s="44">
        <f>BDP($B$83,"PX_LAST")</f>
        <v/>
      </c>
      <c r="E83" s="45">
        <f>IF(BDP($B$83,"BEST_EPS","BEST_FPERIOD_OVERRIDE","26Y")&lt;&gt;0,$D$83/BDP($B$83,"BEST_EPS","BEST_FPERIOD_OVERRIDE","26Y"),"")</f>
        <v/>
      </c>
      <c r="F83" s="45">
        <f>IF(BDP($B$83,"BEST_EPS","BEST_FPERIOD_OVERRIDE","27Y")&lt;&gt;0,$D$83/BDP($B$83,"BEST_EPS","BEST_FPERIOD_OVERRIDE","27Y"),"")</f>
        <v/>
      </c>
      <c r="G83" s="45">
        <f>IF(BDP($B$83,"BEST_EPS","BEST_FPERIOD_OVERRIDE","28Y")&lt;&gt;0,$D$83/BDP($B$83,"BEST_EPS","BEST_FPERIOD_OVERRIDE","28Y"),"")</f>
        <v/>
      </c>
      <c r="H83" s="46">
        <f>BDP($B$83,"NET_DEBT_TO_EBITDA")</f>
        <v/>
      </c>
      <c r="I83" s="43">
        <f>BDP($B$83,"BEST_SALES","BEST_FPERIOD_OVERRIDE","26Y")/1000</f>
        <v/>
      </c>
      <c r="J83" s="47">
        <f>IF(BDP($B$83,"BEST_SALES","BEST_FPERIOD_OVERRIDE","26Y")&lt;&gt;0,BDP($B$83,"BEST_EBIT","BEST_FPERIOD_OVERRIDE","26Y")/BDP($B$83,"BEST_SALES","BEST_FPERIOD_OVERRIDE","26Y"),"")</f>
        <v/>
      </c>
      <c r="K83" s="47">
        <f>BDP($B$83,"RETURN_ON_INV_CAPITAL")/100</f>
        <v/>
      </c>
      <c r="L83" s="47">
        <f>IF(AND(BDP($B$83,"BEST_SALES","BEST_FPERIOD_OVERRIDE","25Y")&gt;0,BDP($B$83,"BEST_SALES","BEST_FPERIOD_OVERRIDE","28Y")&gt;0),(BDP($B$83,"BEST_SALES","BEST_FPERIOD_OVERRIDE","28Y")/BDP($B$83,"BEST_SALES","BEST_FPERIOD_OVERRIDE","25Y"))^(1/3)-1,"")</f>
        <v/>
      </c>
      <c r="M83" s="47">
        <f>IF(AND(BDP($B$83,"BEST_EBIT","BEST_FPERIOD_OVERRIDE","25Y")&gt;0,BDP($B$83,"BEST_EBIT","BEST_FPERIOD_OVERRIDE","28Y")&gt;0),(BDP($B$83,"BEST_EBIT","BEST_FPERIOD_OVERRIDE","28Y")/BDP($B$83,"BEST_EBIT","BEST_FPERIOD_OVERRIDE","25Y"))^(1/3)-1,"")</f>
        <v/>
      </c>
      <c r="N83" s="47">
        <f>IF(AND(BDP($B$83,"BEST_EPS","BEST_FPERIOD_OVERRIDE","25Y")&gt;0,BDP($B$83,"BEST_EPS","BEST_FPERIOD_OVERRIDE","28Y")&gt;0),(BDP($B$83,"BEST_EPS","BEST_FPERIOD_OVERRIDE","28Y")/BDP($B$83,"BEST_EPS","BEST_FPERIOD_OVERRIDE","25Y"))^(1/3)-1,"")</f>
        <v/>
      </c>
      <c r="O83" s="1" t="n"/>
      <c r="P83" s="47">
        <f>BDP($B$83,"CHG_PCT_YTD")/100</f>
        <v/>
      </c>
      <c r="Q83" s="1" t="n"/>
      <c r="R83" s="1" t="n"/>
      <c r="S83" s="42">
        <f>IF(AND(E83&lt;&gt;"",N83&lt;&gt;"",N83&lt;&gt;0),E83/(N83*100),"")</f>
        <v/>
      </c>
      <c r="T83" s="1" t="n"/>
      <c r="U83" s="26" t="inlineStr">
        <is>
          <t>Dec</t>
        </is>
      </c>
      <c r="V83" s="1" t="n"/>
      <c r="W83" s="1" t="n"/>
      <c r="X83" s="1" t="n"/>
      <c r="Y83" s="1" t="n"/>
      <c r="Z83" s="1" t="n"/>
      <c r="AA83" s="48">
        <f>BDP($B$83,"TRAIL_12M_OPER_INC")</f>
        <v/>
      </c>
      <c r="AB83" s="43">
        <f>BDP($B$83,"SHORT_AND_LONG_TERM_DEBT")</f>
        <v/>
      </c>
      <c r="AC83" s="43">
        <f>BDP($B$83,"TOTAL_EQUITY")</f>
        <v/>
      </c>
      <c r="AD83" s="43">
        <f>BDP($B$83,"BS_CASH_NEAR_CASH_ITEM")</f>
        <v/>
      </c>
      <c r="AE83" s="43">
        <f>BDP($B$83,"BS_LT_INVEST")</f>
        <v/>
      </c>
      <c r="AF83" s="31">
        <f>AB83+AC83</f>
        <v/>
      </c>
      <c r="AG83" s="43">
        <f>BDP($B$83,"RETURN_ON_INV_CAPITAL")/100</f>
        <v/>
      </c>
      <c r="AH83" s="49" t="n"/>
      <c r="AI83" s="48">
        <f>BDP($B$83,"BEST_EPS","BEST_FPERIOD_OVERRIDE","24Y")</f>
        <v/>
      </c>
      <c r="AJ83" s="43">
        <f>BDP($B$83,"BEST_EPS","BEST_FPERIOD_OVERRIDE","25Y")</f>
        <v/>
      </c>
      <c r="AK83" s="43">
        <f>BDP($B$83,"BEST_EPS","BEST_FPERIOD_OVERRIDE","26Y")</f>
        <v/>
      </c>
      <c r="AL83" s="43">
        <f>BDP($B$83,"BEST_EPS","BEST_FPERIOD_OVERRIDE","27Y")</f>
        <v/>
      </c>
      <c r="AM83" s="43">
        <f>BDP($B$83,"BEST_EPS","BEST_FPERIOD_OVERRIDE","28Y")</f>
        <v/>
      </c>
      <c r="AN83" s="31" t="n"/>
      <c r="AO83" s="48">
        <f>BDP($B$83,"BEST_SALES","BEST_FPERIOD_OVERRIDE","24Y")</f>
        <v/>
      </c>
      <c r="AP83" s="43">
        <f>BDP($B$83,"BEST_SALES","BEST_FPERIOD_OVERRIDE","25Y")</f>
        <v/>
      </c>
      <c r="AQ83" s="43">
        <f>BDP($B$83,"BEST_SALES","BEST_FPERIOD_OVERRIDE","26Y")</f>
        <v/>
      </c>
      <c r="AR83" s="43">
        <f>BDP($B$83,"BEST_SALES","BEST_FPERIOD_OVERRIDE","27Y")</f>
        <v/>
      </c>
      <c r="AS83" s="43">
        <f>BDP($B$83,"BEST_SALES","BEST_FPERIOD_OVERRIDE","28Y")</f>
        <v/>
      </c>
      <c r="AT83" s="31" t="n"/>
      <c r="AU83" s="48">
        <f>BDP($B$83,"BEST_EBIT","BEST_FPERIOD_OVERRIDE","24Y")</f>
        <v/>
      </c>
      <c r="AV83" s="43">
        <f>BDP($B$83,"BEST_EBIT","BEST_FPERIOD_OVERRIDE","25Y")</f>
        <v/>
      </c>
      <c r="AW83" s="43">
        <f>BDP($B$83,"BEST_EBIT","BEST_FPERIOD_OVERRIDE","26Y")</f>
        <v/>
      </c>
      <c r="AX83" s="43">
        <f>BDP($B$83,"BEST_EBIT","BEST_FPERIOD_OVERRIDE","27Y")</f>
        <v/>
      </c>
      <c r="AY83" s="43">
        <f>BDP($B$83,"BEST_EBIT","BEST_FPERIOD_OVERRIDE","28Y")</f>
        <v/>
      </c>
      <c r="AZ83" s="31" t="n"/>
      <c r="BA83" s="1">
        <f>C83+BD83</f>
        <v/>
      </c>
      <c r="BB83" s="42">
        <f>AB83-AD83</f>
        <v/>
      </c>
      <c r="BC83" s="42">
        <f>C83</f>
        <v/>
      </c>
      <c r="BD83" s="43">
        <f>BDP($B$83,"TRAIL_12M_EBITDA")</f>
        <v/>
      </c>
      <c r="BE83" s="43">
        <f>_xll.BDP("MSI US Equity","TRAIL_12M_EBITDA")</f>
        <v/>
      </c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</row>
    <row r="84">
      <c r="A84" s="1" t="inlineStr">
        <is>
          <t>AXON</t>
        </is>
      </c>
      <c r="B84" s="1" t="inlineStr">
        <is>
          <t>AXON US Equity</t>
        </is>
      </c>
      <c r="C84" s="43">
        <f>BDP($B$84,"CUR_MKT_CAP")/1000000000</f>
        <v/>
      </c>
      <c r="D84" s="44">
        <f>BDP($B$84,"PX_LAST")</f>
        <v/>
      </c>
      <c r="E84" s="45">
        <f>IF(BDP($B$84,"BEST_EPS","BEST_FPERIOD_OVERRIDE","26Y")&lt;&gt;0,$D$84/BDP($B$84,"BEST_EPS","BEST_FPERIOD_OVERRIDE","26Y"),"")</f>
        <v/>
      </c>
      <c r="F84" s="45">
        <f>IF(BDP($B$84,"BEST_EPS","BEST_FPERIOD_OVERRIDE","27Y")&lt;&gt;0,$D$84/BDP($B$84,"BEST_EPS","BEST_FPERIOD_OVERRIDE","27Y"),"")</f>
        <v/>
      </c>
      <c r="G84" s="45">
        <f>IF(BDP($B$84,"BEST_EPS","BEST_FPERIOD_OVERRIDE","28Y")&lt;&gt;0,$D$84/BDP($B$84,"BEST_EPS","BEST_FPERIOD_OVERRIDE","28Y"),"")</f>
        <v/>
      </c>
      <c r="H84" s="46">
        <f>BDP($B$84,"NET_DEBT_TO_EBITDA")</f>
        <v/>
      </c>
      <c r="I84" s="43">
        <f>BDP($B$84,"BEST_SALES","BEST_FPERIOD_OVERRIDE","26Y")/1000</f>
        <v/>
      </c>
      <c r="J84" s="47">
        <f>IF(BDP($B$84,"BEST_SALES","BEST_FPERIOD_OVERRIDE","26Y")&lt;&gt;0,BDP($B$84,"BEST_EBIT","BEST_FPERIOD_OVERRIDE","26Y")/BDP($B$84,"BEST_SALES","BEST_FPERIOD_OVERRIDE","26Y"),"")</f>
        <v/>
      </c>
      <c r="K84" s="47">
        <f>BDP($B$84,"RETURN_ON_INV_CAPITAL")/100</f>
        <v/>
      </c>
      <c r="L84" s="47">
        <f>IF(AND(BDP($B$84,"BEST_SALES","BEST_FPERIOD_OVERRIDE","25Y")&gt;0,BDP($B$84,"BEST_SALES","BEST_FPERIOD_OVERRIDE","28Y")&gt;0),(BDP($B$84,"BEST_SALES","BEST_FPERIOD_OVERRIDE","28Y")/BDP($B$84,"BEST_SALES","BEST_FPERIOD_OVERRIDE","25Y"))^(1/3)-1,"")</f>
        <v/>
      </c>
      <c r="M84" s="43">
        <f>IF(AND(BDP($B$84,"BEST_EBIT","BEST_FPERIOD_OVERRIDE","25Y")&gt;0,BDP($B$84,"BEST_EBIT","BEST_FPERIOD_OVERRIDE","28Y")&gt;0),(BDP($B$84,"BEST_EBIT","BEST_FPERIOD_OVERRIDE","28Y")/BDP($B$84,"BEST_EBIT","BEST_FPERIOD_OVERRIDE","25Y"))^(1/3)-1,"")</f>
        <v/>
      </c>
      <c r="N84" s="47">
        <f>IF(AND(BDP($B$84,"BEST_EPS","BEST_FPERIOD_OVERRIDE","25Y")&gt;0,BDP($B$84,"BEST_EPS","BEST_FPERIOD_OVERRIDE","28Y")&gt;0),(BDP($B$84,"BEST_EPS","BEST_FPERIOD_OVERRIDE","28Y")/BDP($B$84,"BEST_EPS","BEST_FPERIOD_OVERRIDE","25Y"))^(1/3)-1,"")</f>
        <v/>
      </c>
      <c r="O84" s="1" t="n"/>
      <c r="P84" s="47">
        <f>BDP($B$84,"CHG_PCT_YTD")/100</f>
        <v/>
      </c>
      <c r="Q84" s="1" t="n"/>
      <c r="R84" s="1" t="n"/>
      <c r="S84" s="42">
        <f>IF(AND(E84&lt;&gt;"",N84&lt;&gt;"",N84&lt;&gt;0),E84/(N84*100),"")</f>
        <v/>
      </c>
      <c r="T84" s="1" t="n"/>
      <c r="U84" s="26" t="inlineStr">
        <is>
          <t>Dec</t>
        </is>
      </c>
      <c r="V84" s="1" t="n"/>
      <c r="W84" s="1" t="n"/>
      <c r="X84" s="1" t="n"/>
      <c r="Y84" s="1" t="n"/>
      <c r="Z84" s="1" t="n"/>
      <c r="AA84" s="48">
        <f>BDP($B$84,"TRAIL_12M_OPER_INC")</f>
        <v/>
      </c>
      <c r="AB84" s="43">
        <f>BDP($B$84,"SHORT_AND_LONG_TERM_DEBT")</f>
        <v/>
      </c>
      <c r="AC84" s="43">
        <f>BDP($B$84,"TOTAL_EQUITY")</f>
        <v/>
      </c>
      <c r="AD84" s="43">
        <f>BDP($B$84,"BS_CASH_NEAR_CASH_ITEM")</f>
        <v/>
      </c>
      <c r="AE84" s="43">
        <f>BDP($B$84,"BS_LT_INVEST")</f>
        <v/>
      </c>
      <c r="AF84" s="31">
        <f>AB84+AC84</f>
        <v/>
      </c>
      <c r="AG84" s="43">
        <f>BDP($B$84,"RETURN_ON_INV_CAPITAL")/100</f>
        <v/>
      </c>
      <c r="AH84" s="49" t="n"/>
      <c r="AI84" s="48">
        <f>BDP($B$84,"BEST_EPS","BEST_FPERIOD_OVERRIDE","24Y")</f>
        <v/>
      </c>
      <c r="AJ84" s="43">
        <f>BDP($B$84,"BEST_EPS","BEST_FPERIOD_OVERRIDE","25Y")</f>
        <v/>
      </c>
      <c r="AK84" s="43">
        <f>BDP($B$84,"BEST_EPS","BEST_FPERIOD_OVERRIDE","26Y")</f>
        <v/>
      </c>
      <c r="AL84" s="43">
        <f>BDP($B$84,"BEST_EPS","BEST_FPERIOD_OVERRIDE","27Y")</f>
        <v/>
      </c>
      <c r="AM84" s="43">
        <f>BDP($B$84,"BEST_EPS","BEST_FPERIOD_OVERRIDE","28Y")</f>
        <v/>
      </c>
      <c r="AN84" s="31" t="n"/>
      <c r="AO84" s="48">
        <f>BDP($B$84,"BEST_SALES","BEST_FPERIOD_OVERRIDE","24Y")</f>
        <v/>
      </c>
      <c r="AP84" s="43">
        <f>BDP($B$84,"BEST_SALES","BEST_FPERIOD_OVERRIDE","25Y")</f>
        <v/>
      </c>
      <c r="AQ84" s="43">
        <f>BDP($B$84,"BEST_SALES","BEST_FPERIOD_OVERRIDE","26Y")</f>
        <v/>
      </c>
      <c r="AR84" s="43">
        <f>BDP($B$84,"BEST_SALES","BEST_FPERIOD_OVERRIDE","27Y")</f>
        <v/>
      </c>
      <c r="AS84" s="43">
        <f>BDP($B$84,"BEST_SALES","BEST_FPERIOD_OVERRIDE","28Y")</f>
        <v/>
      </c>
      <c r="AT84" s="31" t="n"/>
      <c r="AU84" s="48">
        <f>BDP($B$84,"BEST_EBIT","BEST_FPERIOD_OVERRIDE","24Y")</f>
        <v/>
      </c>
      <c r="AV84" s="43">
        <f>BDP($B$84,"BEST_EBIT","BEST_FPERIOD_OVERRIDE","25Y")</f>
        <v/>
      </c>
      <c r="AW84" s="43">
        <f>BDP($B$84,"BEST_EBIT","BEST_FPERIOD_OVERRIDE","26Y")</f>
        <v/>
      </c>
      <c r="AX84" s="43">
        <f>BDP($B$84,"BEST_EBIT","BEST_FPERIOD_OVERRIDE","27Y")</f>
        <v/>
      </c>
      <c r="AY84" s="43">
        <f>BDP($B$84,"BEST_EBIT","BEST_FPERIOD_OVERRIDE","28Y")</f>
        <v/>
      </c>
      <c r="AZ84" s="31" t="n"/>
      <c r="BA84" s="1">
        <f>C84+BD84</f>
        <v/>
      </c>
      <c r="BB84" s="42">
        <f>AB84-AD84</f>
        <v/>
      </c>
      <c r="BC84" s="42">
        <f>C84</f>
        <v/>
      </c>
      <c r="BD84" s="43">
        <f>BDP($B$84,"TRAIL_12M_EBITDA")</f>
        <v/>
      </c>
      <c r="BE84" s="43">
        <f>_xll.BDP("AXON US Equity","TRAIL_12M_EBITDA")</f>
        <v/>
      </c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</row>
    <row r="85">
      <c r="A85" s="1" t="inlineStr">
        <is>
          <t>VMC</t>
        </is>
      </c>
      <c r="B85" s="1" t="inlineStr">
        <is>
          <t>VMC US Equity</t>
        </is>
      </c>
      <c r="C85" s="43">
        <f>BDP($B$85,"CUR_MKT_CAP")/1000000000</f>
        <v/>
      </c>
      <c r="D85" s="44">
        <f>BDP($B$85,"PX_LAST")</f>
        <v/>
      </c>
      <c r="E85" s="45">
        <f>IF(BDP($B$85,"BEST_EPS","BEST_FPERIOD_OVERRIDE","26Y")&lt;&gt;0,$D$85/BDP($B$85,"BEST_EPS","BEST_FPERIOD_OVERRIDE","26Y"),"")</f>
        <v/>
      </c>
      <c r="F85" s="45">
        <f>IF(BDP($B$85,"BEST_EPS","BEST_FPERIOD_OVERRIDE","27Y")&lt;&gt;0,$D$85/BDP($B$85,"BEST_EPS","BEST_FPERIOD_OVERRIDE","27Y"),"")</f>
        <v/>
      </c>
      <c r="G85" s="45">
        <f>IF(BDP($B$85,"BEST_EPS","BEST_FPERIOD_OVERRIDE","28Y")&lt;&gt;0,$D$85/BDP($B$85,"BEST_EPS","BEST_FPERIOD_OVERRIDE","28Y"),"")</f>
        <v/>
      </c>
      <c r="H85" s="46">
        <f>BDP($B$85,"NET_DEBT_TO_EBITDA")</f>
        <v/>
      </c>
      <c r="I85" s="43">
        <f>BDP($B$85,"BEST_SALES","BEST_FPERIOD_OVERRIDE","26Y")/1000</f>
        <v/>
      </c>
      <c r="J85" s="47">
        <f>IF(BDP($B$85,"BEST_SALES","BEST_FPERIOD_OVERRIDE","26Y")&lt;&gt;0,BDP($B$85,"BEST_EBIT","BEST_FPERIOD_OVERRIDE","26Y")/BDP($B$85,"BEST_SALES","BEST_FPERIOD_OVERRIDE","26Y"),"")</f>
        <v/>
      </c>
      <c r="K85" s="47">
        <f>BDP($B$85,"RETURN_ON_INV_CAPITAL")/100</f>
        <v/>
      </c>
      <c r="L85" s="47">
        <f>IF(AND(BDP($B$85,"BEST_SALES","BEST_FPERIOD_OVERRIDE","25Y")&gt;0,BDP($B$85,"BEST_SALES","BEST_FPERIOD_OVERRIDE","28Y")&gt;0),(BDP($B$85,"BEST_SALES","BEST_FPERIOD_OVERRIDE","28Y")/BDP($B$85,"BEST_SALES","BEST_FPERIOD_OVERRIDE","25Y"))^(1/3)-1,"")</f>
        <v/>
      </c>
      <c r="M85" s="47">
        <f>IF(AND(BDP($B$85,"BEST_EBIT","BEST_FPERIOD_OVERRIDE","25Y")&gt;0,BDP($B$85,"BEST_EBIT","BEST_FPERIOD_OVERRIDE","28Y")&gt;0),(BDP($B$85,"BEST_EBIT","BEST_FPERIOD_OVERRIDE","28Y")/BDP($B$85,"BEST_EBIT","BEST_FPERIOD_OVERRIDE","25Y"))^(1/3)-1,"")</f>
        <v/>
      </c>
      <c r="N85" s="47">
        <f>IF(AND(BDP($B$85,"BEST_EPS","BEST_FPERIOD_OVERRIDE","25Y")&gt;0,BDP($B$85,"BEST_EPS","BEST_FPERIOD_OVERRIDE","28Y")&gt;0),(BDP($B$85,"BEST_EPS","BEST_FPERIOD_OVERRIDE","28Y")/BDP($B$85,"BEST_EPS","BEST_FPERIOD_OVERRIDE","25Y"))^(1/3)-1,"")</f>
        <v/>
      </c>
      <c r="O85" s="1" t="n"/>
      <c r="P85" s="47">
        <f>BDP($B$85,"CHG_PCT_YTD")/100</f>
        <v/>
      </c>
      <c r="Q85" s="1" t="n"/>
      <c r="R85" s="1" t="n"/>
      <c r="S85" s="42">
        <f>IF(AND(E85&lt;&gt;"",N85&lt;&gt;"",N85&lt;&gt;0),E85/(N85*100),"")</f>
        <v/>
      </c>
      <c r="T85" s="1" t="n"/>
      <c r="U85" s="26" t="inlineStr">
        <is>
          <t>Dec</t>
        </is>
      </c>
      <c r="V85" s="1" t="n"/>
      <c r="W85" s="1" t="n"/>
      <c r="X85" s="1" t="n"/>
      <c r="Y85" s="1" t="n"/>
      <c r="Z85" s="1" t="n"/>
      <c r="AA85" s="48">
        <f>BDP($B$85,"TRAIL_12M_OPER_INC")</f>
        <v/>
      </c>
      <c r="AB85" s="43">
        <f>BDP($B$85,"SHORT_AND_LONG_TERM_DEBT")</f>
        <v/>
      </c>
      <c r="AC85" s="43">
        <f>BDP($B$85,"TOTAL_EQUITY")</f>
        <v/>
      </c>
      <c r="AD85" s="43">
        <f>BDP($B$85,"BS_CASH_NEAR_CASH_ITEM")</f>
        <v/>
      </c>
      <c r="AE85" s="43">
        <f>BDP($B$85,"BS_LT_INVEST")</f>
        <v/>
      </c>
      <c r="AF85" s="31">
        <f>AB85+AC85</f>
        <v/>
      </c>
      <c r="AG85" s="43">
        <f>BDP($B$85,"RETURN_ON_INV_CAPITAL")/100</f>
        <v/>
      </c>
      <c r="AH85" s="49" t="n"/>
      <c r="AI85" s="48">
        <f>BDP($B$85,"BEST_EPS","BEST_FPERIOD_OVERRIDE","24Y")</f>
        <v/>
      </c>
      <c r="AJ85" s="43">
        <f>BDP($B$85,"BEST_EPS","BEST_FPERIOD_OVERRIDE","25Y")</f>
        <v/>
      </c>
      <c r="AK85" s="43">
        <f>BDP($B$85,"BEST_EPS","BEST_FPERIOD_OVERRIDE","26Y")</f>
        <v/>
      </c>
      <c r="AL85" s="43">
        <f>BDP($B$85,"BEST_EPS","BEST_FPERIOD_OVERRIDE","27Y")</f>
        <v/>
      </c>
      <c r="AM85" s="43">
        <f>BDP($B$85,"BEST_EPS","BEST_FPERIOD_OVERRIDE","28Y")</f>
        <v/>
      </c>
      <c r="AN85" s="31" t="n"/>
      <c r="AO85" s="48">
        <f>BDP($B$85,"BEST_SALES","BEST_FPERIOD_OVERRIDE","24Y")</f>
        <v/>
      </c>
      <c r="AP85" s="43">
        <f>BDP($B$85,"BEST_SALES","BEST_FPERIOD_OVERRIDE","25Y")</f>
        <v/>
      </c>
      <c r="AQ85" s="43">
        <f>BDP($B$85,"BEST_SALES","BEST_FPERIOD_OVERRIDE","26Y")</f>
        <v/>
      </c>
      <c r="AR85" s="43">
        <f>BDP($B$85,"BEST_SALES","BEST_FPERIOD_OVERRIDE","27Y")</f>
        <v/>
      </c>
      <c r="AS85" s="43">
        <f>BDP($B$85,"BEST_SALES","BEST_FPERIOD_OVERRIDE","28Y")</f>
        <v/>
      </c>
      <c r="AT85" s="31" t="n"/>
      <c r="AU85" s="48">
        <f>BDP($B$85,"BEST_EBIT","BEST_FPERIOD_OVERRIDE","24Y")</f>
        <v/>
      </c>
      <c r="AV85" s="43">
        <f>BDP($B$85,"BEST_EBIT","BEST_FPERIOD_OVERRIDE","25Y")</f>
        <v/>
      </c>
      <c r="AW85" s="43">
        <f>BDP($B$85,"BEST_EBIT","BEST_FPERIOD_OVERRIDE","26Y")</f>
        <v/>
      </c>
      <c r="AX85" s="43">
        <f>BDP($B$85,"BEST_EBIT","BEST_FPERIOD_OVERRIDE","27Y")</f>
        <v/>
      </c>
      <c r="AY85" s="43">
        <f>BDP($B$85,"BEST_EBIT","BEST_FPERIOD_OVERRIDE","28Y")</f>
        <v/>
      </c>
      <c r="AZ85" s="31" t="n"/>
      <c r="BA85" s="1">
        <f>C85+BD85</f>
        <v/>
      </c>
      <c r="BB85" s="42">
        <f>AB85-AD85</f>
        <v/>
      </c>
      <c r="BC85" s="42">
        <f>C85</f>
        <v/>
      </c>
      <c r="BD85" s="43">
        <f>BDP($B$85,"TRAIL_12M_EBITDA")</f>
        <v/>
      </c>
      <c r="BE85" s="43">
        <f>_xll.BDP("VMC US Equity","TRAIL_12M_EBITDA")</f>
        <v/>
      </c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</row>
    <row r="86">
      <c r="A86" s="1" t="inlineStr">
        <is>
          <t>CRH</t>
        </is>
      </c>
      <c r="B86" s="1" t="inlineStr">
        <is>
          <t>CRH US Equity</t>
        </is>
      </c>
      <c r="C86" s="43">
        <f>BDP($B$86,"CUR_MKT_CAP")/1000000000</f>
        <v/>
      </c>
      <c r="D86" s="44">
        <f>BDP($B$86,"PX_LAST")</f>
        <v/>
      </c>
      <c r="E86" s="45">
        <f>IF(BDP($B$86,"BEST_EPS","BEST_FPERIOD_OVERRIDE","26Y")&lt;&gt;0,$D$86/BDP($B$86,"BEST_EPS","BEST_FPERIOD_OVERRIDE","26Y"),"")</f>
        <v/>
      </c>
      <c r="F86" s="45">
        <f>IF(BDP($B$86,"BEST_EPS","BEST_FPERIOD_OVERRIDE","27Y")&lt;&gt;0,$D$86/BDP($B$86,"BEST_EPS","BEST_FPERIOD_OVERRIDE","27Y"),"")</f>
        <v/>
      </c>
      <c r="G86" s="45">
        <f>IF(BDP($B$86,"BEST_EPS","BEST_FPERIOD_OVERRIDE","28Y")&lt;&gt;0,$D$86/BDP($B$86,"BEST_EPS","BEST_FPERIOD_OVERRIDE","28Y"),"")</f>
        <v/>
      </c>
      <c r="H86" s="46">
        <f>BDP($B$86,"NET_DEBT_TO_EBITDA")</f>
        <v/>
      </c>
      <c r="I86" s="43">
        <f>BDP($B$86,"BEST_SALES","BEST_FPERIOD_OVERRIDE","26Y")/1000</f>
        <v/>
      </c>
      <c r="J86" s="47">
        <f>IF(BDP($B$86,"BEST_SALES","BEST_FPERIOD_OVERRIDE","26Y")&lt;&gt;0,BDP($B$86,"BEST_EBIT","BEST_FPERIOD_OVERRIDE","26Y")/BDP($B$86,"BEST_SALES","BEST_FPERIOD_OVERRIDE","26Y"),"")</f>
        <v/>
      </c>
      <c r="K86" s="47">
        <f>BDP($B$86,"RETURN_ON_INV_CAPITAL")/100</f>
        <v/>
      </c>
      <c r="L86" s="47">
        <f>IF(AND(BDP($B$86,"BEST_SALES","BEST_FPERIOD_OVERRIDE","25Y")&gt;0,BDP($B$86,"BEST_SALES","BEST_FPERIOD_OVERRIDE","28Y")&gt;0),(BDP($B$86,"BEST_SALES","BEST_FPERIOD_OVERRIDE","28Y")/BDP($B$86,"BEST_SALES","BEST_FPERIOD_OVERRIDE","25Y"))^(1/3)-1,"")</f>
        <v/>
      </c>
      <c r="M86" s="47">
        <f>IF(AND(BDP($B$86,"BEST_EBIT","BEST_FPERIOD_OVERRIDE","25Y")&gt;0,BDP($B$86,"BEST_EBIT","BEST_FPERIOD_OVERRIDE","28Y")&gt;0),(BDP($B$86,"BEST_EBIT","BEST_FPERIOD_OVERRIDE","28Y")/BDP($B$86,"BEST_EBIT","BEST_FPERIOD_OVERRIDE","25Y"))^(1/3)-1,"")</f>
        <v/>
      </c>
      <c r="N86" s="47">
        <f>IF(AND(BDP($B$86,"BEST_EPS","BEST_FPERIOD_OVERRIDE","25Y")&gt;0,BDP($B$86,"BEST_EPS","BEST_FPERIOD_OVERRIDE","28Y")&gt;0),(BDP($B$86,"BEST_EPS","BEST_FPERIOD_OVERRIDE","28Y")/BDP($B$86,"BEST_EPS","BEST_FPERIOD_OVERRIDE","25Y"))^(1/3)-1,"")</f>
        <v/>
      </c>
      <c r="O86" s="1" t="n"/>
      <c r="P86" s="47">
        <f>BDP($B$86,"CHG_PCT_YTD")/100</f>
        <v/>
      </c>
      <c r="Q86" s="1" t="n"/>
      <c r="R86" s="1" t="n"/>
      <c r="S86" s="42">
        <f>IF(AND(E86&lt;&gt;"",N86&lt;&gt;"",N86&lt;&gt;0),E86/(N86*100),"")</f>
        <v/>
      </c>
      <c r="T86" s="1" t="n"/>
      <c r="U86" s="26" t="inlineStr">
        <is>
          <t>Dec</t>
        </is>
      </c>
      <c r="V86" s="1" t="n"/>
      <c r="W86" s="1" t="n"/>
      <c r="X86" s="1" t="n"/>
      <c r="Y86" s="1" t="n"/>
      <c r="Z86" s="1" t="n"/>
      <c r="AA86" s="48">
        <f>BDP($B$86,"TRAIL_12M_OPER_INC")</f>
        <v/>
      </c>
      <c r="AB86" s="43">
        <f>BDP($B$86,"SHORT_AND_LONG_TERM_DEBT")</f>
        <v/>
      </c>
      <c r="AC86" s="43">
        <f>BDP($B$86,"TOTAL_EQUITY")</f>
        <v/>
      </c>
      <c r="AD86" s="43">
        <f>BDP($B$86,"BS_CASH_NEAR_CASH_ITEM")</f>
        <v/>
      </c>
      <c r="AE86" s="43">
        <f>BDP($B$86,"BS_LT_INVEST")</f>
        <v/>
      </c>
      <c r="AF86" s="31">
        <f>AB86+AC86</f>
        <v/>
      </c>
      <c r="AG86" s="43">
        <f>BDP($B$86,"RETURN_ON_INV_CAPITAL")/100</f>
        <v/>
      </c>
      <c r="AH86" s="49" t="n"/>
      <c r="AI86" s="48">
        <f>BDP($B$86,"BEST_EPS","BEST_FPERIOD_OVERRIDE","24Y")</f>
        <v/>
      </c>
      <c r="AJ86" s="43">
        <f>BDP($B$86,"BEST_EPS","BEST_FPERIOD_OVERRIDE","25Y")</f>
        <v/>
      </c>
      <c r="AK86" s="43">
        <f>BDP($B$86,"BEST_EPS","BEST_FPERIOD_OVERRIDE","26Y")</f>
        <v/>
      </c>
      <c r="AL86" s="43">
        <f>BDP($B$86,"BEST_EPS","BEST_FPERIOD_OVERRIDE","27Y")</f>
        <v/>
      </c>
      <c r="AM86" s="43">
        <f>BDP($B$86,"BEST_EPS","BEST_FPERIOD_OVERRIDE","28Y")</f>
        <v/>
      </c>
      <c r="AN86" s="31" t="n"/>
      <c r="AO86" s="48">
        <f>BDP($B$86,"BEST_SALES","BEST_FPERIOD_OVERRIDE","24Y")</f>
        <v/>
      </c>
      <c r="AP86" s="43">
        <f>BDP($B$86,"BEST_SALES","BEST_FPERIOD_OVERRIDE","25Y")</f>
        <v/>
      </c>
      <c r="AQ86" s="43">
        <f>BDP($B$86,"BEST_SALES","BEST_FPERIOD_OVERRIDE","26Y")</f>
        <v/>
      </c>
      <c r="AR86" s="43">
        <f>BDP($B$86,"BEST_SALES","BEST_FPERIOD_OVERRIDE","27Y")</f>
        <v/>
      </c>
      <c r="AS86" s="43">
        <f>BDP($B$86,"BEST_SALES","BEST_FPERIOD_OVERRIDE","28Y")</f>
        <v/>
      </c>
      <c r="AT86" s="31" t="n"/>
      <c r="AU86" s="48">
        <f>BDP($B$86,"BEST_EBIT","BEST_FPERIOD_OVERRIDE","24Y")</f>
        <v/>
      </c>
      <c r="AV86" s="43">
        <f>BDP($B$86,"BEST_EBIT","BEST_FPERIOD_OVERRIDE","25Y")</f>
        <v/>
      </c>
      <c r="AW86" s="43">
        <f>BDP($B$86,"BEST_EBIT","BEST_FPERIOD_OVERRIDE","26Y")</f>
        <v/>
      </c>
      <c r="AX86" s="43">
        <f>BDP($B$86,"BEST_EBIT","BEST_FPERIOD_OVERRIDE","27Y")</f>
        <v/>
      </c>
      <c r="AY86" s="43">
        <f>BDP($B$86,"BEST_EBIT","BEST_FPERIOD_OVERRIDE","28Y")</f>
        <v/>
      </c>
      <c r="AZ86" s="31" t="n"/>
      <c r="BA86" s="1">
        <f>C86+BD86</f>
        <v/>
      </c>
      <c r="BB86" s="42">
        <f>AB86-AD86</f>
        <v/>
      </c>
      <c r="BC86" s="42">
        <f>C86</f>
        <v/>
      </c>
      <c r="BD86" s="43">
        <f>BDP($B$86,"TRAIL_12M_EBITDA")</f>
        <v/>
      </c>
      <c r="BE86" s="43">
        <f>_xll.BDP("CRH US Equity","TRAIL_12M_EBITDA")</f>
        <v/>
      </c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</row>
    <row r="87">
      <c r="A87" s="1" t="inlineStr">
        <is>
          <t>LIN</t>
        </is>
      </c>
      <c r="B87" s="1" t="inlineStr">
        <is>
          <t>LIN US Equity</t>
        </is>
      </c>
      <c r="C87" s="43">
        <f>BDP($B$87,"CUR_MKT_CAP")/1000000000</f>
        <v/>
      </c>
      <c r="D87" s="44">
        <f>BDP($B$87,"PX_LAST")</f>
        <v/>
      </c>
      <c r="E87" s="45">
        <f>IF(BDP($B$87,"BEST_EPS","BEST_FPERIOD_OVERRIDE","26Y")&lt;&gt;0,$D$87/BDP($B$87,"BEST_EPS","BEST_FPERIOD_OVERRIDE","26Y"),"")</f>
        <v/>
      </c>
      <c r="F87" s="45">
        <f>IF(BDP($B$87,"BEST_EPS","BEST_FPERIOD_OVERRIDE","27Y")&lt;&gt;0,$D$87/BDP($B$87,"BEST_EPS","BEST_FPERIOD_OVERRIDE","27Y"),"")</f>
        <v/>
      </c>
      <c r="G87" s="45">
        <f>IF(BDP($B$87,"BEST_EPS","BEST_FPERIOD_OVERRIDE","28Y")&lt;&gt;0,$D$87/BDP($B$87,"BEST_EPS","BEST_FPERIOD_OVERRIDE","28Y"),"")</f>
        <v/>
      </c>
      <c r="H87" s="46">
        <f>BDP($B$87,"NET_DEBT_TO_EBITDA")</f>
        <v/>
      </c>
      <c r="I87" s="43">
        <f>BDP($B$87,"BEST_SALES","BEST_FPERIOD_OVERRIDE","26Y")/1000</f>
        <v/>
      </c>
      <c r="J87" s="47">
        <f>IF(BDP($B$87,"BEST_SALES","BEST_FPERIOD_OVERRIDE","26Y")&lt;&gt;0,BDP($B$87,"BEST_EBIT","BEST_FPERIOD_OVERRIDE","26Y")/BDP($B$87,"BEST_SALES","BEST_FPERIOD_OVERRIDE","26Y"),"")</f>
        <v/>
      </c>
      <c r="K87" s="47">
        <f>BDP($B$87,"RETURN_ON_INV_CAPITAL")/100</f>
        <v/>
      </c>
      <c r="L87" s="47">
        <f>IF(AND(BDP($B$87,"BEST_SALES","BEST_FPERIOD_OVERRIDE","25Y")&gt;0,BDP($B$87,"BEST_SALES","BEST_FPERIOD_OVERRIDE","28Y")&gt;0),(BDP($B$87,"BEST_SALES","BEST_FPERIOD_OVERRIDE","28Y")/BDP($B$87,"BEST_SALES","BEST_FPERIOD_OVERRIDE","25Y"))^(1/3)-1,"")</f>
        <v/>
      </c>
      <c r="M87" s="47">
        <f>IF(AND(BDP($B$87,"BEST_EBIT","BEST_FPERIOD_OVERRIDE","25Y")&gt;0,BDP($B$87,"BEST_EBIT","BEST_FPERIOD_OVERRIDE","28Y")&gt;0),(BDP($B$87,"BEST_EBIT","BEST_FPERIOD_OVERRIDE","28Y")/BDP($B$87,"BEST_EBIT","BEST_FPERIOD_OVERRIDE","25Y"))^(1/3)-1,"")</f>
        <v/>
      </c>
      <c r="N87" s="47">
        <f>IF(AND(BDP($B$87,"BEST_EPS","BEST_FPERIOD_OVERRIDE","25Y")&gt;0,BDP($B$87,"BEST_EPS","BEST_FPERIOD_OVERRIDE","28Y")&gt;0),(BDP($B$87,"BEST_EPS","BEST_FPERIOD_OVERRIDE","28Y")/BDP($B$87,"BEST_EPS","BEST_FPERIOD_OVERRIDE","25Y"))^(1/3)-1,"")</f>
        <v/>
      </c>
      <c r="O87" s="1" t="n"/>
      <c r="P87" s="47">
        <f>BDP($B$87,"CHG_PCT_YTD")/100</f>
        <v/>
      </c>
      <c r="Q87" s="1" t="n"/>
      <c r="R87" s="1" t="n"/>
      <c r="S87" s="42">
        <f>IF(AND(E87&lt;&gt;"",N87&lt;&gt;"",N87&lt;&gt;0),E87/(N87*100),"")</f>
        <v/>
      </c>
      <c r="T87" s="1" t="n"/>
      <c r="U87" s="26" t="inlineStr">
        <is>
          <t>Dec</t>
        </is>
      </c>
      <c r="V87" s="1" t="n"/>
      <c r="W87" s="1" t="n"/>
      <c r="X87" s="1" t="n"/>
      <c r="Y87" s="1" t="n"/>
      <c r="Z87" s="1" t="n"/>
      <c r="AA87" s="48">
        <f>BDP($B$87,"TRAIL_12M_OPER_INC")</f>
        <v/>
      </c>
      <c r="AB87" s="43">
        <f>BDP($B$87,"SHORT_AND_LONG_TERM_DEBT")</f>
        <v/>
      </c>
      <c r="AC87" s="43">
        <f>BDP($B$87,"TOTAL_EQUITY")</f>
        <v/>
      </c>
      <c r="AD87" s="43">
        <f>BDP($B$87,"BS_CASH_NEAR_CASH_ITEM")</f>
        <v/>
      </c>
      <c r="AE87" s="43">
        <f>BDP($B$87,"BS_LT_INVEST")</f>
        <v/>
      </c>
      <c r="AF87" s="31">
        <f>AB87+AC87</f>
        <v/>
      </c>
      <c r="AG87" s="43">
        <f>BDP($B$87,"RETURN_ON_INV_CAPITAL")/100</f>
        <v/>
      </c>
      <c r="AH87" s="49" t="n"/>
      <c r="AI87" s="48">
        <f>BDP($B$87,"BEST_EPS","BEST_FPERIOD_OVERRIDE","24Y")</f>
        <v/>
      </c>
      <c r="AJ87" s="43">
        <f>BDP($B$87,"BEST_EPS","BEST_FPERIOD_OVERRIDE","25Y")</f>
        <v/>
      </c>
      <c r="AK87" s="43">
        <f>BDP($B$87,"BEST_EPS","BEST_FPERIOD_OVERRIDE","26Y")</f>
        <v/>
      </c>
      <c r="AL87" s="43">
        <f>BDP($B$87,"BEST_EPS","BEST_FPERIOD_OVERRIDE","27Y")</f>
        <v/>
      </c>
      <c r="AM87" s="43">
        <f>BDP($B$87,"BEST_EPS","BEST_FPERIOD_OVERRIDE","28Y")</f>
        <v/>
      </c>
      <c r="AN87" s="31" t="n"/>
      <c r="AO87" s="48">
        <f>BDP($B$87,"BEST_SALES","BEST_FPERIOD_OVERRIDE","24Y")</f>
        <v/>
      </c>
      <c r="AP87" s="43">
        <f>BDP($B$87,"BEST_SALES","BEST_FPERIOD_OVERRIDE","25Y")</f>
        <v/>
      </c>
      <c r="AQ87" s="43">
        <f>BDP($B$87,"BEST_SALES","BEST_FPERIOD_OVERRIDE","26Y")</f>
        <v/>
      </c>
      <c r="AR87" s="43">
        <f>BDP($B$87,"BEST_SALES","BEST_FPERIOD_OVERRIDE","27Y")</f>
        <v/>
      </c>
      <c r="AS87" s="43">
        <f>BDP($B$87,"BEST_SALES","BEST_FPERIOD_OVERRIDE","28Y")</f>
        <v/>
      </c>
      <c r="AT87" s="31" t="n"/>
      <c r="AU87" s="48">
        <f>BDP($B$87,"BEST_EBIT","BEST_FPERIOD_OVERRIDE","24Y")</f>
        <v/>
      </c>
      <c r="AV87" s="43">
        <f>BDP($B$87,"BEST_EBIT","BEST_FPERIOD_OVERRIDE","25Y")</f>
        <v/>
      </c>
      <c r="AW87" s="43">
        <f>BDP($B$87,"BEST_EBIT","BEST_FPERIOD_OVERRIDE","26Y")</f>
        <v/>
      </c>
      <c r="AX87" s="43">
        <f>BDP($B$87,"BEST_EBIT","BEST_FPERIOD_OVERRIDE","27Y")</f>
        <v/>
      </c>
      <c r="AY87" s="43">
        <f>BDP($B$87,"BEST_EBIT","BEST_FPERIOD_OVERRIDE","28Y")</f>
        <v/>
      </c>
      <c r="AZ87" s="31" t="n"/>
      <c r="BA87" s="1">
        <f>C87+BD87</f>
        <v/>
      </c>
      <c r="BB87" s="42">
        <f>AB87-AD87</f>
        <v/>
      </c>
      <c r="BC87" s="42">
        <f>C87</f>
        <v/>
      </c>
      <c r="BD87" s="43">
        <f>BDP($B$87,"TRAIL_12M_EBITDA")</f>
        <v/>
      </c>
      <c r="BE87" s="43">
        <f>_xll.BDP("LIN US Equity","TRAIL_12M_EBITDA")</f>
        <v/>
      </c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</row>
    <row r="88">
      <c r="A88" s="1" t="inlineStr">
        <is>
          <t>ISRG</t>
        </is>
      </c>
      <c r="B88" s="1" t="inlineStr">
        <is>
          <t>ISRG US Equity</t>
        </is>
      </c>
      <c r="C88" s="43">
        <f>BDP($B$88,"CUR_MKT_CAP")/1000000000</f>
        <v/>
      </c>
      <c r="D88" s="44">
        <f>BDP($B$88,"PX_LAST")</f>
        <v/>
      </c>
      <c r="E88" s="45">
        <f>IF(BDP($B$88,"BEST_EPS","BEST_FPERIOD_OVERRIDE","26Y")&lt;&gt;0,$D$88/BDP($B$88,"BEST_EPS","BEST_FPERIOD_OVERRIDE","26Y"),"")</f>
        <v/>
      </c>
      <c r="F88" s="45">
        <f>IF(BDP($B$88,"BEST_EPS","BEST_FPERIOD_OVERRIDE","27Y")&lt;&gt;0,$D$88/BDP($B$88,"BEST_EPS","BEST_FPERIOD_OVERRIDE","27Y"),"")</f>
        <v/>
      </c>
      <c r="G88" s="45">
        <f>IF(BDP($B$88,"BEST_EPS","BEST_FPERIOD_OVERRIDE","28Y")&lt;&gt;0,$D$88/BDP($B$88,"BEST_EPS","BEST_FPERIOD_OVERRIDE","28Y"),"")</f>
        <v/>
      </c>
      <c r="H88" s="46">
        <f>BDP($B$88,"NET_DEBT_TO_EBITDA")</f>
        <v/>
      </c>
      <c r="I88" s="43">
        <f>BDP($B$88,"BEST_SALES","BEST_FPERIOD_OVERRIDE","26Y")/1000</f>
        <v/>
      </c>
      <c r="J88" s="47">
        <f>IF(BDP($B$88,"BEST_SALES","BEST_FPERIOD_OVERRIDE","26Y")&lt;&gt;0,BDP($B$88,"BEST_EBIT","BEST_FPERIOD_OVERRIDE","26Y")/BDP($B$88,"BEST_SALES","BEST_FPERIOD_OVERRIDE","26Y"),"")</f>
        <v/>
      </c>
      <c r="K88" s="47">
        <f>BDP($B$88,"RETURN_ON_INV_CAPITAL")/100</f>
        <v/>
      </c>
      <c r="L88" s="47">
        <f>IF(AND(BDP($B$88,"BEST_SALES","BEST_FPERIOD_OVERRIDE","25Y")&gt;0,BDP($B$88,"BEST_SALES","BEST_FPERIOD_OVERRIDE","28Y")&gt;0),(BDP($B$88,"BEST_SALES","BEST_FPERIOD_OVERRIDE","28Y")/BDP($B$88,"BEST_SALES","BEST_FPERIOD_OVERRIDE","25Y"))^(1/3)-1,"")</f>
        <v/>
      </c>
      <c r="M88" s="47">
        <f>IF(AND(BDP($B$88,"BEST_EBIT","BEST_FPERIOD_OVERRIDE","25Y")&gt;0,BDP($B$88,"BEST_EBIT","BEST_FPERIOD_OVERRIDE","28Y")&gt;0),(BDP($B$88,"BEST_EBIT","BEST_FPERIOD_OVERRIDE","28Y")/BDP($B$88,"BEST_EBIT","BEST_FPERIOD_OVERRIDE","25Y"))^(1/3)-1,"")</f>
        <v/>
      </c>
      <c r="N88" s="47">
        <f>IF(AND(BDP($B$88,"BEST_EPS","BEST_FPERIOD_OVERRIDE","25Y")&gt;0,BDP($B$88,"BEST_EPS","BEST_FPERIOD_OVERRIDE","28Y")&gt;0),(BDP($B$88,"BEST_EPS","BEST_FPERIOD_OVERRIDE","28Y")/BDP($B$88,"BEST_EPS","BEST_FPERIOD_OVERRIDE","25Y"))^(1/3)-1,"")</f>
        <v/>
      </c>
      <c r="O88" s="1" t="n"/>
      <c r="P88" s="47">
        <f>BDP($B$88,"CHG_PCT_YTD")/100</f>
        <v/>
      </c>
      <c r="Q88" s="1" t="n"/>
      <c r="R88" s="1" t="n"/>
      <c r="S88" s="42">
        <f>IF(AND(E88&lt;&gt;"",N88&lt;&gt;"",N88&lt;&gt;0),E88/(N88*100),"")</f>
        <v/>
      </c>
      <c r="T88" s="1" t="n"/>
      <c r="U88" s="26" t="inlineStr">
        <is>
          <t>Dec</t>
        </is>
      </c>
      <c r="V88" s="1" t="n"/>
      <c r="W88" s="1" t="n"/>
      <c r="X88" s="1" t="n"/>
      <c r="Y88" s="1" t="n"/>
      <c r="Z88" s="1" t="n"/>
      <c r="AA88" s="48">
        <f>BDP($B$88,"TRAIL_12M_OPER_INC")</f>
        <v/>
      </c>
      <c r="AB88" s="43">
        <f>BDP($B$88,"SHORT_AND_LONG_TERM_DEBT")</f>
        <v/>
      </c>
      <c r="AC88" s="43">
        <f>BDP($B$88,"TOTAL_EQUITY")</f>
        <v/>
      </c>
      <c r="AD88" s="43">
        <f>BDP($B$88,"BS_CASH_NEAR_CASH_ITEM")</f>
        <v/>
      </c>
      <c r="AE88" s="43">
        <f>BDP($B$88,"BS_LT_INVEST")</f>
        <v/>
      </c>
      <c r="AF88" s="31">
        <f>AB88+AC88</f>
        <v/>
      </c>
      <c r="AG88" s="43">
        <f>BDP($B$88,"RETURN_ON_INV_CAPITAL")/100</f>
        <v/>
      </c>
      <c r="AH88" s="49" t="n"/>
      <c r="AI88" s="48">
        <f>BDP($B$88,"BEST_EPS","BEST_FPERIOD_OVERRIDE","24Y")</f>
        <v/>
      </c>
      <c r="AJ88" s="43">
        <f>BDP($B$88,"BEST_EPS","BEST_FPERIOD_OVERRIDE","25Y")</f>
        <v/>
      </c>
      <c r="AK88" s="43">
        <f>BDP($B$88,"BEST_EPS","BEST_FPERIOD_OVERRIDE","26Y")</f>
        <v/>
      </c>
      <c r="AL88" s="43">
        <f>BDP($B$88,"BEST_EPS","BEST_FPERIOD_OVERRIDE","27Y")</f>
        <v/>
      </c>
      <c r="AM88" s="43">
        <f>BDP($B$88,"BEST_EPS","BEST_FPERIOD_OVERRIDE","28Y")</f>
        <v/>
      </c>
      <c r="AN88" s="31" t="n"/>
      <c r="AO88" s="48">
        <f>BDP($B$88,"BEST_SALES","BEST_FPERIOD_OVERRIDE","24Y")</f>
        <v/>
      </c>
      <c r="AP88" s="43">
        <f>BDP($B$88,"BEST_SALES","BEST_FPERIOD_OVERRIDE","25Y")</f>
        <v/>
      </c>
      <c r="AQ88" s="43">
        <f>BDP($B$88,"BEST_SALES","BEST_FPERIOD_OVERRIDE","26Y")</f>
        <v/>
      </c>
      <c r="AR88" s="43">
        <f>BDP($B$88,"BEST_SALES","BEST_FPERIOD_OVERRIDE","27Y")</f>
        <v/>
      </c>
      <c r="AS88" s="43">
        <f>BDP($B$88,"BEST_SALES","BEST_FPERIOD_OVERRIDE","28Y")</f>
        <v/>
      </c>
      <c r="AT88" s="31" t="n"/>
      <c r="AU88" s="48">
        <f>BDP($B$88,"BEST_EBIT","BEST_FPERIOD_OVERRIDE","24Y")</f>
        <v/>
      </c>
      <c r="AV88" s="43">
        <f>BDP($B$88,"BEST_EBIT","BEST_FPERIOD_OVERRIDE","25Y")</f>
        <v/>
      </c>
      <c r="AW88" s="43">
        <f>BDP($B$88,"BEST_EBIT","BEST_FPERIOD_OVERRIDE","26Y")</f>
        <v/>
      </c>
      <c r="AX88" s="43">
        <f>BDP($B$88,"BEST_EBIT","BEST_FPERIOD_OVERRIDE","27Y")</f>
        <v/>
      </c>
      <c r="AY88" s="43">
        <f>BDP($B$88,"BEST_EBIT","BEST_FPERIOD_OVERRIDE","28Y")</f>
        <v/>
      </c>
      <c r="AZ88" s="31" t="n"/>
      <c r="BA88" s="1">
        <f>C88+BD88</f>
        <v/>
      </c>
      <c r="BB88" s="42">
        <f>AB88-AD88</f>
        <v/>
      </c>
      <c r="BC88" s="42">
        <f>C88</f>
        <v/>
      </c>
      <c r="BD88" s="43">
        <f>BDP($B$88,"TRAIL_12M_EBITDA")</f>
        <v/>
      </c>
      <c r="BE88" s="43">
        <f>_xll.BDP("ISRG US Equity","TRAIL_12M_EBITDA")</f>
        <v/>
      </c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</row>
    <row r="89">
      <c r="A89" s="1" t="inlineStr">
        <is>
          <t>CP</t>
        </is>
      </c>
      <c r="B89" s="1" t="inlineStr">
        <is>
          <t>CP US Equity</t>
        </is>
      </c>
      <c r="C89" s="43">
        <f>BDP($B$89,"CUR_MKT_CAP")/1000000000</f>
        <v/>
      </c>
      <c r="D89" s="44">
        <f>BDP($B$89,"PX_LAST")</f>
        <v/>
      </c>
      <c r="E89" s="45">
        <f>IF(BDP($B$89,"BEST_EPS","BEST_FPERIOD_OVERRIDE","26Y")&lt;&gt;0,$D$89/BDP($B$89,"BEST_EPS","BEST_FPERIOD_OVERRIDE","26Y"),"")</f>
        <v/>
      </c>
      <c r="F89" s="45">
        <f>IF(BDP($B$89,"BEST_EPS","BEST_FPERIOD_OVERRIDE","27Y")&lt;&gt;0,$D$89/BDP($B$89,"BEST_EPS","BEST_FPERIOD_OVERRIDE","27Y"),"")</f>
        <v/>
      </c>
      <c r="G89" s="45">
        <f>IF(BDP($B$89,"BEST_EPS","BEST_FPERIOD_OVERRIDE","28Y")&lt;&gt;0,$D$89/BDP($B$89,"BEST_EPS","BEST_FPERIOD_OVERRIDE","28Y"),"")</f>
        <v/>
      </c>
      <c r="H89" s="46">
        <f>BDP($B$89,"NET_DEBT_TO_EBITDA")</f>
        <v/>
      </c>
      <c r="I89" s="43">
        <f>BDP($B$89,"BEST_SALES","BEST_FPERIOD_OVERRIDE","26Y")/1000</f>
        <v/>
      </c>
      <c r="J89" s="47">
        <f>IF(BDP($B$89,"BEST_SALES","BEST_FPERIOD_OVERRIDE","26Y")&lt;&gt;0,BDP($B$89,"BEST_EBIT","BEST_FPERIOD_OVERRIDE","26Y")/BDP($B$89,"BEST_SALES","BEST_FPERIOD_OVERRIDE","26Y"),"")</f>
        <v/>
      </c>
      <c r="K89" s="47">
        <f>BDP($B$89,"RETURN_ON_INV_CAPITAL")/100</f>
        <v/>
      </c>
      <c r="L89" s="47">
        <f>IF(AND(BDP($B$89,"BEST_SALES","BEST_FPERIOD_OVERRIDE","25Y")&gt;0,BDP($B$89,"BEST_SALES","BEST_FPERIOD_OVERRIDE","28Y")&gt;0),(BDP($B$89,"BEST_SALES","BEST_FPERIOD_OVERRIDE","28Y")/BDP($B$89,"BEST_SALES","BEST_FPERIOD_OVERRIDE","25Y"))^(1/3)-1,"")</f>
        <v/>
      </c>
      <c r="M89" s="47">
        <f>IF(AND(BDP($B$89,"BEST_EBIT","BEST_FPERIOD_OVERRIDE","25Y")&gt;0,BDP($B$89,"BEST_EBIT","BEST_FPERIOD_OVERRIDE","28Y")&gt;0),(BDP($B$89,"BEST_EBIT","BEST_FPERIOD_OVERRIDE","28Y")/BDP($B$89,"BEST_EBIT","BEST_FPERIOD_OVERRIDE","25Y"))^(1/3)-1,"")</f>
        <v/>
      </c>
      <c r="N89" s="47">
        <f>IF(AND(BDP($B$89,"BEST_EPS","BEST_FPERIOD_OVERRIDE","25Y")&gt;0,BDP($B$89,"BEST_EPS","BEST_FPERIOD_OVERRIDE","28Y")&gt;0),(BDP($B$89,"BEST_EPS","BEST_FPERIOD_OVERRIDE","28Y")/BDP($B$89,"BEST_EPS","BEST_FPERIOD_OVERRIDE","25Y"))^(1/3)-1,"")</f>
        <v/>
      </c>
      <c r="O89" s="1" t="n"/>
      <c r="P89" s="47">
        <f>BDP($B$89,"CHG_PCT_YTD")/100</f>
        <v/>
      </c>
      <c r="Q89" s="1" t="n"/>
      <c r="R89" s="1" t="n"/>
      <c r="S89" s="42">
        <f>IF(AND(E89&lt;&gt;"",N89&lt;&gt;"",N89&lt;&gt;0),E89/(N89*100),"")</f>
        <v/>
      </c>
      <c r="T89" s="1" t="n"/>
      <c r="U89" s="26" t="inlineStr">
        <is>
          <t>Dec</t>
        </is>
      </c>
      <c r="V89" s="1" t="n"/>
      <c r="W89" s="1" t="n"/>
      <c r="X89" s="1" t="n"/>
      <c r="Y89" s="1" t="n"/>
      <c r="Z89" s="1" t="n"/>
      <c r="AA89" s="48">
        <f>BDP($B$89,"TRAIL_12M_OPER_INC")</f>
        <v/>
      </c>
      <c r="AB89" s="43">
        <f>BDP($B$89,"SHORT_AND_LONG_TERM_DEBT")</f>
        <v/>
      </c>
      <c r="AC89" s="43">
        <f>BDP($B$89,"TOTAL_EQUITY")</f>
        <v/>
      </c>
      <c r="AD89" s="43">
        <f>BDP($B$89,"BS_CASH_NEAR_CASH_ITEM")</f>
        <v/>
      </c>
      <c r="AE89" s="43">
        <f>BDP($B$89,"BS_LT_INVEST")</f>
        <v/>
      </c>
      <c r="AF89" s="31">
        <f>AB89+AC89</f>
        <v/>
      </c>
      <c r="AG89" s="43">
        <f>BDP($B$89,"RETURN_ON_INV_CAPITAL")/100</f>
        <v/>
      </c>
      <c r="AH89" s="49" t="n"/>
      <c r="AI89" s="48">
        <f>BDP($B$89,"BEST_EPS","BEST_FPERIOD_OVERRIDE","24Y")</f>
        <v/>
      </c>
      <c r="AJ89" s="43">
        <f>BDP($B$89,"BEST_EPS","BEST_FPERIOD_OVERRIDE","25Y")</f>
        <v/>
      </c>
      <c r="AK89" s="43">
        <f>BDP($B$89,"BEST_EPS","BEST_FPERIOD_OVERRIDE","26Y")</f>
        <v/>
      </c>
      <c r="AL89" s="43">
        <f>BDP($B$89,"BEST_EPS","BEST_FPERIOD_OVERRIDE","27Y")</f>
        <v/>
      </c>
      <c r="AM89" s="43">
        <f>BDP($B$89,"BEST_EPS","BEST_FPERIOD_OVERRIDE","28Y")</f>
        <v/>
      </c>
      <c r="AN89" s="31" t="n"/>
      <c r="AO89" s="48">
        <f>BDP($B$89,"BEST_SALES","BEST_FPERIOD_OVERRIDE","24Y")</f>
        <v/>
      </c>
      <c r="AP89" s="43">
        <f>BDP($B$89,"BEST_SALES","BEST_FPERIOD_OVERRIDE","25Y")</f>
        <v/>
      </c>
      <c r="AQ89" s="43">
        <f>BDP($B$89,"BEST_SALES","BEST_FPERIOD_OVERRIDE","26Y")</f>
        <v/>
      </c>
      <c r="AR89" s="43">
        <f>BDP($B$89,"BEST_SALES","BEST_FPERIOD_OVERRIDE","27Y")</f>
        <v/>
      </c>
      <c r="AS89" s="43">
        <f>BDP($B$89,"BEST_SALES","BEST_FPERIOD_OVERRIDE","28Y")</f>
        <v/>
      </c>
      <c r="AT89" s="31" t="n"/>
      <c r="AU89" s="48">
        <f>BDP($B$89,"BEST_EBIT","BEST_FPERIOD_OVERRIDE","24Y")</f>
        <v/>
      </c>
      <c r="AV89" s="43">
        <f>BDP($B$89,"BEST_EBIT","BEST_FPERIOD_OVERRIDE","25Y")</f>
        <v/>
      </c>
      <c r="AW89" s="43">
        <f>BDP($B$89,"BEST_EBIT","BEST_FPERIOD_OVERRIDE","26Y")</f>
        <v/>
      </c>
      <c r="AX89" s="43">
        <f>BDP($B$89,"BEST_EBIT","BEST_FPERIOD_OVERRIDE","27Y")</f>
        <v/>
      </c>
      <c r="AY89" s="43">
        <f>BDP($B$89,"BEST_EBIT","BEST_FPERIOD_OVERRIDE","28Y")</f>
        <v/>
      </c>
      <c r="AZ89" s="31" t="n"/>
      <c r="BA89" s="1">
        <f>C89+BD89</f>
        <v/>
      </c>
      <c r="BB89" s="42">
        <f>AB89-AD89</f>
        <v/>
      </c>
      <c r="BC89" s="42">
        <f>C89</f>
        <v/>
      </c>
      <c r="BD89" s="43">
        <f>BDP($B$89,"TRAIL_12M_EBITDA")</f>
        <v/>
      </c>
      <c r="BE89" s="43">
        <f>_xll.BDP("CP US Equity","TRAIL_12M_EBITDA")</f>
        <v/>
      </c>
      <c r="BF89" s="1" t="n"/>
      <c r="BG89" s="1" t="n"/>
      <c r="BH89" s="1" t="n"/>
      <c r="BI89" s="1" t="n"/>
      <c r="BJ89" s="1" t="n"/>
      <c r="BK89" s="1" t="n"/>
      <c r="BL89" s="1" t="n"/>
      <c r="BM89" s="1" t="n"/>
      <c r="BN89" s="1" t="n"/>
      <c r="BO89" s="1" t="n"/>
      <c r="BP89" s="1" t="n"/>
      <c r="BQ89" s="1" t="n"/>
      <c r="BR89" s="1" t="n"/>
      <c r="BS89" s="1" t="n"/>
      <c r="BT89" s="1" t="n"/>
      <c r="BU89" s="1" t="n"/>
      <c r="BV89" s="1" t="n"/>
      <c r="BW89" s="1" t="n"/>
      <c r="BX89" s="1" t="n"/>
      <c r="BY89" s="1" t="n"/>
      <c r="BZ89" s="1" t="n"/>
      <c r="CA89" s="1" t="n"/>
      <c r="CB89" s="1" t="n"/>
      <c r="CC89" s="1" t="n"/>
      <c r="CD89" s="1" t="n"/>
      <c r="CE89" s="1" t="n"/>
      <c r="CF89" s="1" t="n"/>
      <c r="CG89" s="1" t="n"/>
    </row>
    <row r="90">
      <c r="A90" t="inlineStr">
        <is>
          <t>IR</t>
        </is>
      </c>
      <c r="B90" t="inlineStr">
        <is>
          <t>IR US Equity</t>
        </is>
      </c>
      <c r="C90" s="43">
        <f>BDP($B$90,"CUR_MKT_CAP")/1000000000</f>
        <v/>
      </c>
      <c r="D90" s="44">
        <f>BDP($B$90,"PX_LAST")</f>
        <v/>
      </c>
      <c r="E90" s="45">
        <f>IF(BDP($B$90,"BEST_EPS","BEST_FPERIOD_OVERRIDE","26Y")&lt;&gt;0,$D$90/BDP($B$90,"BEST_EPS","BEST_FPERIOD_OVERRIDE","26Y"),"")</f>
        <v/>
      </c>
      <c r="F90" s="45">
        <f>IF(BDP($B$90,"BEST_EPS","BEST_FPERIOD_OVERRIDE","27Y")&lt;&gt;0,$D$90/BDP($B$90,"BEST_EPS","BEST_FPERIOD_OVERRIDE","27Y"),"")</f>
        <v/>
      </c>
      <c r="G90" s="45">
        <f>IF(BDP($B$90,"BEST_EPS","BEST_FPERIOD_OVERRIDE","28Y")&lt;&gt;0,$D$90/BDP($B$90,"BEST_EPS","BEST_FPERIOD_OVERRIDE","28Y"),"")</f>
        <v/>
      </c>
      <c r="H90" s="46">
        <f>BDP($B$90,"NET_DEBT_TO_EBITDA")</f>
        <v/>
      </c>
      <c r="I90" s="43">
        <f>BDP($B$90,"BEST_SALES","BEST_FPERIOD_OVERRIDE","26Y")/1000</f>
        <v/>
      </c>
      <c r="J90" s="47">
        <f>IF(BDP($B$90,"BEST_SALES","BEST_FPERIOD_OVERRIDE","26Y")&lt;&gt;0,BDP($B$90,"BEST_EBIT","BEST_FPERIOD_OVERRIDE","26Y")/BDP($B$90,"BEST_SALES","BEST_FPERIOD_OVERRIDE","26Y"),"")</f>
        <v/>
      </c>
      <c r="K90" s="47">
        <f>BDP($B$90,"RETURN_ON_INV_CAPITAL")/100</f>
        <v/>
      </c>
      <c r="L90" s="47">
        <f>IF(AND(BDP($B$90,"BEST_SALES","BEST_FPERIOD_OVERRIDE","25Y")&gt;0,BDP($B$90,"BEST_SALES","BEST_FPERIOD_OVERRIDE","28Y")&gt;0),(BDP($B$90,"BEST_SALES","BEST_FPERIOD_OVERRIDE","28Y")/BDP($B$90,"BEST_SALES","BEST_FPERIOD_OVERRIDE","25Y"))^(1/3)-1,"")</f>
        <v/>
      </c>
      <c r="M90" s="47">
        <f>IF(AND(BDP($B$90,"BEST_EBIT","BEST_FPERIOD_OVERRIDE","25Y")&gt;0,BDP($B$90,"BEST_EBIT","BEST_FPERIOD_OVERRIDE","28Y")&gt;0),(BDP($B$90,"BEST_EBIT","BEST_FPERIOD_OVERRIDE","28Y")/BDP($B$90,"BEST_EBIT","BEST_FPERIOD_OVERRIDE","25Y"))^(1/3)-1,"")</f>
        <v/>
      </c>
      <c r="N90" s="47">
        <f>IF(AND(BDP($B$90,"BEST_EPS","BEST_FPERIOD_OVERRIDE","25Y")&gt;0,BDP($B$90,"BEST_EPS","BEST_FPERIOD_OVERRIDE","28Y")&gt;0),(BDP($B$90,"BEST_EPS","BEST_FPERIOD_OVERRIDE","28Y")/BDP($B$90,"BEST_EPS","BEST_FPERIOD_OVERRIDE","25Y"))^(1/3)-1,"")</f>
        <v/>
      </c>
      <c r="O90" s="1" t="n"/>
      <c r="P90" s="47">
        <f>BDP($B$90,"CHG_PCT_YTD")/100</f>
        <v/>
      </c>
      <c r="Q90" s="1" t="n"/>
      <c r="R90" s="1" t="n"/>
      <c r="S90" s="42">
        <f>IF(AND(E90&lt;&gt;"",N90&lt;&gt;"",N90&lt;&gt;0),E90/(N90*100),"")</f>
        <v/>
      </c>
      <c r="T90" s="1" t="n"/>
      <c r="U90" s="26" t="inlineStr">
        <is>
          <t>Dec</t>
        </is>
      </c>
      <c r="AA90" s="48">
        <f>BDP($B$90,"TRAIL_12M_OPER_INC")</f>
        <v/>
      </c>
      <c r="AB90" s="48">
        <f>BDP($B$90,"SHORT_AND_LONG_TERM_DEBT")</f>
        <v/>
      </c>
      <c r="AC90" s="48">
        <f>BDP($B$90,"TOTAL_EQUITY")</f>
        <v/>
      </c>
      <c r="AD90" s="48">
        <f>BDP($B$90,"BS_CASH_NEAR_CASH_ITEM")</f>
        <v/>
      </c>
      <c r="AE90" s="48">
        <f>BDP($B$90,"BS_LT_INVEST")</f>
        <v/>
      </c>
      <c r="AF90" s="36">
        <f>AB90+AC90</f>
        <v/>
      </c>
      <c r="AG90" s="48">
        <f>BDP($B$90,"RETURN_ON_INV_CAPITAL")/100</f>
        <v/>
      </c>
      <c r="AH90" s="36" t="n"/>
      <c r="AI90" s="48">
        <f>BDP($B$90,"BEST_EPS","BEST_FPERIOD_OVERRIDE","24Y")</f>
        <v/>
      </c>
      <c r="AJ90" s="48">
        <f>BDP($B$90,"BEST_EPS","BEST_FPERIOD_OVERRIDE","25Y")</f>
        <v/>
      </c>
      <c r="AK90" s="48">
        <f>BDP($B$90,"BEST_EPS","BEST_FPERIOD_OVERRIDE","26Y")</f>
        <v/>
      </c>
      <c r="AL90" s="48">
        <f>BDP($B$90,"BEST_EPS","BEST_FPERIOD_OVERRIDE","27Y")</f>
        <v/>
      </c>
      <c r="AM90" s="48">
        <f>BDP($B$90,"BEST_EPS","BEST_FPERIOD_OVERRIDE","28Y")</f>
        <v/>
      </c>
      <c r="AN90" s="36" t="n"/>
      <c r="AO90" s="48">
        <f>BDP($B$90,"BEST_SALES","BEST_FPERIOD_OVERRIDE","24Y")</f>
        <v/>
      </c>
      <c r="AP90" s="48">
        <f>BDP($B$90,"BEST_SALES","BEST_FPERIOD_OVERRIDE","25Y")</f>
        <v/>
      </c>
      <c r="AQ90" s="48">
        <f>BDP($B$90,"BEST_SALES","BEST_FPERIOD_OVERRIDE","26Y")</f>
        <v/>
      </c>
      <c r="AR90" s="48">
        <f>BDP($B$90,"BEST_SALES","BEST_FPERIOD_OVERRIDE","27Y")</f>
        <v/>
      </c>
      <c r="AS90" s="48">
        <f>BDP($B$90,"BEST_SALES","BEST_FPERIOD_OVERRIDE","28Y")</f>
        <v/>
      </c>
      <c r="AT90" s="36" t="n"/>
      <c r="AU90" s="48">
        <f>BDP($B$90,"BEST_EBIT","BEST_FPERIOD_OVERRIDE","24Y")</f>
        <v/>
      </c>
      <c r="AV90" s="48">
        <f>BDP($B$90,"BEST_EBIT","BEST_FPERIOD_OVERRIDE","25Y")</f>
        <v/>
      </c>
      <c r="AW90" s="48">
        <f>BDP($B$90,"BEST_EBIT","BEST_FPERIOD_OVERRIDE","26Y")</f>
        <v/>
      </c>
      <c r="AX90" s="48">
        <f>BDP($B$90,"BEST_EBIT","BEST_FPERIOD_OVERRIDE","27Y")</f>
        <v/>
      </c>
      <c r="AY90" s="48">
        <f>BDP($B$90,"BEST_EBIT","BEST_FPERIOD_OVERRIDE","28Y")</f>
        <v/>
      </c>
      <c r="AZ90" s="36" t="n"/>
      <c r="BA90">
        <f>C90+BD90</f>
        <v/>
      </c>
      <c r="BB90">
        <f>AB90-AD90</f>
        <v/>
      </c>
      <c r="BC90">
        <f>C90</f>
        <v/>
      </c>
      <c r="BD90" s="48">
        <f>BDP($B$90,"TRAIL_12M_EBITDA")</f>
        <v/>
      </c>
      <c r="BE90" s="48">
        <f>_xll.BDP("IR US Equity","TRAIL_12M_EBITDA")</f>
        <v/>
      </c>
    </row>
    <row r="91">
      <c r="A91" s="1" t="n"/>
      <c r="B91" s="1" t="n"/>
      <c r="C91" s="18" t="n"/>
      <c r="D91" s="58" t="n"/>
      <c r="E91" s="51">
        <f>AVERAGE(E79:E90)</f>
        <v/>
      </c>
      <c r="F91" s="51">
        <f>AVERAGE(F79:F90)</f>
        <v/>
      </c>
      <c r="G91" s="51">
        <f>AVERAGE(G79:G90)</f>
        <v/>
      </c>
      <c r="H91" s="52">
        <f>AVERAGE(H79:H90)</f>
        <v/>
      </c>
      <c r="I91" s="53" t="n"/>
      <c r="J91" s="54">
        <f>AVERAGE(J79:J90)</f>
        <v/>
      </c>
      <c r="K91" s="54">
        <f>AVERAGE(K79:K90)</f>
        <v/>
      </c>
      <c r="L91" s="54">
        <f>AVERAGE(L79:L90)</f>
        <v/>
      </c>
      <c r="M91" s="54">
        <f>AVERAGE(M79:M90)</f>
        <v/>
      </c>
      <c r="N91" s="54">
        <f>AVERAGE(N79:N90)</f>
        <v/>
      </c>
      <c r="O91" s="1" t="n"/>
      <c r="P91" s="59" t="n"/>
      <c r="Q91" s="1" t="n"/>
      <c r="R91" s="1" t="n"/>
      <c r="S91" s="42" t="n"/>
      <c r="T91" s="1" t="n"/>
      <c r="U91" s="26" t="n"/>
      <c r="V91" s="1" t="n"/>
      <c r="W91" s="1" t="n"/>
      <c r="X91" s="1" t="n"/>
      <c r="Y91" s="1" t="n"/>
      <c r="Z91" s="1" t="n"/>
      <c r="AA91" s="1" t="n"/>
      <c r="AB91" s="4" t="n"/>
      <c r="AC91" s="4" t="n"/>
      <c r="AD91" s="4" t="n"/>
      <c r="AE91" s="4" t="n"/>
      <c r="AF91" s="4" t="n"/>
      <c r="AG91" s="4" t="n"/>
      <c r="AH91" s="41" t="n"/>
      <c r="AI91" s="1" t="n"/>
      <c r="AJ91" s="4" t="n"/>
      <c r="AK91" s="4" t="n"/>
      <c r="AL91" s="4" t="n"/>
      <c r="AM91" s="4" t="n"/>
      <c r="AN91" s="4" t="n"/>
      <c r="AO91" s="1" t="n"/>
      <c r="AP91" s="4" t="n"/>
      <c r="AQ91" s="4" t="n"/>
      <c r="AR91" s="4" t="n"/>
      <c r="AS91" s="4" t="n"/>
      <c r="AT91" s="4" t="n"/>
      <c r="AU91" s="1" t="n"/>
      <c r="AV91" s="4" t="n"/>
      <c r="AW91" s="4" t="n"/>
      <c r="AX91" s="4" t="n"/>
      <c r="AY91" s="4" t="n"/>
      <c r="AZ91" s="4" t="n"/>
      <c r="BA91" s="1" t="n"/>
      <c r="BB91" s="42" t="n"/>
      <c r="BC91" s="42" t="n"/>
      <c r="BD91" s="4" t="n"/>
      <c r="BE91" s="4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</row>
    <row r="92">
      <c r="A92" s="1" t="n"/>
      <c r="B92" s="1" t="n"/>
      <c r="C92" s="18" t="n"/>
      <c r="D92" s="58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1" t="n"/>
      <c r="P92" s="59" t="n"/>
      <c r="Q92" s="1" t="n"/>
      <c r="R92" s="1" t="n"/>
      <c r="S92" s="42" t="n"/>
      <c r="T92" s="1" t="n"/>
      <c r="U92" s="26" t="n"/>
      <c r="V92" s="1" t="n"/>
      <c r="W92" s="1" t="n"/>
      <c r="X92" s="1" t="n"/>
      <c r="Y92" s="1" t="n"/>
      <c r="Z92" s="1" t="n"/>
      <c r="AA92" s="1" t="n"/>
      <c r="AB92" s="4" t="n"/>
      <c r="AC92" s="4" t="n"/>
      <c r="AD92" s="4" t="n"/>
      <c r="AE92" s="4" t="n"/>
      <c r="AF92" s="4" t="n"/>
      <c r="AG92" s="4" t="n"/>
      <c r="AH92" s="41" t="n"/>
      <c r="AI92" s="1" t="n"/>
      <c r="AJ92" s="4" t="n"/>
      <c r="AK92" s="4" t="n"/>
      <c r="AL92" s="4" t="n"/>
      <c r="AM92" s="4" t="n"/>
      <c r="AN92" s="4" t="n"/>
      <c r="AO92" s="1" t="n"/>
      <c r="AP92" s="4" t="n"/>
      <c r="AQ92" s="4" t="n"/>
      <c r="AR92" s="4" t="n"/>
      <c r="AS92" s="4" t="n"/>
      <c r="AT92" s="4" t="n"/>
      <c r="AU92" s="1" t="n"/>
      <c r="AV92" s="4" t="n"/>
      <c r="AW92" s="4" t="n"/>
      <c r="AX92" s="4" t="n"/>
      <c r="AY92" s="4" t="n"/>
      <c r="AZ92" s="4" t="n"/>
      <c r="BA92" s="1" t="n"/>
      <c r="BB92" s="42" t="n"/>
      <c r="BC92" s="42" t="n"/>
      <c r="BD92" s="4" t="n"/>
      <c r="BE92" s="4" t="n"/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</row>
    <row r="93">
      <c r="A93" s="3" t="inlineStr">
        <is>
          <t>Technology</t>
        </is>
      </c>
      <c r="B93" s="1" t="n"/>
      <c r="C93" s="43" t="n"/>
      <c r="D93" s="44" t="n"/>
      <c r="E93" s="45" t="n"/>
      <c r="F93" s="45" t="n"/>
      <c r="G93" s="45" t="n"/>
      <c r="H93" s="46" t="n"/>
      <c r="I93" s="43" t="n"/>
      <c r="J93" s="47" t="n"/>
      <c r="K93" s="47" t="n"/>
      <c r="L93" s="47" t="n"/>
      <c r="M93" s="47" t="n"/>
      <c r="N93" s="47" t="n"/>
      <c r="O93" s="1" t="n"/>
      <c r="P93" s="47" t="n"/>
      <c r="Q93" s="1" t="n"/>
      <c r="R93" s="1" t="n"/>
      <c r="S93" s="42">
        <f>IF(AND(E93&lt;&gt;"",N93&lt;&gt;"",N93&lt;&gt;0),E93/(N93*100),"")</f>
        <v/>
      </c>
      <c r="T93" s="1" t="n"/>
      <c r="U93" s="26" t="inlineStr">
        <is>
          <t>Oct</t>
        </is>
      </c>
      <c r="V93" s="1" t="n"/>
      <c r="W93" s="1" t="n"/>
      <c r="X93" s="1" t="n"/>
      <c r="Y93" s="1" t="n"/>
      <c r="Z93" s="1" t="n"/>
      <c r="AA93" s="48" t="n"/>
      <c r="AB93" s="43" t="n"/>
      <c r="AC93" s="43" t="n"/>
      <c r="AD93" s="43" t="n"/>
      <c r="AE93" s="43" t="n"/>
      <c r="AF93" s="4">
        <f>AB93+AC93</f>
        <v/>
      </c>
      <c r="AG93" s="43" t="n"/>
      <c r="AH93" s="41" t="n"/>
      <c r="AI93" s="48" t="n"/>
      <c r="AJ93" s="43" t="n"/>
      <c r="AK93" s="43" t="n"/>
      <c r="AL93" s="43" t="n"/>
      <c r="AM93" s="43" t="n"/>
      <c r="AN93" s="4" t="n"/>
      <c r="AO93" s="48" t="n"/>
      <c r="AP93" s="43" t="n"/>
      <c r="AQ93" s="43" t="n"/>
      <c r="AR93" s="43" t="n"/>
      <c r="AS93" s="43" t="n"/>
      <c r="AT93" s="4" t="n"/>
      <c r="AU93" s="48" t="n"/>
      <c r="AV93" s="43" t="n"/>
      <c r="AW93" s="43" t="n"/>
      <c r="AX93" s="43" t="n"/>
      <c r="AY93" s="43" t="n"/>
      <c r="AZ93" s="4" t="n"/>
      <c r="BA93" s="1">
        <f>C93+BD93</f>
        <v/>
      </c>
      <c r="BB93" s="42">
        <f>AB93-AD93</f>
        <v/>
      </c>
      <c r="BC93" s="42">
        <f>C93</f>
        <v/>
      </c>
      <c r="BD93" s="43" t="n"/>
      <c r="BE93" s="4" t="n"/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</row>
    <row r="94">
      <c r="A94" s="1" t="inlineStr">
        <is>
          <t>AAPL</t>
        </is>
      </c>
      <c r="B94" s="1" t="inlineStr">
        <is>
          <t>AAPL US Equity</t>
        </is>
      </c>
      <c r="C94" s="43">
        <f>BDP($B$94,"CUR_MKT_CAP")/1000000000</f>
        <v/>
      </c>
      <c r="D94" s="44">
        <f>BDP($B$94,"PX_LAST")</f>
        <v/>
      </c>
      <c r="E94" s="45">
        <f>IF(BDP($B$94,"BEST_EPS","BEST_FPERIOD_OVERRIDE","26Y")&lt;&gt;0,$D$94/BDP($B$94,"BEST_EPS","BEST_FPERIOD_OVERRIDE","26Y"),"")</f>
        <v/>
      </c>
      <c r="F94" s="45">
        <f>IF(BDP($B$94,"BEST_EPS","BEST_FPERIOD_OVERRIDE","27Y")&lt;&gt;0,$D$94/BDP($B$94,"BEST_EPS","BEST_FPERIOD_OVERRIDE","27Y"),"")</f>
        <v/>
      </c>
      <c r="G94" s="45">
        <f>IF(BDP($B$94,"BEST_EPS","BEST_FPERIOD_OVERRIDE","28Y")&lt;&gt;0,$D$94/BDP($B$94,"BEST_EPS","BEST_FPERIOD_OVERRIDE","28Y"),"")</f>
        <v/>
      </c>
      <c r="H94" s="46">
        <f>BDP($B$94,"NET_DEBT_TO_EBITDA")</f>
        <v/>
      </c>
      <c r="I94" s="43">
        <f>BDP($B$94,"BEST_SALES","BEST_FPERIOD_OVERRIDE","26Y")/1000</f>
        <v/>
      </c>
      <c r="J94" s="47">
        <f>IF(BDP($B$94,"BEST_SALES","BEST_FPERIOD_OVERRIDE","26Y")&lt;&gt;0,BDP($B$94,"BEST_EBIT","BEST_FPERIOD_OVERRIDE","26Y")/BDP($B$94,"BEST_SALES","BEST_FPERIOD_OVERRIDE","26Y"),"")</f>
        <v/>
      </c>
      <c r="K94" s="47">
        <f>BDP($B$94,"RETURN_ON_INV_CAPITAL")/100</f>
        <v/>
      </c>
      <c r="L94" s="47">
        <f>IF(AND(BDP($B$94,"BEST_SALES","BEST_FPERIOD_OVERRIDE","25Y")&gt;0,BDP($B$94,"BEST_SALES","BEST_FPERIOD_OVERRIDE","28Y")&gt;0),(BDP($B$94,"BEST_SALES","BEST_FPERIOD_OVERRIDE","28Y")/BDP($B$94,"BEST_SALES","BEST_FPERIOD_OVERRIDE","25Y"))^(1/3)-1,"")</f>
        <v/>
      </c>
      <c r="M94" s="47">
        <f>IF(AND(BDP($B$94,"BEST_EBIT","BEST_FPERIOD_OVERRIDE","25Y")&gt;0,BDP($B$94,"BEST_EBIT","BEST_FPERIOD_OVERRIDE","28Y")&gt;0),(BDP($B$94,"BEST_EBIT","BEST_FPERIOD_OVERRIDE","28Y")/BDP($B$94,"BEST_EBIT","BEST_FPERIOD_OVERRIDE","25Y"))^(1/3)-1,"")</f>
        <v/>
      </c>
      <c r="N94" s="47">
        <f>IF(AND(BDP($B$94,"BEST_EPS","BEST_FPERIOD_OVERRIDE","25Y")&gt;0,BDP($B$94,"BEST_EPS","BEST_FPERIOD_OVERRIDE","28Y")&gt;0),(BDP($B$94,"BEST_EPS","BEST_FPERIOD_OVERRIDE","28Y")/BDP($B$94,"BEST_EPS","BEST_FPERIOD_OVERRIDE","25Y"))^(1/3)-1,"")</f>
        <v/>
      </c>
      <c r="O94" s="1" t="n"/>
      <c r="P94" s="47">
        <f>BDP($B$94,"CHG_PCT_YTD")/100</f>
        <v/>
      </c>
      <c r="Q94" s="1" t="n"/>
      <c r="R94" s="1" t="n"/>
      <c r="S94" s="42">
        <f>IF(AND(E94&lt;&gt;"",N94&lt;&gt;"",N94&lt;&gt;0),E94/(N94*100),"")</f>
        <v/>
      </c>
      <c r="T94" s="1" t="n"/>
      <c r="U94" s="26" t="inlineStr">
        <is>
          <t>Sep</t>
        </is>
      </c>
      <c r="V94" s="1" t="n"/>
      <c r="W94" s="1" t="n"/>
      <c r="X94" s="1" t="n"/>
      <c r="Y94" s="1" t="n"/>
      <c r="Z94" s="1" t="n"/>
      <c r="AA94" s="48">
        <f>BDP($B$94,"TRAIL_12M_OPER_INC")</f>
        <v/>
      </c>
      <c r="AB94" s="43">
        <f>BDP($B$94,"SHORT_AND_LONG_TERM_DEBT")</f>
        <v/>
      </c>
      <c r="AC94" s="43">
        <f>BDP($B$94,"TOTAL_EQUITY")</f>
        <v/>
      </c>
      <c r="AD94" s="43">
        <f>BDP($B$94,"BS_CASH_NEAR_CASH_ITEM")</f>
        <v/>
      </c>
      <c r="AE94" s="43">
        <f>BDP($B$94,"BS_LT_INVEST")</f>
        <v/>
      </c>
      <c r="AF94" s="31">
        <f>AB94+AC94</f>
        <v/>
      </c>
      <c r="AG94" s="43">
        <f>BDP($B$94,"RETURN_ON_INV_CAPITAL")/100</f>
        <v/>
      </c>
      <c r="AH94" s="49" t="n"/>
      <c r="AI94" s="48">
        <f>BDP($B$94,"BEST_EPS","BEST_FPERIOD_OVERRIDE","24Y")</f>
        <v/>
      </c>
      <c r="AJ94" s="43">
        <f>BDP($B$94,"BEST_EPS","BEST_FPERIOD_OVERRIDE","25Y")</f>
        <v/>
      </c>
      <c r="AK94" s="43">
        <f>BDP($B$94,"BEST_EPS","BEST_FPERIOD_OVERRIDE","26Y")</f>
        <v/>
      </c>
      <c r="AL94" s="43">
        <f>BDP($B$94,"BEST_EPS","BEST_FPERIOD_OVERRIDE","27Y")</f>
        <v/>
      </c>
      <c r="AM94" s="43">
        <f>BDP($B$94,"BEST_EPS","BEST_FPERIOD_OVERRIDE","28Y")</f>
        <v/>
      </c>
      <c r="AN94" s="31" t="n"/>
      <c r="AO94" s="48">
        <f>BDP($B$94,"BEST_SALES","BEST_FPERIOD_OVERRIDE","24Y")</f>
        <v/>
      </c>
      <c r="AP94" s="43">
        <f>BDP($B$94,"BEST_SALES","BEST_FPERIOD_OVERRIDE","25Y")</f>
        <v/>
      </c>
      <c r="AQ94" s="43">
        <f>BDP($B$94,"BEST_SALES","BEST_FPERIOD_OVERRIDE","26Y")</f>
        <v/>
      </c>
      <c r="AR94" s="43">
        <f>BDP($B$94,"BEST_SALES","BEST_FPERIOD_OVERRIDE","27Y")</f>
        <v/>
      </c>
      <c r="AS94" s="43">
        <f>BDP($B$94,"BEST_SALES","BEST_FPERIOD_OVERRIDE","28Y")</f>
        <v/>
      </c>
      <c r="AT94" s="31" t="n"/>
      <c r="AU94" s="48">
        <f>BDP($B$94,"BEST_EBIT","BEST_FPERIOD_OVERRIDE","24Y")</f>
        <v/>
      </c>
      <c r="AV94" s="43">
        <f>BDP($B$94,"BEST_EBIT","BEST_FPERIOD_OVERRIDE","25Y")</f>
        <v/>
      </c>
      <c r="AW94" s="43">
        <f>BDP($B$94,"BEST_EBIT","BEST_FPERIOD_OVERRIDE","26Y")</f>
        <v/>
      </c>
      <c r="AX94" s="43">
        <f>BDP($B$94,"BEST_EBIT","BEST_FPERIOD_OVERRIDE","27Y")</f>
        <v/>
      </c>
      <c r="AY94" s="43">
        <f>BDP($B$94,"BEST_EBIT","BEST_FPERIOD_OVERRIDE","28Y")</f>
        <v/>
      </c>
      <c r="AZ94" s="31" t="n"/>
      <c r="BA94" s="1">
        <f>C94+BD94</f>
        <v/>
      </c>
      <c r="BB94" s="42">
        <f>AB94-AD94</f>
        <v/>
      </c>
      <c r="BC94" s="42">
        <f>C94</f>
        <v/>
      </c>
      <c r="BD94" s="43">
        <f>BDP($B$94,"TRAIL_12M_EBITDA")</f>
        <v/>
      </c>
      <c r="BE94" s="43">
        <f>_xll.BDP("AAPL US Equity","TRAIL_12M_EBITDA")</f>
        <v/>
      </c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</row>
    <row r="95">
      <c r="A95" s="1" t="inlineStr">
        <is>
          <t>NFLX</t>
        </is>
      </c>
      <c r="B95" s="1" t="inlineStr">
        <is>
          <t>NFLX US Equity</t>
        </is>
      </c>
      <c r="C95" s="43">
        <f>BDP($B$95,"CUR_MKT_CAP")/1000000000</f>
        <v/>
      </c>
      <c r="D95" s="44">
        <f>BDP($B$95,"PX_LAST")</f>
        <v/>
      </c>
      <c r="E95" s="45">
        <f>IF(BDP($B$95,"BEST_EPS","BEST_FPERIOD_OVERRIDE","26Y")&lt;&gt;0,$D$95/BDP($B$95,"BEST_EPS","BEST_FPERIOD_OVERRIDE","26Y"),"")</f>
        <v/>
      </c>
      <c r="F95" s="45">
        <f>IF(BDP($B$95,"BEST_EPS","BEST_FPERIOD_OVERRIDE","27Y")&lt;&gt;0,$D$95/BDP($B$95,"BEST_EPS","BEST_FPERIOD_OVERRIDE","27Y"),"")</f>
        <v/>
      </c>
      <c r="G95" s="45">
        <f>IF(BDP($B$95,"BEST_EPS","BEST_FPERIOD_OVERRIDE","28Y")&lt;&gt;0,$D$95/BDP($B$95,"BEST_EPS","BEST_FPERIOD_OVERRIDE","28Y"),"")</f>
        <v/>
      </c>
      <c r="H95" s="46">
        <f>BDP($B$95,"NET_DEBT_TO_EBITDA")</f>
        <v/>
      </c>
      <c r="I95" s="43">
        <f>BDP($B$95,"BEST_SALES","BEST_FPERIOD_OVERRIDE","26Y")/1000</f>
        <v/>
      </c>
      <c r="J95" s="47">
        <f>IF(BDP($B$95,"BEST_SALES","BEST_FPERIOD_OVERRIDE","26Y")&lt;&gt;0,BDP($B$95,"BEST_EBIT","BEST_FPERIOD_OVERRIDE","26Y")/BDP($B$95,"BEST_SALES","BEST_FPERIOD_OVERRIDE","26Y"),"")</f>
        <v/>
      </c>
      <c r="K95" s="47">
        <f>BDP($B$95,"RETURN_ON_INV_CAPITAL")/100</f>
        <v/>
      </c>
      <c r="L95" s="47">
        <f>IF(AND(BDP($B$95,"BEST_SALES","BEST_FPERIOD_OVERRIDE","25Y")&gt;0,BDP($B$95,"BEST_SALES","BEST_FPERIOD_OVERRIDE","28Y")&gt;0),(BDP($B$95,"BEST_SALES","BEST_FPERIOD_OVERRIDE","28Y")/BDP($B$95,"BEST_SALES","BEST_FPERIOD_OVERRIDE","25Y"))^(1/3)-1,"")</f>
        <v/>
      </c>
      <c r="M95" s="47">
        <f>IF(AND(BDP($B$95,"BEST_EBIT","BEST_FPERIOD_OVERRIDE","25Y")&gt;0,BDP($B$95,"BEST_EBIT","BEST_FPERIOD_OVERRIDE","28Y")&gt;0),(BDP($B$95,"BEST_EBIT","BEST_FPERIOD_OVERRIDE","28Y")/BDP($B$95,"BEST_EBIT","BEST_FPERIOD_OVERRIDE","25Y"))^(1/3)-1,"")</f>
        <v/>
      </c>
      <c r="N95" s="47">
        <f>IF(AND(BDP($B$95,"BEST_EPS","BEST_FPERIOD_OVERRIDE","25Y")&gt;0,BDP($B$95,"BEST_EPS","BEST_FPERIOD_OVERRIDE","28Y")&gt;0),(BDP($B$95,"BEST_EPS","BEST_FPERIOD_OVERRIDE","28Y")/BDP($B$95,"BEST_EPS","BEST_FPERIOD_OVERRIDE","25Y"))^(1/3)-1,"")</f>
        <v/>
      </c>
      <c r="O95" s="1" t="n"/>
      <c r="P95" s="47">
        <f>BDP($B$95,"CHG_PCT_YTD")/100</f>
        <v/>
      </c>
      <c r="Q95" s="1" t="n"/>
      <c r="R95" s="1" t="n"/>
      <c r="S95" s="42">
        <f>IF(AND(E95&lt;&gt;"",N95&lt;&gt;"",N95&lt;&gt;0),E95/(N95*100),"")</f>
        <v/>
      </c>
      <c r="T95" s="1" t="n"/>
      <c r="U95" s="26" t="inlineStr">
        <is>
          <t>Dec</t>
        </is>
      </c>
      <c r="V95" s="1" t="n"/>
      <c r="W95" s="1" t="n"/>
      <c r="X95" s="1" t="n"/>
      <c r="Y95" s="1" t="n"/>
      <c r="Z95" s="1" t="n"/>
      <c r="AA95" s="48">
        <f>BDP($B$95,"TRAIL_12M_OPER_INC")</f>
        <v/>
      </c>
      <c r="AB95" s="43">
        <f>BDP($B$95,"SHORT_AND_LONG_TERM_DEBT")</f>
        <v/>
      </c>
      <c r="AC95" s="43">
        <f>BDP($B$95,"TOTAL_EQUITY")</f>
        <v/>
      </c>
      <c r="AD95" s="43">
        <f>BDP($B$95,"BS_CASH_NEAR_CASH_ITEM")</f>
        <v/>
      </c>
      <c r="AE95" s="43">
        <f>BDP($B$95,"BS_LT_INVEST")</f>
        <v/>
      </c>
      <c r="AF95" s="31">
        <f>AB95+AC95</f>
        <v/>
      </c>
      <c r="AG95" s="43">
        <f>BDP($B$95,"RETURN_ON_INV_CAPITAL")/100</f>
        <v/>
      </c>
      <c r="AH95" s="49" t="n"/>
      <c r="AI95" s="48">
        <f>BDP($B$95,"BEST_EPS","BEST_FPERIOD_OVERRIDE","24Y")</f>
        <v/>
      </c>
      <c r="AJ95" s="43">
        <f>BDP($B$95,"BEST_EPS","BEST_FPERIOD_OVERRIDE","25Y")</f>
        <v/>
      </c>
      <c r="AK95" s="43">
        <f>BDP($B$95,"BEST_EPS","BEST_FPERIOD_OVERRIDE","26Y")</f>
        <v/>
      </c>
      <c r="AL95" s="43">
        <f>BDP($B$95,"BEST_EPS","BEST_FPERIOD_OVERRIDE","27Y")</f>
        <v/>
      </c>
      <c r="AM95" s="43">
        <f>BDP($B$95,"BEST_EPS","BEST_FPERIOD_OVERRIDE","28Y")</f>
        <v/>
      </c>
      <c r="AN95" s="31" t="n"/>
      <c r="AO95" s="48">
        <f>BDP($B$95,"BEST_SALES","BEST_FPERIOD_OVERRIDE","24Y")</f>
        <v/>
      </c>
      <c r="AP95" s="43">
        <f>BDP($B$95,"BEST_SALES","BEST_FPERIOD_OVERRIDE","25Y")</f>
        <v/>
      </c>
      <c r="AQ95" s="43">
        <f>BDP($B$95,"BEST_SALES","BEST_FPERIOD_OVERRIDE","26Y")</f>
        <v/>
      </c>
      <c r="AR95" s="43">
        <f>BDP($B$95,"BEST_SALES","BEST_FPERIOD_OVERRIDE","27Y")</f>
        <v/>
      </c>
      <c r="AS95" s="43">
        <f>BDP($B$95,"BEST_SALES","BEST_FPERIOD_OVERRIDE","28Y")</f>
        <v/>
      </c>
      <c r="AT95" s="31" t="n"/>
      <c r="AU95" s="48">
        <f>BDP($B$95,"BEST_EBIT","BEST_FPERIOD_OVERRIDE","24Y")</f>
        <v/>
      </c>
      <c r="AV95" s="43">
        <f>BDP($B$95,"BEST_EBIT","BEST_FPERIOD_OVERRIDE","25Y")</f>
        <v/>
      </c>
      <c r="AW95" s="43">
        <f>BDP($B$95,"BEST_EBIT","BEST_FPERIOD_OVERRIDE","26Y")</f>
        <v/>
      </c>
      <c r="AX95" s="43">
        <f>BDP($B$95,"BEST_EBIT","BEST_FPERIOD_OVERRIDE","27Y")</f>
        <v/>
      </c>
      <c r="AY95" s="43">
        <f>BDP($B$95,"BEST_EBIT","BEST_FPERIOD_OVERRIDE","28Y")</f>
        <v/>
      </c>
      <c r="AZ95" s="31" t="n"/>
      <c r="BA95" s="1">
        <f>C95+BD95</f>
        <v/>
      </c>
      <c r="BB95" s="42">
        <f>AB95-AD95</f>
        <v/>
      </c>
      <c r="BC95" s="42">
        <f>C95</f>
        <v/>
      </c>
      <c r="BD95" s="43">
        <f>BDP($B$95,"TRAIL_12M_EBITDA")</f>
        <v/>
      </c>
      <c r="BE95" s="43">
        <f>_xll.BDP("NFLX US Equity","TRAIL_12M_EBITDA")</f>
        <v/>
      </c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</row>
    <row r="96">
      <c r="A96" s="1" t="inlineStr">
        <is>
          <t>INTU</t>
        </is>
      </c>
      <c r="B96" s="1" t="inlineStr">
        <is>
          <t>INTU US Equity</t>
        </is>
      </c>
      <c r="C96" s="43">
        <f>BDP($B$96,"CUR_MKT_CAP")/1000000000</f>
        <v/>
      </c>
      <c r="D96" s="44">
        <f>BDP($B$96,"PX_LAST")</f>
        <v/>
      </c>
      <c r="E96" s="45">
        <f>IF(BDP($B$96,"BEST_EPS","BEST_FPERIOD_OVERRIDE","26Y")&lt;&gt;0,$D$96/BDP($B$96,"BEST_EPS","BEST_FPERIOD_OVERRIDE","26Y"),"")</f>
        <v/>
      </c>
      <c r="F96" s="45">
        <f>IF(BDP($B$96,"BEST_EPS","BEST_FPERIOD_OVERRIDE","27Y")&lt;&gt;0,$D$96/BDP($B$96,"BEST_EPS","BEST_FPERIOD_OVERRIDE","27Y"),"")</f>
        <v/>
      </c>
      <c r="G96" s="45">
        <f>IF(BDP($B$96,"BEST_EPS","BEST_FPERIOD_OVERRIDE","28Y")&lt;&gt;0,$D$96/BDP($B$96,"BEST_EPS","BEST_FPERIOD_OVERRIDE","28Y"),"")</f>
        <v/>
      </c>
      <c r="H96" s="46">
        <f>BDP($B$96,"NET_DEBT_TO_EBITDA")</f>
        <v/>
      </c>
      <c r="I96" s="43">
        <f>BDP($B$96,"BEST_SALES","BEST_FPERIOD_OVERRIDE","26Y")/1000</f>
        <v/>
      </c>
      <c r="J96" s="47">
        <f>IF(BDP($B$96,"BEST_SALES","BEST_FPERIOD_OVERRIDE","26Y")&lt;&gt;0,BDP($B$96,"BEST_EBIT","BEST_FPERIOD_OVERRIDE","26Y")/BDP($B$96,"BEST_SALES","BEST_FPERIOD_OVERRIDE","26Y"),"")</f>
        <v/>
      </c>
      <c r="K96" s="47">
        <f>BDP($B$96,"RETURN_ON_INV_CAPITAL")/100</f>
        <v/>
      </c>
      <c r="L96" s="47">
        <f>IF(AND(BDP($B$96,"BEST_SALES","BEST_FPERIOD_OVERRIDE","25Y")&gt;0,BDP($B$96,"BEST_SALES","BEST_FPERIOD_OVERRIDE","28Y")&gt;0),(BDP($B$96,"BEST_SALES","BEST_FPERIOD_OVERRIDE","28Y")/BDP($B$96,"BEST_SALES","BEST_FPERIOD_OVERRIDE","25Y"))^(1/3)-1,"")</f>
        <v/>
      </c>
      <c r="M96" s="47">
        <f>IF(AND(BDP($B$96,"BEST_EBIT","BEST_FPERIOD_OVERRIDE","25Y")&gt;0,BDP($B$96,"BEST_EBIT","BEST_FPERIOD_OVERRIDE","28Y")&gt;0),(BDP($B$96,"BEST_EBIT","BEST_FPERIOD_OVERRIDE","28Y")/BDP($B$96,"BEST_EBIT","BEST_FPERIOD_OVERRIDE","25Y"))^(1/3)-1,"")</f>
        <v/>
      </c>
      <c r="N96" s="47">
        <f>IF(AND(BDP($B$96,"BEST_EPS","BEST_FPERIOD_OVERRIDE","25Y")&gt;0,BDP($B$96,"BEST_EPS","BEST_FPERIOD_OVERRIDE","28Y")&gt;0),(BDP($B$96,"BEST_EPS","BEST_FPERIOD_OVERRIDE","28Y")/BDP($B$96,"BEST_EPS","BEST_FPERIOD_OVERRIDE","25Y"))^(1/3)-1,"")</f>
        <v/>
      </c>
      <c r="O96" s="1" t="n"/>
      <c r="P96" s="47">
        <f>BDP($B$96,"CHG_PCT_YTD")/100</f>
        <v/>
      </c>
      <c r="Q96" s="1" t="n"/>
      <c r="R96" s="1" t="n"/>
      <c r="S96" s="42">
        <f>IF(AND(E96&lt;&gt;"",N96&lt;&gt;"",N96&lt;&gt;0),E96/(N96*100),"")</f>
        <v/>
      </c>
      <c r="T96" s="1" t="n"/>
      <c r="U96" s="26" t="inlineStr">
        <is>
          <t>Jul</t>
        </is>
      </c>
      <c r="V96" s="1" t="n"/>
      <c r="W96" s="1" t="n"/>
      <c r="X96" s="1" t="n"/>
      <c r="Y96" s="1" t="n"/>
      <c r="Z96" s="1" t="n"/>
      <c r="AA96" s="48">
        <f>BDP($B$96,"TRAIL_12M_OPER_INC")</f>
        <v/>
      </c>
      <c r="AB96" s="43">
        <f>BDP($B$96,"SHORT_AND_LONG_TERM_DEBT")</f>
        <v/>
      </c>
      <c r="AC96" s="43">
        <f>BDP($B$96,"TOTAL_EQUITY")</f>
        <v/>
      </c>
      <c r="AD96" s="43">
        <f>BDP($B$96,"BS_CASH_NEAR_CASH_ITEM")</f>
        <v/>
      </c>
      <c r="AE96" s="43">
        <f>BDP($B$96,"BS_LT_INVEST")</f>
        <v/>
      </c>
      <c r="AF96" s="31">
        <f>AB96+AC96</f>
        <v/>
      </c>
      <c r="AG96" s="43">
        <f>BDP($B$96,"RETURN_ON_INV_CAPITAL")/100</f>
        <v/>
      </c>
      <c r="AH96" s="49" t="n"/>
      <c r="AI96" s="48">
        <f>BDP($B$96,"BEST_EPS","BEST_FPERIOD_OVERRIDE","24Y")</f>
        <v/>
      </c>
      <c r="AJ96" s="43">
        <f>BDP($B$96,"BEST_EPS","BEST_FPERIOD_OVERRIDE","25Y")</f>
        <v/>
      </c>
      <c r="AK96" s="43">
        <f>BDP($B$96,"BEST_EPS","BEST_FPERIOD_OVERRIDE","26Y")</f>
        <v/>
      </c>
      <c r="AL96" s="43">
        <f>BDP($B$96,"BEST_EPS","BEST_FPERIOD_OVERRIDE","27Y")</f>
        <v/>
      </c>
      <c r="AM96" s="43">
        <f>BDP($B$96,"BEST_EPS","BEST_FPERIOD_OVERRIDE","28Y")</f>
        <v/>
      </c>
      <c r="AN96" s="31" t="n"/>
      <c r="AO96" s="48">
        <f>BDP($B$96,"BEST_SALES","BEST_FPERIOD_OVERRIDE","24Y")</f>
        <v/>
      </c>
      <c r="AP96" s="43">
        <f>BDP($B$96,"BEST_SALES","BEST_FPERIOD_OVERRIDE","25Y")</f>
        <v/>
      </c>
      <c r="AQ96" s="43">
        <f>BDP($B$96,"BEST_SALES","BEST_FPERIOD_OVERRIDE","26Y")</f>
        <v/>
      </c>
      <c r="AR96" s="43">
        <f>BDP($B$96,"BEST_SALES","BEST_FPERIOD_OVERRIDE","27Y")</f>
        <v/>
      </c>
      <c r="AS96" s="43">
        <f>BDP($B$96,"BEST_SALES","BEST_FPERIOD_OVERRIDE","28Y")</f>
        <v/>
      </c>
      <c r="AT96" s="31" t="n"/>
      <c r="AU96" s="48">
        <f>BDP($B$96,"BEST_EBIT","BEST_FPERIOD_OVERRIDE","24Y")</f>
        <v/>
      </c>
      <c r="AV96" s="43">
        <f>BDP($B$96,"BEST_EBIT","BEST_FPERIOD_OVERRIDE","25Y")</f>
        <v/>
      </c>
      <c r="AW96" s="43">
        <f>BDP($B$96,"BEST_EBIT","BEST_FPERIOD_OVERRIDE","26Y")</f>
        <v/>
      </c>
      <c r="AX96" s="43">
        <f>BDP($B$96,"BEST_EBIT","BEST_FPERIOD_OVERRIDE","27Y")</f>
        <v/>
      </c>
      <c r="AY96" s="43">
        <f>BDP($B$96,"BEST_EBIT","BEST_FPERIOD_OVERRIDE","28Y")</f>
        <v/>
      </c>
      <c r="AZ96" s="31" t="n"/>
      <c r="BA96" s="1">
        <f>C96+BD96</f>
        <v/>
      </c>
      <c r="BB96" s="42">
        <f>AB96-AD96</f>
        <v/>
      </c>
      <c r="BC96" s="42">
        <f>C96</f>
        <v/>
      </c>
      <c r="BD96" s="43">
        <f>BDP($B$96,"TRAIL_12M_EBITDA")</f>
        <v/>
      </c>
      <c r="BE96" s="43">
        <f>_xll.BDP("INTU US Equity","TRAIL_12M_EBITDA")</f>
        <v/>
      </c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</row>
    <row r="97">
      <c r="A97" s="1" t="inlineStr">
        <is>
          <t>ASML</t>
        </is>
      </c>
      <c r="B97" s="1" t="inlineStr">
        <is>
          <t>ASML US Equity</t>
        </is>
      </c>
      <c r="C97" s="43">
        <f>BDP($B$97,"CUR_MKT_CAP")/1000000000</f>
        <v/>
      </c>
      <c r="D97" s="44">
        <f>BDP($B$97,"PX_LAST")</f>
        <v/>
      </c>
      <c r="E97" s="45">
        <f>IF(BDP($B$97,"BEST_EPS","BEST_FPERIOD_OVERRIDE","26Y")&lt;&gt;0,$D$97/BDP($B$97,"BEST_EPS","BEST_FPERIOD_OVERRIDE","26Y"),"")</f>
        <v/>
      </c>
      <c r="F97" s="45">
        <f>IF(BDP($B$97,"BEST_EPS","BEST_FPERIOD_OVERRIDE","27Y")&lt;&gt;0,$D$97/BDP($B$97,"BEST_EPS","BEST_FPERIOD_OVERRIDE","27Y"),"")</f>
        <v/>
      </c>
      <c r="G97" s="45">
        <f>IF(BDP($B$97,"BEST_EPS","BEST_FPERIOD_OVERRIDE","28Y")&lt;&gt;0,$D$97/BDP($B$97,"BEST_EPS","BEST_FPERIOD_OVERRIDE","28Y"),"")</f>
        <v/>
      </c>
      <c r="H97" s="46">
        <f>BDP($B$97,"NET_DEBT_TO_EBITDA")</f>
        <v/>
      </c>
      <c r="I97" s="43">
        <f>BDP($B$97,"BEST_SALES","BEST_FPERIOD_OVERRIDE","26Y")/1000</f>
        <v/>
      </c>
      <c r="J97" s="47">
        <f>IF(BDP($B$97,"BEST_SALES","BEST_FPERIOD_OVERRIDE","26Y")&lt;&gt;0,BDP($B$97,"BEST_EBIT","BEST_FPERIOD_OVERRIDE","26Y")/BDP($B$97,"BEST_SALES","BEST_FPERIOD_OVERRIDE","26Y"),"")</f>
        <v/>
      </c>
      <c r="K97" s="47">
        <f>BDP($B$97,"RETURN_ON_INV_CAPITAL")/100</f>
        <v/>
      </c>
      <c r="L97" s="47">
        <f>IF(AND(BDP($B$97,"BEST_SALES","BEST_FPERIOD_OVERRIDE","25Y")&gt;0,BDP($B$97,"BEST_SALES","BEST_FPERIOD_OVERRIDE","28Y")&gt;0),(BDP($B$97,"BEST_SALES","BEST_FPERIOD_OVERRIDE","28Y")/BDP($B$97,"BEST_SALES","BEST_FPERIOD_OVERRIDE","25Y"))^(1/3)-1,"")</f>
        <v/>
      </c>
      <c r="M97" s="47">
        <f>IF(AND(BDP($B$97,"BEST_EBIT","BEST_FPERIOD_OVERRIDE","25Y")&gt;0,BDP($B$97,"BEST_EBIT","BEST_FPERIOD_OVERRIDE","28Y")&gt;0),(BDP($B$97,"BEST_EBIT","BEST_FPERIOD_OVERRIDE","28Y")/BDP($B$97,"BEST_EBIT","BEST_FPERIOD_OVERRIDE","25Y"))^(1/3)-1,"")</f>
        <v/>
      </c>
      <c r="N97" s="47">
        <f>IF(AND(BDP($B$97,"BEST_EPS","BEST_FPERIOD_OVERRIDE","25Y")&gt;0,BDP($B$97,"BEST_EPS","BEST_FPERIOD_OVERRIDE","28Y")&gt;0),(BDP($B$97,"BEST_EPS","BEST_FPERIOD_OVERRIDE","28Y")/BDP($B$97,"BEST_EPS","BEST_FPERIOD_OVERRIDE","25Y"))^(1/3)-1,"")</f>
        <v/>
      </c>
      <c r="O97" s="1" t="n"/>
      <c r="P97" s="47">
        <f>BDP($B$97,"CHG_PCT_YTD")/100</f>
        <v/>
      </c>
      <c r="Q97" s="1" t="n"/>
      <c r="R97" s="1" t="n"/>
      <c r="S97" s="42">
        <f>IF(AND(E97&lt;&gt;"",N97&lt;&gt;"",N97&lt;&gt;0),E97/(N97*100),"")</f>
        <v/>
      </c>
      <c r="T97" s="1" t="n"/>
      <c r="U97" s="26" t="inlineStr">
        <is>
          <t>Dec</t>
        </is>
      </c>
      <c r="V97" s="1" t="n"/>
      <c r="W97" s="1" t="n"/>
      <c r="X97" s="1" t="n"/>
      <c r="Y97" s="1" t="n"/>
      <c r="Z97" s="1" t="n"/>
      <c r="AA97" s="48">
        <f>BDP($B$97,"TRAIL_12M_OPER_INC")</f>
        <v/>
      </c>
      <c r="AB97" s="43">
        <f>BDP($B$97,"SHORT_AND_LONG_TERM_DEBT")</f>
        <v/>
      </c>
      <c r="AC97" s="43">
        <f>BDP($B$97,"TOTAL_EQUITY")</f>
        <v/>
      </c>
      <c r="AD97" s="43">
        <f>BDP($B$97,"BS_CASH_NEAR_CASH_ITEM")</f>
        <v/>
      </c>
      <c r="AE97" s="43">
        <f>BDP($B$97,"BS_LT_INVEST")</f>
        <v/>
      </c>
      <c r="AF97" s="31">
        <f>AB97+AC97</f>
        <v/>
      </c>
      <c r="AG97" s="43">
        <f>BDP($B$97,"RETURN_ON_INV_CAPITAL")/100</f>
        <v/>
      </c>
      <c r="AH97" s="49" t="n"/>
      <c r="AI97" s="48">
        <f>BDP($B$97,"BEST_EPS","BEST_FPERIOD_OVERRIDE","24Y")</f>
        <v/>
      </c>
      <c r="AJ97" s="43">
        <f>BDP($B$97,"BEST_EPS","BEST_FPERIOD_OVERRIDE","25Y")</f>
        <v/>
      </c>
      <c r="AK97" s="43">
        <f>BDP($B$97,"BEST_EPS","BEST_FPERIOD_OVERRIDE","26Y")</f>
        <v/>
      </c>
      <c r="AL97" s="43">
        <f>BDP($B$97,"BEST_EPS","BEST_FPERIOD_OVERRIDE","27Y")</f>
        <v/>
      </c>
      <c r="AM97" s="43">
        <f>BDP($B$97,"BEST_EPS","BEST_FPERIOD_OVERRIDE","28Y")</f>
        <v/>
      </c>
      <c r="AN97" s="31" t="n"/>
      <c r="AO97" s="48">
        <f>BDP($B$97,"BEST_SALES","BEST_FPERIOD_OVERRIDE","24Y")</f>
        <v/>
      </c>
      <c r="AP97" s="43">
        <f>BDP($B$97,"BEST_SALES","BEST_FPERIOD_OVERRIDE","25Y")</f>
        <v/>
      </c>
      <c r="AQ97" s="43">
        <f>BDP($B$97,"BEST_SALES","BEST_FPERIOD_OVERRIDE","26Y")</f>
        <v/>
      </c>
      <c r="AR97" s="43">
        <f>BDP($B$97,"BEST_SALES","BEST_FPERIOD_OVERRIDE","27Y")</f>
        <v/>
      </c>
      <c r="AS97" s="43">
        <f>BDP($B$97,"BEST_SALES","BEST_FPERIOD_OVERRIDE","28Y")</f>
        <v/>
      </c>
      <c r="AT97" s="31" t="n"/>
      <c r="AU97" s="48">
        <f>BDP($B$97,"BEST_EBIT","BEST_FPERIOD_OVERRIDE","24Y")</f>
        <v/>
      </c>
      <c r="AV97" s="43">
        <f>BDP($B$97,"BEST_EBIT","BEST_FPERIOD_OVERRIDE","25Y")</f>
        <v/>
      </c>
      <c r="AW97" s="43">
        <f>BDP($B$97,"BEST_EBIT","BEST_FPERIOD_OVERRIDE","26Y")</f>
        <v/>
      </c>
      <c r="AX97" s="43">
        <f>BDP($B$97,"BEST_EBIT","BEST_FPERIOD_OVERRIDE","27Y")</f>
        <v/>
      </c>
      <c r="AY97" s="43">
        <f>BDP($B$97,"BEST_EBIT","BEST_FPERIOD_OVERRIDE","28Y")</f>
        <v/>
      </c>
      <c r="AZ97" s="31" t="n"/>
      <c r="BA97" s="1">
        <f>C97+BD97</f>
        <v/>
      </c>
      <c r="BB97" s="42">
        <f>AB97-AD97</f>
        <v/>
      </c>
      <c r="BC97" s="42">
        <f>C97</f>
        <v/>
      </c>
      <c r="BD97" s="43">
        <f>BDP($B$97,"TRAIL_12M_EBITDA")</f>
        <v/>
      </c>
      <c r="BE97" s="43">
        <f>_xll.BDP("ASML US Equity","TRAIL_12M_EBITDA")</f>
        <v/>
      </c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</row>
    <row r="98">
      <c r="A98" s="1" t="inlineStr">
        <is>
          <t>AMAT</t>
        </is>
      </c>
      <c r="B98" s="1" t="inlineStr">
        <is>
          <t>AMAT US Equity</t>
        </is>
      </c>
      <c r="C98" s="43">
        <f>BDP($B$98,"CUR_MKT_CAP")/1000000000</f>
        <v/>
      </c>
      <c r="D98" s="44">
        <f>BDP($B$98,"PX_LAST")</f>
        <v/>
      </c>
      <c r="E98" s="45">
        <f>IF(BDP($B$98,"BEST_EPS","BEST_FPERIOD_OVERRIDE","26Y")&lt;&gt;0,$D$98/BDP($B$98,"BEST_EPS","BEST_FPERIOD_OVERRIDE","26Y"),"")</f>
        <v/>
      </c>
      <c r="F98" s="45">
        <f>IF(BDP($B$98,"BEST_EPS","BEST_FPERIOD_OVERRIDE","27Y")&lt;&gt;0,$D$98/BDP($B$98,"BEST_EPS","BEST_FPERIOD_OVERRIDE","27Y"),"")</f>
        <v/>
      </c>
      <c r="G98" s="45">
        <f>IF(BDP($B$98,"BEST_EPS","BEST_FPERIOD_OVERRIDE","28Y")&lt;&gt;0,$D$98/BDP($B$98,"BEST_EPS","BEST_FPERIOD_OVERRIDE","28Y"),"")</f>
        <v/>
      </c>
      <c r="H98" s="46">
        <f>BDP($B$98,"NET_DEBT_TO_EBITDA")</f>
        <v/>
      </c>
      <c r="I98" s="43">
        <f>BDP($B$98,"BEST_SALES","BEST_FPERIOD_OVERRIDE","26Y")/1000</f>
        <v/>
      </c>
      <c r="J98" s="47">
        <f>IF(BDP($B$98,"BEST_SALES","BEST_FPERIOD_OVERRIDE","26Y")&lt;&gt;0,BDP($B$98,"BEST_EBIT","BEST_FPERIOD_OVERRIDE","26Y")/BDP($B$98,"BEST_SALES","BEST_FPERIOD_OVERRIDE","26Y"),"")</f>
        <v/>
      </c>
      <c r="K98" s="47">
        <f>BDP($B$98,"RETURN_ON_INV_CAPITAL")/100</f>
        <v/>
      </c>
      <c r="L98" s="47">
        <f>IF(AND(BDP($B$98,"BEST_SALES","BEST_FPERIOD_OVERRIDE","25Y")&gt;0,BDP($B$98,"BEST_SALES","BEST_FPERIOD_OVERRIDE","28Y")&gt;0),(BDP($B$98,"BEST_SALES","BEST_FPERIOD_OVERRIDE","28Y")/BDP($B$98,"BEST_SALES","BEST_FPERIOD_OVERRIDE","25Y"))^(1/3)-1,"")</f>
        <v/>
      </c>
      <c r="M98" s="47">
        <f>IF(AND(BDP($B$98,"BEST_EBIT","BEST_FPERIOD_OVERRIDE","25Y")&gt;0,BDP($B$98,"BEST_EBIT","BEST_FPERIOD_OVERRIDE","28Y")&gt;0),(BDP($B$98,"BEST_EBIT","BEST_FPERIOD_OVERRIDE","28Y")/BDP($B$98,"BEST_EBIT","BEST_FPERIOD_OVERRIDE","25Y"))^(1/3)-1,"")</f>
        <v/>
      </c>
      <c r="N98" s="47">
        <f>IF(AND(BDP($B$98,"BEST_EPS","BEST_FPERIOD_OVERRIDE","25Y")&gt;0,BDP($B$98,"BEST_EPS","BEST_FPERIOD_OVERRIDE","28Y")&gt;0),(BDP($B$98,"BEST_EPS","BEST_FPERIOD_OVERRIDE","28Y")/BDP($B$98,"BEST_EPS","BEST_FPERIOD_OVERRIDE","25Y"))^(1/3)-1,"")</f>
        <v/>
      </c>
      <c r="O98" s="1" t="n"/>
      <c r="P98" s="47">
        <f>BDP($B$98,"CHG_PCT_YTD")/100</f>
        <v/>
      </c>
      <c r="Q98" s="1" t="n"/>
      <c r="R98" s="1" t="n"/>
      <c r="S98" s="42">
        <f>IF(AND(E98&lt;&gt;"",N98&lt;&gt;"",N98&lt;&gt;0),E98/(N98*100),"")</f>
        <v/>
      </c>
      <c r="T98" s="1" t="n"/>
      <c r="U98" s="26" t="inlineStr">
        <is>
          <t>Oct</t>
        </is>
      </c>
      <c r="V98" s="1" t="n"/>
      <c r="W98" s="1" t="n"/>
      <c r="X98" s="1" t="n"/>
      <c r="Y98" s="1" t="n"/>
      <c r="Z98" s="1" t="n"/>
      <c r="AA98" s="48">
        <f>BDP($B$98,"TRAIL_12M_OPER_INC")</f>
        <v/>
      </c>
      <c r="AB98" s="43">
        <f>BDP($B$98,"SHORT_AND_LONG_TERM_DEBT")</f>
        <v/>
      </c>
      <c r="AC98" s="43">
        <f>BDP($B$98,"TOTAL_EQUITY")</f>
        <v/>
      </c>
      <c r="AD98" s="43">
        <f>BDP($B$98,"BS_CASH_NEAR_CASH_ITEM")</f>
        <v/>
      </c>
      <c r="AE98" s="43">
        <f>BDP($B$98,"BS_LT_INVEST")</f>
        <v/>
      </c>
      <c r="AF98" s="31">
        <f>AB98+AC98</f>
        <v/>
      </c>
      <c r="AG98" s="43">
        <f>BDP($B$98,"RETURN_ON_INV_CAPITAL")/100</f>
        <v/>
      </c>
      <c r="AH98" s="49" t="n"/>
      <c r="AI98" s="48">
        <f>BDP($B$98,"BEST_EPS","BEST_FPERIOD_OVERRIDE","24Y")</f>
        <v/>
      </c>
      <c r="AJ98" s="43">
        <f>BDP($B$98,"BEST_EPS","BEST_FPERIOD_OVERRIDE","25Y")</f>
        <v/>
      </c>
      <c r="AK98" s="43">
        <f>BDP($B$98,"BEST_EPS","BEST_FPERIOD_OVERRIDE","26Y")</f>
        <v/>
      </c>
      <c r="AL98" s="43">
        <f>BDP($B$98,"BEST_EPS","BEST_FPERIOD_OVERRIDE","27Y")</f>
        <v/>
      </c>
      <c r="AM98" s="43">
        <f>BDP($B$98,"BEST_EPS","BEST_FPERIOD_OVERRIDE","28Y")</f>
        <v/>
      </c>
      <c r="AN98" s="31" t="n"/>
      <c r="AO98" s="48">
        <f>BDP($B$98,"BEST_SALES","BEST_FPERIOD_OVERRIDE","24Y")</f>
        <v/>
      </c>
      <c r="AP98" s="43">
        <f>BDP($B$98,"BEST_SALES","BEST_FPERIOD_OVERRIDE","25Y")</f>
        <v/>
      </c>
      <c r="AQ98" s="43">
        <f>BDP($B$98,"BEST_SALES","BEST_FPERIOD_OVERRIDE","26Y")</f>
        <v/>
      </c>
      <c r="AR98" s="43">
        <f>BDP($B$98,"BEST_SALES","BEST_FPERIOD_OVERRIDE","27Y")</f>
        <v/>
      </c>
      <c r="AS98" s="43">
        <f>BDP($B$98,"BEST_SALES","BEST_FPERIOD_OVERRIDE","28Y")</f>
        <v/>
      </c>
      <c r="AT98" s="31" t="n"/>
      <c r="AU98" s="48">
        <f>BDP($B$98,"BEST_EBIT","BEST_FPERIOD_OVERRIDE","24Y")</f>
        <v/>
      </c>
      <c r="AV98" s="43">
        <f>BDP($B$98,"BEST_EBIT","BEST_FPERIOD_OVERRIDE","25Y")</f>
        <v/>
      </c>
      <c r="AW98" s="43">
        <f>BDP($B$98,"BEST_EBIT","BEST_FPERIOD_OVERRIDE","26Y")</f>
        <v/>
      </c>
      <c r="AX98" s="43">
        <f>BDP($B$98,"BEST_EBIT","BEST_FPERIOD_OVERRIDE","27Y")</f>
        <v/>
      </c>
      <c r="AY98" s="43">
        <f>BDP($B$98,"BEST_EBIT","BEST_FPERIOD_OVERRIDE","28Y")</f>
        <v/>
      </c>
      <c r="AZ98" s="31" t="n"/>
      <c r="BA98" s="1">
        <f>C98+BD98</f>
        <v/>
      </c>
      <c r="BB98" s="42">
        <f>AB98-AD98</f>
        <v/>
      </c>
      <c r="BC98" s="42">
        <f>C98</f>
        <v/>
      </c>
      <c r="BD98" s="43">
        <f>BDP($B$98,"TRAIL_12M_EBITDA")</f>
        <v/>
      </c>
      <c r="BE98" s="43">
        <f>_xll.BDP("AMAT US Equity","TRAIL_12M_EBITDA")</f>
        <v/>
      </c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</row>
    <row r="99">
      <c r="A99" s="1" t="inlineStr">
        <is>
          <t>LRCX</t>
        </is>
      </c>
      <c r="B99" s="1" t="inlineStr">
        <is>
          <t>LRCX US Equity</t>
        </is>
      </c>
      <c r="C99" s="43">
        <f>BDP($B$99,"CUR_MKT_CAP")/1000000000</f>
        <v/>
      </c>
      <c r="D99" s="44">
        <f>BDP($B$99,"PX_LAST")</f>
        <v/>
      </c>
      <c r="E99" s="45">
        <f>IF(BDP($B$99,"BEST_EPS","BEST_FPERIOD_OVERRIDE","26Y")&lt;&gt;0,$D$99/BDP($B$99,"BEST_EPS","BEST_FPERIOD_OVERRIDE","26Y"),"")</f>
        <v/>
      </c>
      <c r="F99" s="45">
        <f>IF(BDP($B$99,"BEST_EPS","BEST_FPERIOD_OVERRIDE","27Y")&lt;&gt;0,$D$99/BDP($B$99,"BEST_EPS","BEST_FPERIOD_OVERRIDE","27Y"),"")</f>
        <v/>
      </c>
      <c r="G99" s="45">
        <f>IF(BDP($B$99,"BEST_EPS","BEST_FPERIOD_OVERRIDE","28Y")&lt;&gt;0,$D$99/BDP($B$99,"BEST_EPS","BEST_FPERIOD_OVERRIDE","28Y"),"")</f>
        <v/>
      </c>
      <c r="H99" s="46">
        <f>BDP($B$99,"NET_DEBT_TO_EBITDA")</f>
        <v/>
      </c>
      <c r="I99" s="43">
        <f>BDP($B$99,"BEST_SALES","BEST_FPERIOD_OVERRIDE","26Y")/1000</f>
        <v/>
      </c>
      <c r="J99" s="47">
        <f>IF(BDP($B$99,"BEST_SALES","BEST_FPERIOD_OVERRIDE","26Y")&lt;&gt;0,BDP($B$99,"BEST_EBIT","BEST_FPERIOD_OVERRIDE","26Y")/BDP($B$99,"BEST_SALES","BEST_FPERIOD_OVERRIDE","26Y"),"")</f>
        <v/>
      </c>
      <c r="K99" s="47">
        <f>BDP($B$99,"RETURN_ON_INV_CAPITAL")/100</f>
        <v/>
      </c>
      <c r="L99" s="47">
        <f>IF(AND(BDP($B$99,"BEST_SALES","BEST_FPERIOD_OVERRIDE","25Y")&gt;0,BDP($B$99,"BEST_SALES","BEST_FPERIOD_OVERRIDE","28Y")&gt;0),(BDP($B$99,"BEST_SALES","BEST_FPERIOD_OVERRIDE","28Y")/BDP($B$99,"BEST_SALES","BEST_FPERIOD_OVERRIDE","25Y"))^(1/3)-1,"")</f>
        <v/>
      </c>
      <c r="M99" s="47">
        <f>IF(AND(BDP($B$99,"BEST_EBIT","BEST_FPERIOD_OVERRIDE","25Y")&gt;0,BDP($B$99,"BEST_EBIT","BEST_FPERIOD_OVERRIDE","28Y")&gt;0),(BDP($B$99,"BEST_EBIT","BEST_FPERIOD_OVERRIDE","28Y")/BDP($B$99,"BEST_EBIT","BEST_FPERIOD_OVERRIDE","25Y"))^(1/3)-1,"")</f>
        <v/>
      </c>
      <c r="N99" s="47">
        <f>IF(AND(BDP($B$99,"BEST_EPS","BEST_FPERIOD_OVERRIDE","25Y")&gt;0,BDP($B$99,"BEST_EPS","BEST_FPERIOD_OVERRIDE","28Y")&gt;0),(BDP($B$99,"BEST_EPS","BEST_FPERIOD_OVERRIDE","28Y")/BDP($B$99,"BEST_EPS","BEST_FPERIOD_OVERRIDE","25Y"))^(1/3)-1,"")</f>
        <v/>
      </c>
      <c r="O99" s="1" t="n"/>
      <c r="P99" s="47">
        <f>BDP($B$99,"CHG_PCT_YTD")/100</f>
        <v/>
      </c>
      <c r="Q99" s="1" t="n"/>
      <c r="R99" s="1" t="n"/>
      <c r="S99" s="42">
        <f>IF(AND(E99&lt;&gt;"",N99&lt;&gt;"",N99&lt;&gt;0),E99/(N99*100),"")</f>
        <v/>
      </c>
      <c r="T99" s="1" t="n"/>
      <c r="U99" s="26" t="inlineStr">
        <is>
          <t>Jun</t>
        </is>
      </c>
      <c r="V99" s="1" t="n"/>
      <c r="W99" s="1" t="n"/>
      <c r="X99" s="1" t="n"/>
      <c r="Y99" s="1" t="n"/>
      <c r="Z99" s="1" t="n"/>
      <c r="AA99" s="48">
        <f>BDP($B$99,"TRAIL_12M_OPER_INC")</f>
        <v/>
      </c>
      <c r="AB99" s="43">
        <f>BDP($B$99,"SHORT_AND_LONG_TERM_DEBT")</f>
        <v/>
      </c>
      <c r="AC99" s="43">
        <f>BDP($B$99,"TOTAL_EQUITY")</f>
        <v/>
      </c>
      <c r="AD99" s="43">
        <f>BDP($B$99,"BS_CASH_NEAR_CASH_ITEM")</f>
        <v/>
      </c>
      <c r="AE99" s="43">
        <f>BDP($B$99,"BS_LT_INVEST")</f>
        <v/>
      </c>
      <c r="AF99" s="31">
        <f>AB99+AC99</f>
        <v/>
      </c>
      <c r="AG99" s="43">
        <f>BDP($B$99,"RETURN_ON_INV_CAPITAL")/100</f>
        <v/>
      </c>
      <c r="AH99" s="49" t="n"/>
      <c r="AI99" s="48">
        <f>BDP($B$99,"BEST_EPS","BEST_FPERIOD_OVERRIDE","24Y")</f>
        <v/>
      </c>
      <c r="AJ99" s="43">
        <f>BDP($B$99,"BEST_EPS","BEST_FPERIOD_OVERRIDE","25Y")</f>
        <v/>
      </c>
      <c r="AK99" s="43">
        <f>BDP($B$99,"BEST_EPS","BEST_FPERIOD_OVERRIDE","26Y")</f>
        <v/>
      </c>
      <c r="AL99" s="43">
        <f>BDP($B$99,"BEST_EPS","BEST_FPERIOD_OVERRIDE","27Y")</f>
        <v/>
      </c>
      <c r="AM99" s="43">
        <f>BDP($B$99,"BEST_EPS","BEST_FPERIOD_OVERRIDE","28Y")</f>
        <v/>
      </c>
      <c r="AN99" s="31" t="n"/>
      <c r="AO99" s="48">
        <f>BDP($B$99,"BEST_SALES","BEST_FPERIOD_OVERRIDE","24Y")</f>
        <v/>
      </c>
      <c r="AP99" s="43">
        <f>BDP($B$99,"BEST_SALES","BEST_FPERIOD_OVERRIDE","25Y")</f>
        <v/>
      </c>
      <c r="AQ99" s="43">
        <f>BDP($B$99,"BEST_SALES","BEST_FPERIOD_OVERRIDE","26Y")</f>
        <v/>
      </c>
      <c r="AR99" s="43">
        <f>BDP($B$99,"BEST_SALES","BEST_FPERIOD_OVERRIDE","27Y")</f>
        <v/>
      </c>
      <c r="AS99" s="43">
        <f>BDP($B$99,"BEST_SALES","BEST_FPERIOD_OVERRIDE","28Y")</f>
        <v/>
      </c>
      <c r="AT99" s="31" t="n"/>
      <c r="AU99" s="48">
        <f>BDP($B$99,"BEST_EBIT","BEST_FPERIOD_OVERRIDE","24Y")</f>
        <v/>
      </c>
      <c r="AV99" s="43">
        <f>BDP($B$99,"BEST_EBIT","BEST_FPERIOD_OVERRIDE","25Y")</f>
        <v/>
      </c>
      <c r="AW99" s="43">
        <f>BDP($B$99,"BEST_EBIT","BEST_FPERIOD_OVERRIDE","26Y")</f>
        <v/>
      </c>
      <c r="AX99" s="43">
        <f>BDP($B$99,"BEST_EBIT","BEST_FPERIOD_OVERRIDE","27Y")</f>
        <v/>
      </c>
      <c r="AY99" s="43">
        <f>BDP($B$99,"BEST_EBIT","BEST_FPERIOD_OVERRIDE","28Y")</f>
        <v/>
      </c>
      <c r="AZ99" s="31" t="n"/>
      <c r="BA99" s="1">
        <f>C99+BD99</f>
        <v/>
      </c>
      <c r="BB99" s="42">
        <f>AB99-AD99</f>
        <v/>
      </c>
      <c r="BC99" s="42">
        <f>C99</f>
        <v/>
      </c>
      <c r="BD99" s="43">
        <f>BDP($B$99,"TRAIL_12M_EBITDA")</f>
        <v/>
      </c>
      <c r="BE99" s="43">
        <f>_xll.BDP("LRCX US Equity","TRAIL_12M_EBITDA")</f>
        <v/>
      </c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</row>
    <row r="100">
      <c r="A100" s="1" t="inlineStr">
        <is>
          <t>TXN</t>
        </is>
      </c>
      <c r="B100" s="1" t="inlineStr">
        <is>
          <t>TXN US Equity</t>
        </is>
      </c>
      <c r="C100" s="43">
        <f>BDP($B$100,"CUR_MKT_CAP")/1000000000</f>
        <v/>
      </c>
      <c r="D100" s="44">
        <f>BDP($B$100,"PX_LAST")</f>
        <v/>
      </c>
      <c r="E100" s="45">
        <f>IF(BDP($B$100,"BEST_EPS","BEST_FPERIOD_OVERRIDE","26Y")&lt;&gt;0,$D$100/BDP($B$100,"BEST_EPS","BEST_FPERIOD_OVERRIDE","26Y"),"")</f>
        <v/>
      </c>
      <c r="F100" s="45">
        <f>IF(BDP($B$100,"BEST_EPS","BEST_FPERIOD_OVERRIDE","27Y")&lt;&gt;0,$D$100/BDP($B$100,"BEST_EPS","BEST_FPERIOD_OVERRIDE","27Y"),"")</f>
        <v/>
      </c>
      <c r="G100" s="45">
        <f>IF(BDP($B$100,"BEST_EPS","BEST_FPERIOD_OVERRIDE","28Y")&lt;&gt;0,$D$100/BDP($B$100,"BEST_EPS","BEST_FPERIOD_OVERRIDE","28Y"),"")</f>
        <v/>
      </c>
      <c r="H100" s="46">
        <f>BDP($B$100,"NET_DEBT_TO_EBITDA")</f>
        <v/>
      </c>
      <c r="I100" s="43">
        <f>BDP($B$100,"BEST_SALES","BEST_FPERIOD_OVERRIDE","26Y")/1000</f>
        <v/>
      </c>
      <c r="J100" s="47">
        <f>IF(BDP($B$100,"BEST_SALES","BEST_FPERIOD_OVERRIDE","26Y")&lt;&gt;0,BDP($B$100,"BEST_EBIT","BEST_FPERIOD_OVERRIDE","26Y")/BDP($B$100,"BEST_SALES","BEST_FPERIOD_OVERRIDE","26Y"),"")</f>
        <v/>
      </c>
      <c r="K100" s="47">
        <f>BDP($B$100,"RETURN_ON_INV_CAPITAL")/100</f>
        <v/>
      </c>
      <c r="L100" s="47">
        <f>IF(AND(BDP($B$100,"BEST_SALES","BEST_FPERIOD_OVERRIDE","25Y")&gt;0,BDP($B$100,"BEST_SALES","BEST_FPERIOD_OVERRIDE","28Y")&gt;0),(BDP($B$100,"BEST_SALES","BEST_FPERIOD_OVERRIDE","28Y")/BDP($B$100,"BEST_SALES","BEST_FPERIOD_OVERRIDE","25Y"))^(1/3)-1,"")</f>
        <v/>
      </c>
      <c r="M100" s="47">
        <f>IF(AND(BDP($B$100,"BEST_EBIT","BEST_FPERIOD_OVERRIDE","25Y")&gt;0,BDP($B$100,"BEST_EBIT","BEST_FPERIOD_OVERRIDE","28Y")&gt;0),(BDP($B$100,"BEST_EBIT","BEST_FPERIOD_OVERRIDE","28Y")/BDP($B$100,"BEST_EBIT","BEST_FPERIOD_OVERRIDE","25Y"))^(1/3)-1,"")</f>
        <v/>
      </c>
      <c r="N100" s="47">
        <f>IF(AND(BDP($B$100,"BEST_EPS","BEST_FPERIOD_OVERRIDE","25Y")&gt;0,BDP($B$100,"BEST_EPS","BEST_FPERIOD_OVERRIDE","28Y")&gt;0),(BDP($B$100,"BEST_EPS","BEST_FPERIOD_OVERRIDE","28Y")/BDP($B$100,"BEST_EPS","BEST_FPERIOD_OVERRIDE","25Y"))^(1/3)-1,"")</f>
        <v/>
      </c>
      <c r="O100" s="1" t="n"/>
      <c r="P100" s="47">
        <f>BDP($B$100,"CHG_PCT_YTD")/100</f>
        <v/>
      </c>
      <c r="Q100" s="1" t="n"/>
      <c r="R100" s="1" t="n"/>
      <c r="S100" s="42">
        <f>IF(AND(E100&lt;&gt;"",N100&lt;&gt;"",N100&lt;&gt;0),E100/(N100*100),"")</f>
        <v/>
      </c>
      <c r="T100" s="1" t="n"/>
      <c r="U100" s="26" t="inlineStr">
        <is>
          <t>Dec</t>
        </is>
      </c>
      <c r="V100" s="1" t="n"/>
      <c r="W100" s="1" t="n"/>
      <c r="X100" s="1" t="n"/>
      <c r="Y100" s="1" t="n"/>
      <c r="Z100" s="1" t="n"/>
      <c r="AA100" s="48">
        <f>BDP($B$100,"TRAIL_12M_OPER_INC")</f>
        <v/>
      </c>
      <c r="AB100" s="43">
        <f>BDP($B$100,"SHORT_AND_LONG_TERM_DEBT")</f>
        <v/>
      </c>
      <c r="AC100" s="43">
        <f>BDP($B$100,"TOTAL_EQUITY")</f>
        <v/>
      </c>
      <c r="AD100" s="43">
        <f>BDP($B$100,"BS_CASH_NEAR_CASH_ITEM")</f>
        <v/>
      </c>
      <c r="AE100" s="43">
        <f>BDP($B$100,"BS_LT_INVEST")</f>
        <v/>
      </c>
      <c r="AF100" s="31">
        <f>AB100+AC100</f>
        <v/>
      </c>
      <c r="AG100" s="43">
        <f>BDP($B$100,"RETURN_ON_INV_CAPITAL")/100</f>
        <v/>
      </c>
      <c r="AH100" s="49" t="n"/>
      <c r="AI100" s="48">
        <f>BDP($B$100,"BEST_EPS","BEST_FPERIOD_OVERRIDE","24Y")</f>
        <v/>
      </c>
      <c r="AJ100" s="43">
        <f>BDP($B$100,"BEST_EPS","BEST_FPERIOD_OVERRIDE","25Y")</f>
        <v/>
      </c>
      <c r="AK100" s="43">
        <f>BDP($B$100,"BEST_EPS","BEST_FPERIOD_OVERRIDE","26Y")</f>
        <v/>
      </c>
      <c r="AL100" s="43">
        <f>BDP($B$100,"BEST_EPS","BEST_FPERIOD_OVERRIDE","27Y")</f>
        <v/>
      </c>
      <c r="AM100" s="43">
        <f>BDP($B$100,"BEST_EPS","BEST_FPERIOD_OVERRIDE","28Y")</f>
        <v/>
      </c>
      <c r="AN100" s="31" t="n"/>
      <c r="AO100" s="48">
        <f>BDP($B$100,"BEST_SALES","BEST_FPERIOD_OVERRIDE","24Y")</f>
        <v/>
      </c>
      <c r="AP100" s="43">
        <f>BDP($B$100,"BEST_SALES","BEST_FPERIOD_OVERRIDE","25Y")</f>
        <v/>
      </c>
      <c r="AQ100" s="43">
        <f>BDP($B$100,"BEST_SALES","BEST_FPERIOD_OVERRIDE","26Y")</f>
        <v/>
      </c>
      <c r="AR100" s="43">
        <f>BDP($B$100,"BEST_SALES","BEST_FPERIOD_OVERRIDE","27Y")</f>
        <v/>
      </c>
      <c r="AS100" s="43">
        <f>BDP($B$100,"BEST_SALES","BEST_FPERIOD_OVERRIDE","28Y")</f>
        <v/>
      </c>
      <c r="AT100" s="31" t="n"/>
      <c r="AU100" s="48">
        <f>BDP($B$100,"BEST_EBIT","BEST_FPERIOD_OVERRIDE","24Y")</f>
        <v/>
      </c>
      <c r="AV100" s="43">
        <f>BDP($B$100,"BEST_EBIT","BEST_FPERIOD_OVERRIDE","25Y")</f>
        <v/>
      </c>
      <c r="AW100" s="43">
        <f>BDP($B$100,"BEST_EBIT","BEST_FPERIOD_OVERRIDE","26Y")</f>
        <v/>
      </c>
      <c r="AX100" s="43">
        <f>BDP($B$100,"BEST_EBIT","BEST_FPERIOD_OVERRIDE","27Y")</f>
        <v/>
      </c>
      <c r="AY100" s="43">
        <f>BDP($B$100,"BEST_EBIT","BEST_FPERIOD_OVERRIDE","28Y")</f>
        <v/>
      </c>
      <c r="AZ100" s="31" t="n"/>
      <c r="BA100" s="1">
        <f>C100+BD100</f>
        <v/>
      </c>
      <c r="BB100" s="42">
        <f>AB100-AD100</f>
        <v/>
      </c>
      <c r="BC100" s="42">
        <f>C100</f>
        <v/>
      </c>
      <c r="BD100" s="43">
        <f>BDP($B$100,"TRAIL_12M_EBITDA")</f>
        <v/>
      </c>
      <c r="BE100" s="43">
        <f>_xll.BDP("TXN US Equity","TRAIL_12M_EBITDA")</f>
        <v/>
      </c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</row>
    <row r="101">
      <c r="A101" s="1" t="inlineStr">
        <is>
          <t>GOOG</t>
        </is>
      </c>
      <c r="B101" s="1" t="inlineStr">
        <is>
          <t>GOOG US Equity</t>
        </is>
      </c>
      <c r="C101" s="43">
        <f>BDP($B$101,"CUR_MKT_CAP")/1000000000</f>
        <v/>
      </c>
      <c r="D101" s="44">
        <f>BDP($B$101,"PX_LAST")</f>
        <v/>
      </c>
      <c r="E101" s="45">
        <f>IF(BDP($B$101,"BEST_EPS","BEST_FPERIOD_OVERRIDE","26Y")&lt;&gt;0,$D$101/BDP($B$101,"BEST_EPS","BEST_FPERIOD_OVERRIDE","26Y"),"")</f>
        <v/>
      </c>
      <c r="F101" s="45">
        <f>IF(BDP($B$101,"BEST_EPS","BEST_FPERIOD_OVERRIDE","27Y")&lt;&gt;0,$D$101/BDP($B$101,"BEST_EPS","BEST_FPERIOD_OVERRIDE","27Y"),"")</f>
        <v/>
      </c>
      <c r="G101" s="45">
        <f>IF(BDP($B$101,"BEST_EPS","BEST_FPERIOD_OVERRIDE","28Y")&lt;&gt;0,$D$101/BDP($B$101,"BEST_EPS","BEST_FPERIOD_OVERRIDE","28Y"),"")</f>
        <v/>
      </c>
      <c r="H101" s="46">
        <f>BDP($B$101,"NET_DEBT_TO_EBITDA")</f>
        <v/>
      </c>
      <c r="I101" s="43">
        <f>BDP($B$101,"BEST_SALES","BEST_FPERIOD_OVERRIDE","26Y")/1000</f>
        <v/>
      </c>
      <c r="J101" s="47">
        <f>IF(BDP($B$101,"BEST_SALES","BEST_FPERIOD_OVERRIDE","26Y")&lt;&gt;0,BDP($B$101,"BEST_EBIT","BEST_FPERIOD_OVERRIDE","26Y")/BDP($B$101,"BEST_SALES","BEST_FPERIOD_OVERRIDE","26Y"),"")</f>
        <v/>
      </c>
      <c r="K101" s="47">
        <f>BDP($B$101,"RETURN_ON_INV_CAPITAL")/100</f>
        <v/>
      </c>
      <c r="L101" s="47">
        <f>IF(AND(BDP($B$101,"BEST_SALES","BEST_FPERIOD_OVERRIDE","25Y")&gt;0,BDP($B$101,"BEST_SALES","BEST_FPERIOD_OVERRIDE","28Y")&gt;0),(BDP($B$101,"BEST_SALES","BEST_FPERIOD_OVERRIDE","28Y")/BDP($B$101,"BEST_SALES","BEST_FPERIOD_OVERRIDE","25Y"))^(1/3)-1,"")</f>
        <v/>
      </c>
      <c r="M101" s="47">
        <f>IF(AND(BDP($B$101,"BEST_EBIT","BEST_FPERIOD_OVERRIDE","25Y")&gt;0,BDP($B$101,"BEST_EBIT","BEST_FPERIOD_OVERRIDE","28Y")&gt;0),(BDP($B$101,"BEST_EBIT","BEST_FPERIOD_OVERRIDE","28Y")/BDP($B$101,"BEST_EBIT","BEST_FPERIOD_OVERRIDE","25Y"))^(1/3)-1,"")</f>
        <v/>
      </c>
      <c r="N101" s="47">
        <f>IF(AND(BDP($B$101,"BEST_EPS","BEST_FPERIOD_OVERRIDE","25Y")&gt;0,BDP($B$101,"BEST_EPS","BEST_FPERIOD_OVERRIDE","28Y")&gt;0),(BDP($B$101,"BEST_EPS","BEST_FPERIOD_OVERRIDE","28Y")/BDP($B$101,"BEST_EPS","BEST_FPERIOD_OVERRIDE","25Y"))^(1/3)-1,"")</f>
        <v/>
      </c>
      <c r="O101" s="1" t="n"/>
      <c r="P101" s="47">
        <f>BDP($B$101,"CHG_PCT_YTD")/100</f>
        <v/>
      </c>
      <c r="Q101" s="1" t="n"/>
      <c r="R101" s="1" t="n"/>
      <c r="S101" s="42">
        <f>IF(AND(E101&lt;&gt;"",N101&lt;&gt;"",N101&lt;&gt;0),E101/(N101*100),"")</f>
        <v/>
      </c>
      <c r="T101" s="1" t="n"/>
      <c r="U101" s="26" t="inlineStr">
        <is>
          <t>Dec</t>
        </is>
      </c>
      <c r="V101" s="1" t="n"/>
      <c r="W101" s="1" t="n"/>
      <c r="X101" s="1" t="n"/>
      <c r="Y101" s="1" t="n"/>
      <c r="Z101" s="1" t="n"/>
      <c r="AA101" s="48">
        <f>BDP($B$101,"TRAIL_12M_OPER_INC")</f>
        <v/>
      </c>
      <c r="AB101" s="43">
        <f>BDP($B$101,"SHORT_AND_LONG_TERM_DEBT")</f>
        <v/>
      </c>
      <c r="AC101" s="43">
        <f>BDP($B$101,"TOTAL_EQUITY")</f>
        <v/>
      </c>
      <c r="AD101" s="43">
        <f>BDP($B$101,"BS_CASH_NEAR_CASH_ITEM")</f>
        <v/>
      </c>
      <c r="AE101" s="43">
        <f>BDP($B$101,"BS_LT_INVEST")</f>
        <v/>
      </c>
      <c r="AF101" s="31">
        <f>AB101+AC101</f>
        <v/>
      </c>
      <c r="AG101" s="43">
        <f>BDP($B$101,"RETURN_ON_INV_CAPITAL")/100</f>
        <v/>
      </c>
      <c r="AH101" s="49" t="n"/>
      <c r="AI101" s="48">
        <f>BDP($B$101,"BEST_EPS","BEST_FPERIOD_OVERRIDE","24Y")</f>
        <v/>
      </c>
      <c r="AJ101" s="43">
        <f>BDP($B$101,"BEST_EPS","BEST_FPERIOD_OVERRIDE","25Y")</f>
        <v/>
      </c>
      <c r="AK101" s="43">
        <f>BDP($B$101,"BEST_EPS","BEST_FPERIOD_OVERRIDE","26Y")</f>
        <v/>
      </c>
      <c r="AL101" s="43">
        <f>BDP($B$101,"BEST_EPS","BEST_FPERIOD_OVERRIDE","27Y")</f>
        <v/>
      </c>
      <c r="AM101" s="43">
        <f>BDP($B$101,"BEST_EPS","BEST_FPERIOD_OVERRIDE","28Y")</f>
        <v/>
      </c>
      <c r="AN101" s="31" t="n"/>
      <c r="AO101" s="48">
        <f>BDP($B$101,"BEST_SALES","BEST_FPERIOD_OVERRIDE","24Y")</f>
        <v/>
      </c>
      <c r="AP101" s="43">
        <f>BDP($B$101,"BEST_SALES","BEST_FPERIOD_OVERRIDE","25Y")</f>
        <v/>
      </c>
      <c r="AQ101" s="43">
        <f>BDP($B$101,"BEST_SALES","BEST_FPERIOD_OVERRIDE","26Y")</f>
        <v/>
      </c>
      <c r="AR101" s="43">
        <f>BDP($B$101,"BEST_SALES","BEST_FPERIOD_OVERRIDE","27Y")</f>
        <v/>
      </c>
      <c r="AS101" s="43">
        <f>BDP($B$101,"BEST_SALES","BEST_FPERIOD_OVERRIDE","28Y")</f>
        <v/>
      </c>
      <c r="AT101" s="31" t="n"/>
      <c r="AU101" s="48">
        <f>BDP($B$101,"BEST_EBIT","BEST_FPERIOD_OVERRIDE","24Y")</f>
        <v/>
      </c>
      <c r="AV101" s="43">
        <f>BDP($B$101,"BEST_EBIT","BEST_FPERIOD_OVERRIDE","25Y")</f>
        <v/>
      </c>
      <c r="AW101" s="43">
        <f>BDP($B$101,"BEST_EBIT","BEST_FPERIOD_OVERRIDE","26Y")</f>
        <v/>
      </c>
      <c r="AX101" s="43">
        <f>BDP($B$101,"BEST_EBIT","BEST_FPERIOD_OVERRIDE","27Y")</f>
        <v/>
      </c>
      <c r="AY101" s="43">
        <f>BDP($B$101,"BEST_EBIT","BEST_FPERIOD_OVERRIDE","28Y")</f>
        <v/>
      </c>
      <c r="AZ101" s="31" t="n"/>
      <c r="BA101" s="1">
        <f>C101+BD101</f>
        <v/>
      </c>
      <c r="BB101" s="42">
        <f>AB101-AD101</f>
        <v/>
      </c>
      <c r="BC101" s="42">
        <f>C101</f>
        <v/>
      </c>
      <c r="BD101" s="43">
        <f>BDP($B$101,"TRAIL_12M_EBITDA")</f>
        <v/>
      </c>
      <c r="BE101" s="43">
        <f>_xll.BDP("GOOG US Equity","TRAIL_12M_EBITDA")</f>
        <v/>
      </c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</row>
    <row r="102">
      <c r="A102" s="1" t="inlineStr">
        <is>
          <t>GWRE</t>
        </is>
      </c>
      <c r="B102" s="1" t="inlineStr">
        <is>
          <t>GWRE US Equity</t>
        </is>
      </c>
      <c r="C102" s="43">
        <f>BDP($B$102,"CUR_MKT_CAP")/1000000000</f>
        <v/>
      </c>
      <c r="D102" s="44">
        <f>BDP($B$102,"PX_LAST")</f>
        <v/>
      </c>
      <c r="E102" s="45">
        <f>IF(BDP($B$102,"BEST_EPS","BEST_FPERIOD_OVERRIDE","26Y")&lt;&gt;0,$D$102/BDP($B$102,"BEST_EPS","BEST_FPERIOD_OVERRIDE","26Y"),"")</f>
        <v/>
      </c>
      <c r="F102" s="45">
        <f>IF(BDP($B$102,"BEST_EPS","BEST_FPERIOD_OVERRIDE","27Y")&lt;&gt;0,$D$102/BDP($B$102,"BEST_EPS","BEST_FPERIOD_OVERRIDE","27Y"),"")</f>
        <v/>
      </c>
      <c r="G102" s="45">
        <f>IF(BDP($B$102,"BEST_EPS","BEST_FPERIOD_OVERRIDE","28Y")&lt;&gt;0,$D$102/BDP($B$102,"BEST_EPS","BEST_FPERIOD_OVERRIDE","28Y"),"")</f>
        <v/>
      </c>
      <c r="H102" s="46">
        <f>BDP($B$102,"NET_DEBT_TO_EBITDA")</f>
        <v/>
      </c>
      <c r="I102" s="43">
        <f>BDP($B$102,"BEST_SALES","BEST_FPERIOD_OVERRIDE","26Y")/1000</f>
        <v/>
      </c>
      <c r="J102" s="47">
        <f>IF(BDP($B$102,"BEST_SALES","BEST_FPERIOD_OVERRIDE","26Y")&lt;&gt;0,BDP($B$102,"BEST_EBIT","BEST_FPERIOD_OVERRIDE","26Y")/BDP($B$102,"BEST_SALES","BEST_FPERIOD_OVERRIDE","26Y"),"")</f>
        <v/>
      </c>
      <c r="K102" s="47">
        <f>BDP($B$102,"RETURN_ON_INV_CAPITAL")/100</f>
        <v/>
      </c>
      <c r="L102" s="47">
        <f>IF(AND(BDP($B$102,"BEST_SALES","BEST_FPERIOD_OVERRIDE","25Y")&gt;0,BDP($B$102,"BEST_SALES","BEST_FPERIOD_OVERRIDE","28Y")&gt;0),(BDP($B$102,"BEST_SALES","BEST_FPERIOD_OVERRIDE","28Y")/BDP($B$102,"BEST_SALES","BEST_FPERIOD_OVERRIDE","25Y"))^(1/3)-1,"")</f>
        <v/>
      </c>
      <c r="M102" s="47">
        <f>IF(AND(BDP($B$102,"BEST_EBIT","BEST_FPERIOD_OVERRIDE","25Y")&gt;0,BDP($B$102,"BEST_EBIT","BEST_FPERIOD_OVERRIDE","28Y")&gt;0),(BDP($B$102,"BEST_EBIT","BEST_FPERIOD_OVERRIDE","28Y")/BDP($B$102,"BEST_EBIT","BEST_FPERIOD_OVERRIDE","25Y"))^(1/3)-1,"")</f>
        <v/>
      </c>
      <c r="N102" s="47">
        <f>IF(AND(BDP($B$102,"BEST_EPS","BEST_FPERIOD_OVERRIDE","25Y")&gt;0,BDP($B$102,"BEST_EPS","BEST_FPERIOD_OVERRIDE","28Y")&gt;0),(BDP($B$102,"BEST_EPS","BEST_FPERIOD_OVERRIDE","28Y")/BDP($B$102,"BEST_EPS","BEST_FPERIOD_OVERRIDE","25Y"))^(1/3)-1,"")</f>
        <v/>
      </c>
      <c r="O102" s="1" t="n"/>
      <c r="P102" s="47">
        <f>BDP($B$102,"CHG_PCT_YTD")/100</f>
        <v/>
      </c>
      <c r="Q102" s="1" t="n"/>
      <c r="R102" s="1" t="n"/>
      <c r="S102" s="42">
        <f>IF(AND(E102&lt;&gt;"",N102&lt;&gt;"",N102&lt;&gt;0),E102/(N102*100),"")</f>
        <v/>
      </c>
      <c r="T102" s="1" t="n"/>
      <c r="U102" s="26" t="inlineStr">
        <is>
          <t>Jul</t>
        </is>
      </c>
      <c r="V102" s="1" t="n"/>
      <c r="W102" s="1" t="n"/>
      <c r="X102" s="1" t="n"/>
      <c r="Y102" s="1" t="n"/>
      <c r="Z102" s="1" t="n"/>
      <c r="AA102" s="48">
        <f>BDP($B$102,"TRAIL_12M_OPER_INC")</f>
        <v/>
      </c>
      <c r="AB102" s="43">
        <f>BDP($B$102,"SHORT_AND_LONG_TERM_DEBT")</f>
        <v/>
      </c>
      <c r="AC102" s="43">
        <f>BDP($B$102,"TOTAL_EQUITY")</f>
        <v/>
      </c>
      <c r="AD102" s="43">
        <f>BDP($B$102,"BS_CASH_NEAR_CASH_ITEM")</f>
        <v/>
      </c>
      <c r="AE102" s="43">
        <f>BDP($B$102,"BS_LT_INVEST")</f>
        <v/>
      </c>
      <c r="AF102" s="31">
        <f>AB102+AC102</f>
        <v/>
      </c>
      <c r="AG102" s="43">
        <f>BDP($B$102,"RETURN_ON_INV_CAPITAL")/100</f>
        <v/>
      </c>
      <c r="AH102" s="49" t="n"/>
      <c r="AI102" s="48">
        <f>BDP($B$102,"BEST_EPS","BEST_FPERIOD_OVERRIDE","24Y")</f>
        <v/>
      </c>
      <c r="AJ102" s="43">
        <f>BDP($B$102,"BEST_EPS","BEST_FPERIOD_OVERRIDE","25Y")</f>
        <v/>
      </c>
      <c r="AK102" s="43">
        <f>BDP($B$102,"BEST_EPS","BEST_FPERIOD_OVERRIDE","26Y")</f>
        <v/>
      </c>
      <c r="AL102" s="43">
        <f>BDP($B$102,"BEST_EPS","BEST_FPERIOD_OVERRIDE","27Y")</f>
        <v/>
      </c>
      <c r="AM102" s="43">
        <f>BDP($B$102,"BEST_EPS","BEST_FPERIOD_OVERRIDE","28Y")</f>
        <v/>
      </c>
      <c r="AN102" s="31" t="n"/>
      <c r="AO102" s="48">
        <f>BDP($B$102,"BEST_SALES","BEST_FPERIOD_OVERRIDE","24Y")</f>
        <v/>
      </c>
      <c r="AP102" s="43">
        <f>BDP($B$102,"BEST_SALES","BEST_FPERIOD_OVERRIDE","25Y")</f>
        <v/>
      </c>
      <c r="AQ102" s="43">
        <f>BDP($B$102,"BEST_SALES","BEST_FPERIOD_OVERRIDE","26Y")</f>
        <v/>
      </c>
      <c r="AR102" s="43">
        <f>BDP($B$102,"BEST_SALES","BEST_FPERIOD_OVERRIDE","27Y")</f>
        <v/>
      </c>
      <c r="AS102" s="43">
        <f>BDP($B$102,"BEST_SALES","BEST_FPERIOD_OVERRIDE","28Y")</f>
        <v/>
      </c>
      <c r="AT102" s="31" t="n"/>
      <c r="AU102" s="48">
        <f>BDP($B$102,"BEST_EBIT","BEST_FPERIOD_OVERRIDE","24Y")</f>
        <v/>
      </c>
      <c r="AV102" s="43">
        <f>BDP($B$102,"BEST_EBIT","BEST_FPERIOD_OVERRIDE","25Y")</f>
        <v/>
      </c>
      <c r="AW102" s="43">
        <f>BDP($B$102,"BEST_EBIT","BEST_FPERIOD_OVERRIDE","26Y")</f>
        <v/>
      </c>
      <c r="AX102" s="43">
        <f>BDP($B$102,"BEST_EBIT","BEST_FPERIOD_OVERRIDE","27Y")</f>
        <v/>
      </c>
      <c r="AY102" s="43">
        <f>BDP($B$102,"BEST_EBIT","BEST_FPERIOD_OVERRIDE","28Y")</f>
        <v/>
      </c>
      <c r="AZ102" s="31" t="n"/>
      <c r="BA102" s="1">
        <f>C102+BD102</f>
        <v/>
      </c>
      <c r="BB102" s="42">
        <f>AB102-AD102</f>
        <v/>
      </c>
      <c r="BC102" s="42">
        <f>C102</f>
        <v/>
      </c>
      <c r="BD102" s="43">
        <f>BDP($B$102,"TRAIL_12M_EBITDA")</f>
        <v/>
      </c>
      <c r="BE102" s="43">
        <f>_xll.BDP("GWRE US Equity","TRAIL_12M_EBITDA")</f>
        <v/>
      </c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</row>
    <row r="103">
      <c r="A103" s="1" t="inlineStr">
        <is>
          <t>VEEV</t>
        </is>
      </c>
      <c r="B103" s="1" t="inlineStr">
        <is>
          <t>VEEV US Equity</t>
        </is>
      </c>
      <c r="C103" s="43">
        <f>BDP($B$103,"CUR_MKT_CAP")/1000000000</f>
        <v/>
      </c>
      <c r="D103" s="44">
        <f>BDP($B$103,"PX_LAST")</f>
        <v/>
      </c>
      <c r="E103" s="45">
        <f>IF(BDP($B$103,"BEST_EPS","BEST_FPERIOD_OVERRIDE","27Y")&lt;&gt;0,$D$103/BDP($B$103,"BEST_EPS","BEST_FPERIOD_OVERRIDE","27Y"),"")</f>
        <v/>
      </c>
      <c r="F103" s="45">
        <f>IF(BDP($B$103,"BEST_EPS","BEST_FPERIOD_OVERRIDE","28Y")&lt;&gt;0,$D$103/BDP($B$103,"BEST_EPS","BEST_FPERIOD_OVERRIDE","28Y"),"")</f>
        <v/>
      </c>
      <c r="G103" s="45">
        <f>IF(BDP($B$103,"BEST_EPS","BEST_FPERIOD_OVERRIDE","29Y")&lt;&gt;0,$D$103/BDP($B$103,"BEST_EPS","BEST_FPERIOD_OVERRIDE","29Y"),"")</f>
        <v/>
      </c>
      <c r="H103" s="46">
        <f>BDP($B$103,"NET_DEBT_TO_EBITDA")</f>
        <v/>
      </c>
      <c r="I103" s="43">
        <f>BDP($B$103,"BEST_SALES","BEST_FPERIOD_OVERRIDE","27Y")/1000</f>
        <v/>
      </c>
      <c r="J103" s="47">
        <f>IF(BDP($B$103,"BEST_SALES","BEST_FPERIOD_OVERRIDE","27Y")&lt;&gt;0,BDP($B$103,"BEST_EBIT","BEST_FPERIOD_OVERRIDE","27Y")/BDP($B$103,"BEST_SALES","BEST_FPERIOD_OVERRIDE","27Y"),"")</f>
        <v/>
      </c>
      <c r="K103" s="47">
        <f>BDP($B$103,"RETURN_ON_INV_CAPITAL")/100</f>
        <v/>
      </c>
      <c r="L103" s="47">
        <f>IF(AND(BDP($B$103,"BEST_SALES","BEST_FPERIOD_OVERRIDE","26Y")&gt;0,BDP($B$103,"BEST_SALES","BEST_FPERIOD_OVERRIDE","29Y")&gt;0),(BDP($B$103,"BEST_SALES","BEST_FPERIOD_OVERRIDE","29Y")/BDP($B$103,"BEST_SALES","BEST_FPERIOD_OVERRIDE","26Y"))^(1/3)-1,"")</f>
        <v/>
      </c>
      <c r="M103" s="47">
        <f>IF(AND(BDP($B$103,"BEST_EBIT","BEST_FPERIOD_OVERRIDE","26Y")&gt;0,BDP($B$103,"BEST_EBIT","BEST_FPERIOD_OVERRIDE","29Y")&gt;0),(BDP($B$103,"BEST_EBIT","BEST_FPERIOD_OVERRIDE","29Y")/BDP($B$103,"BEST_EBIT","BEST_FPERIOD_OVERRIDE","26Y"))^(1/3)-1,"")</f>
        <v/>
      </c>
      <c r="N103" s="47">
        <f>IF(AND(BDP($B$103,"BEST_EPS","BEST_FPERIOD_OVERRIDE","26Y")&gt;0,BDP($B$103,"BEST_EPS","BEST_FPERIOD_OVERRIDE","29Y")&gt;0),(BDP($B$103,"BEST_EPS","BEST_FPERIOD_OVERRIDE","29Y")/BDP($B$103,"BEST_EPS","BEST_FPERIOD_OVERRIDE","26Y"))^(1/3)-1,"")</f>
        <v/>
      </c>
      <c r="O103" s="1" t="n"/>
      <c r="P103" s="47">
        <f>BDP($B$103,"CHG_PCT_YTD")/100</f>
        <v/>
      </c>
      <c r="Q103" s="1" t="n"/>
      <c r="R103" s="1" t="n"/>
      <c r="S103" s="42">
        <f>IF(AND(E103&lt;&gt;"",N103&lt;&gt;"",N103&lt;&gt;0),E103/(N103*100),"")</f>
        <v/>
      </c>
      <c r="T103" s="1" t="n"/>
      <c r="U103" s="26" t="inlineStr">
        <is>
          <t>Jan</t>
        </is>
      </c>
      <c r="V103" s="1" t="n"/>
      <c r="W103" s="1" t="n"/>
      <c r="X103" s="1" t="n"/>
      <c r="Y103" s="1" t="n"/>
      <c r="Z103" s="1" t="n"/>
      <c r="AA103" s="48">
        <f>BDP($B$103,"TRAIL_12M_OPER_INC")</f>
        <v/>
      </c>
      <c r="AB103" s="43">
        <f>BDP($B$103,"SHORT_AND_LONG_TERM_DEBT")</f>
        <v/>
      </c>
      <c r="AC103" s="43">
        <f>BDP($B$103,"TOTAL_EQUITY")</f>
        <v/>
      </c>
      <c r="AD103" s="43">
        <f>BDP($B$103,"BS_CASH_NEAR_CASH_ITEM")</f>
        <v/>
      </c>
      <c r="AE103" s="43">
        <f>BDP($B$103,"BS_LT_INVEST")</f>
        <v/>
      </c>
      <c r="AF103" s="31">
        <f>AB103+AC103</f>
        <v/>
      </c>
      <c r="AG103" s="43">
        <f>BDP($B$103,"RETURN_ON_INV_CAPITAL")/100</f>
        <v/>
      </c>
      <c r="AH103" s="49" t="n"/>
      <c r="AI103" s="48">
        <f>BDP($B$103,"BEST_EPS","BEST_FPERIOD_OVERRIDE","25Y")</f>
        <v/>
      </c>
      <c r="AJ103" s="43">
        <f>BDP($B$103,"BEST_EPS","BEST_FPERIOD_OVERRIDE","26Y")</f>
        <v/>
      </c>
      <c r="AK103" s="43">
        <f>BDP($B$103,"BEST_EPS","BEST_FPERIOD_OVERRIDE","27Y")</f>
        <v/>
      </c>
      <c r="AL103" s="43">
        <f>BDP($B$103,"BEST_EPS","BEST_FPERIOD_OVERRIDE","28Y")</f>
        <v/>
      </c>
      <c r="AM103" s="43">
        <f>BDP($B$103,"BEST_EPS","BEST_FPERIOD_OVERRIDE","29Y")</f>
        <v/>
      </c>
      <c r="AN103" s="31" t="n"/>
      <c r="AO103" s="48">
        <f>BDP($B$103,"BEST_SALES","BEST_FPERIOD_OVERRIDE","25Y")</f>
        <v/>
      </c>
      <c r="AP103" s="43">
        <f>BDP($B$103,"BEST_SALES","BEST_FPERIOD_OVERRIDE","26Y")</f>
        <v/>
      </c>
      <c r="AQ103" s="43">
        <f>BDP($B$103,"BEST_SALES","BEST_FPERIOD_OVERRIDE","27Y")</f>
        <v/>
      </c>
      <c r="AR103" s="43">
        <f>BDP($B$103,"BEST_SALES","BEST_FPERIOD_OVERRIDE","28Y")</f>
        <v/>
      </c>
      <c r="AS103" s="43">
        <f>BDP($B$103,"BEST_SALES","BEST_FPERIOD_OVERRIDE","29Y")</f>
        <v/>
      </c>
      <c r="AT103" s="31" t="n"/>
      <c r="AU103" s="48">
        <f>BDP($B$103,"BEST_EBIT","BEST_FPERIOD_OVERRIDE","25Y")</f>
        <v/>
      </c>
      <c r="AV103" s="43">
        <f>BDP($B$103,"BEST_EBIT","BEST_FPERIOD_OVERRIDE","26Y")</f>
        <v/>
      </c>
      <c r="AW103" s="43">
        <f>BDP($B$103,"BEST_EBIT","BEST_FPERIOD_OVERRIDE","27Y")</f>
        <v/>
      </c>
      <c r="AX103" s="43">
        <f>BDP($B$103,"BEST_EBIT","BEST_FPERIOD_OVERRIDE","28Y")</f>
        <v/>
      </c>
      <c r="AY103" s="43">
        <f>BDP($B$103,"BEST_EBIT","BEST_FPERIOD_OVERRIDE","29Y")</f>
        <v/>
      </c>
      <c r="AZ103" s="31" t="n"/>
      <c r="BA103" s="1">
        <f>C103+BD103</f>
        <v/>
      </c>
      <c r="BB103" s="42">
        <f>AB103-AD103</f>
        <v/>
      </c>
      <c r="BC103" s="42">
        <f>C103</f>
        <v/>
      </c>
      <c r="BD103" s="43">
        <f>BDP($B$103,"TRAIL_12M_EBITDA")</f>
        <v/>
      </c>
      <c r="BE103" s="43">
        <f>_xll.BDP("VEEV US Equity","TRAIL_12M_EBITDA")</f>
        <v/>
      </c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</row>
    <row r="104">
      <c r="A104" s="1" t="inlineStr">
        <is>
          <t>NOW</t>
        </is>
      </c>
      <c r="B104" s="1" t="inlineStr">
        <is>
          <t>NOW US Equity</t>
        </is>
      </c>
      <c r="C104" s="43">
        <f>BDP($B$104,"CUR_MKT_CAP")/1000000000</f>
        <v/>
      </c>
      <c r="D104" s="44">
        <f>BDP($B$104,"PX_LAST")</f>
        <v/>
      </c>
      <c r="E104" s="45">
        <f>IF(BDP($B$104,"BEST_EPS","BEST_FPERIOD_OVERRIDE","26Y")&lt;&gt;0,$D$104/BDP($B$104,"BEST_EPS","BEST_FPERIOD_OVERRIDE","26Y"),"")</f>
        <v/>
      </c>
      <c r="F104" s="45">
        <f>IF(BDP($B$104,"BEST_EPS","BEST_FPERIOD_OVERRIDE","27Y")&lt;&gt;0,$D$104/BDP($B$104,"BEST_EPS","BEST_FPERIOD_OVERRIDE","27Y"),"")</f>
        <v/>
      </c>
      <c r="G104" s="45">
        <f>IF(BDP($B$104,"BEST_EPS","BEST_FPERIOD_OVERRIDE","28Y")&lt;&gt;0,$D$104/BDP($B$104,"BEST_EPS","BEST_FPERIOD_OVERRIDE","28Y"),"")</f>
        <v/>
      </c>
      <c r="H104" s="46">
        <f>BDP($B$104,"NET_DEBT_TO_EBITDA")</f>
        <v/>
      </c>
      <c r="I104" s="43">
        <f>BDP($B$104,"BEST_SALES","BEST_FPERIOD_OVERRIDE","26Y")/1000</f>
        <v/>
      </c>
      <c r="J104" s="47">
        <f>IF(BDP($B$104,"BEST_SALES","BEST_FPERIOD_OVERRIDE","26Y")&lt;&gt;0,BDP($B$104,"BEST_EBIT","BEST_FPERIOD_OVERRIDE","26Y")/BDP($B$104,"BEST_SALES","BEST_FPERIOD_OVERRIDE","26Y"),"")</f>
        <v/>
      </c>
      <c r="K104" s="47">
        <f>BDP($B$104,"RETURN_ON_INV_CAPITAL")/100</f>
        <v/>
      </c>
      <c r="L104" s="47">
        <f>IF(AND(BDP($B$104,"BEST_SALES","BEST_FPERIOD_OVERRIDE","25Y")&gt;0,BDP($B$104,"BEST_SALES","BEST_FPERIOD_OVERRIDE","28Y")&gt;0),(BDP($B$104,"BEST_SALES","BEST_FPERIOD_OVERRIDE","28Y")/BDP($B$104,"BEST_SALES","BEST_FPERIOD_OVERRIDE","25Y"))^(1/3)-1,"")</f>
        <v/>
      </c>
      <c r="M104" s="47">
        <f>IF(AND(BDP($B$104,"BEST_EBIT","BEST_FPERIOD_OVERRIDE","25Y")&gt;0,BDP($B$104,"BEST_EBIT","BEST_FPERIOD_OVERRIDE","28Y")&gt;0),(BDP($B$104,"BEST_EBIT","BEST_FPERIOD_OVERRIDE","28Y")/BDP($B$104,"BEST_EBIT","BEST_FPERIOD_OVERRIDE","25Y"))^(1/3)-1,"")</f>
        <v/>
      </c>
      <c r="N104" s="47">
        <f>IF(AND(BDP($B$104,"BEST_EPS","BEST_FPERIOD_OVERRIDE","25Y")&gt;0,BDP($B$104,"BEST_EPS","BEST_FPERIOD_OVERRIDE","28Y")&gt;0),(BDP($B$104,"BEST_EPS","BEST_FPERIOD_OVERRIDE","28Y")/BDP($B$104,"BEST_EPS","BEST_FPERIOD_OVERRIDE","25Y"))^(1/3)-1,"")</f>
        <v/>
      </c>
      <c r="O104" s="1" t="n"/>
      <c r="P104" s="47">
        <f>BDP($B$104,"CHG_PCT_YTD")/100</f>
        <v/>
      </c>
      <c r="Q104" s="1" t="n"/>
      <c r="R104" s="1" t="n"/>
      <c r="S104" s="42">
        <f>IF(AND(E104&lt;&gt;"",N104&lt;&gt;"",N104&lt;&gt;0),E104/(N104*100),"")</f>
        <v/>
      </c>
      <c r="T104" s="1" t="n"/>
      <c r="U104" s="26" t="inlineStr">
        <is>
          <t>Dec</t>
        </is>
      </c>
      <c r="V104" s="1" t="n"/>
      <c r="W104" s="1" t="n"/>
      <c r="X104" s="1" t="n"/>
      <c r="Y104" s="1" t="n"/>
      <c r="Z104" s="1" t="n"/>
      <c r="AA104" s="48">
        <f>BDP($B$104,"TRAIL_12M_OPER_INC")</f>
        <v/>
      </c>
      <c r="AB104" s="43">
        <f>BDP($B$104,"SHORT_AND_LONG_TERM_DEBT")</f>
        <v/>
      </c>
      <c r="AC104" s="43">
        <f>BDP($B$104,"TOTAL_EQUITY")</f>
        <v/>
      </c>
      <c r="AD104" s="43">
        <f>BDP($B$104,"BS_CASH_NEAR_CASH_ITEM")</f>
        <v/>
      </c>
      <c r="AE104" s="43">
        <f>BDP($B$104,"BS_LT_INVEST")</f>
        <v/>
      </c>
      <c r="AF104" s="31">
        <f>AB104+AC104</f>
        <v/>
      </c>
      <c r="AG104" s="43">
        <f>BDP($B$104,"RETURN_ON_INV_CAPITAL")/100</f>
        <v/>
      </c>
      <c r="AH104" s="49" t="n"/>
      <c r="AI104" s="48">
        <f>BDP($B$104,"BEST_EPS","BEST_FPERIOD_OVERRIDE","24Y")</f>
        <v/>
      </c>
      <c r="AJ104" s="43">
        <f>BDP($B$104,"BEST_EPS","BEST_FPERIOD_OVERRIDE","25Y")</f>
        <v/>
      </c>
      <c r="AK104" s="43">
        <f>BDP($B$104,"BEST_EPS","BEST_FPERIOD_OVERRIDE","26Y")</f>
        <v/>
      </c>
      <c r="AL104" s="43">
        <f>BDP($B$104,"BEST_EPS","BEST_FPERIOD_OVERRIDE","27Y")</f>
        <v/>
      </c>
      <c r="AM104" s="43">
        <f>BDP($B$104,"BEST_EPS","BEST_FPERIOD_OVERRIDE","28Y")</f>
        <v/>
      </c>
      <c r="AN104" s="31" t="n"/>
      <c r="AO104" s="48">
        <f>BDP($B$104,"BEST_SALES","BEST_FPERIOD_OVERRIDE","24Y")</f>
        <v/>
      </c>
      <c r="AP104" s="43">
        <f>BDP($B$104,"BEST_SALES","BEST_FPERIOD_OVERRIDE","25Y")</f>
        <v/>
      </c>
      <c r="AQ104" s="43">
        <f>BDP($B$104,"BEST_SALES","BEST_FPERIOD_OVERRIDE","26Y")</f>
        <v/>
      </c>
      <c r="AR104" s="43">
        <f>BDP($B$104,"BEST_SALES","BEST_FPERIOD_OVERRIDE","27Y")</f>
        <v/>
      </c>
      <c r="AS104" s="43">
        <f>BDP($B$104,"BEST_SALES","BEST_FPERIOD_OVERRIDE","28Y")</f>
        <v/>
      </c>
      <c r="AT104" s="31" t="n"/>
      <c r="AU104" s="48">
        <f>BDP($B$104,"BEST_EBIT","BEST_FPERIOD_OVERRIDE","24Y")</f>
        <v/>
      </c>
      <c r="AV104" s="43">
        <f>BDP($B$104,"BEST_EBIT","BEST_FPERIOD_OVERRIDE","25Y")</f>
        <v/>
      </c>
      <c r="AW104" s="43">
        <f>BDP($B$104,"BEST_EBIT","BEST_FPERIOD_OVERRIDE","26Y")</f>
        <v/>
      </c>
      <c r="AX104" s="43">
        <f>BDP($B$104,"BEST_EBIT","BEST_FPERIOD_OVERRIDE","27Y")</f>
        <v/>
      </c>
      <c r="AY104" s="43">
        <f>BDP($B$104,"BEST_EBIT","BEST_FPERIOD_OVERRIDE","28Y")</f>
        <v/>
      </c>
      <c r="AZ104" s="31" t="n"/>
      <c r="BA104" s="1">
        <f>C104+BD104</f>
        <v/>
      </c>
      <c r="BB104" s="42">
        <f>AB104-AD104</f>
        <v/>
      </c>
      <c r="BC104" s="42">
        <f>C104</f>
        <v/>
      </c>
      <c r="BD104" s="43">
        <f>BDP($B$104,"TRAIL_12M_EBITDA")</f>
        <v/>
      </c>
      <c r="BE104" s="43">
        <f>_xll.BDP("NOW US Equity","TRAIL_12M_EBITDA")</f>
        <v/>
      </c>
      <c r="BF104" s="1" t="n"/>
      <c r="BG104" s="1" t="n"/>
      <c r="BH104" s="1" t="n"/>
      <c r="BI104" s="1" t="n"/>
      <c r="BJ104" s="1" t="n"/>
      <c r="BK104" s="1" t="n"/>
      <c r="BL104" s="1" t="n"/>
      <c r="BM104" s="1" t="n"/>
      <c r="BN104" s="1" t="n"/>
      <c r="BO104" s="1" t="n"/>
      <c r="BP104" s="1" t="n"/>
      <c r="BQ104" s="1" t="n"/>
      <c r="BR104" s="1" t="n"/>
      <c r="BS104" s="1" t="n"/>
      <c r="BT104" s="1" t="n"/>
      <c r="BU104" s="1" t="n"/>
      <c r="BV104" s="1" t="n"/>
      <c r="BW104" s="1" t="n"/>
      <c r="BX104" s="1" t="n"/>
      <c r="BY104" s="1" t="n"/>
      <c r="BZ104" s="1" t="n"/>
      <c r="CA104" s="1" t="n"/>
      <c r="CB104" s="1" t="n"/>
      <c r="CC104" s="1" t="n"/>
      <c r="CD104" s="1" t="n"/>
      <c r="CE104" s="1" t="n"/>
      <c r="CF104" s="1" t="n"/>
      <c r="CG104" s="1" t="n"/>
    </row>
    <row r="105">
      <c r="A105" s="1" t="inlineStr">
        <is>
          <t>SHOP</t>
        </is>
      </c>
      <c r="B105" s="1" t="inlineStr">
        <is>
          <t>SHOP US Equity</t>
        </is>
      </c>
      <c r="C105" s="43">
        <f>BDP($B$105,"CUR_MKT_CAP")/1000000000</f>
        <v/>
      </c>
      <c r="D105" s="44">
        <f>BDP($B$105,"PX_LAST")</f>
        <v/>
      </c>
      <c r="E105" s="45">
        <f>IF(BDP($B$105,"BEST_EPS","BEST_FPERIOD_OVERRIDE","26Y")&lt;&gt;0,$D$105/BDP($B$105,"BEST_EPS","BEST_FPERIOD_OVERRIDE","26Y"),"")</f>
        <v/>
      </c>
      <c r="F105" s="45">
        <f>IF(BDP($B$105,"BEST_EPS","BEST_FPERIOD_OVERRIDE","27Y")&lt;&gt;0,$D$105/BDP($B$105,"BEST_EPS","BEST_FPERIOD_OVERRIDE","27Y"),"")</f>
        <v/>
      </c>
      <c r="G105" s="45">
        <f>IF(BDP($B$105,"BEST_EPS","BEST_FPERIOD_OVERRIDE","28Y")&lt;&gt;0,$D$105/BDP($B$105,"BEST_EPS","BEST_FPERIOD_OVERRIDE","28Y"),"")</f>
        <v/>
      </c>
      <c r="H105" s="46">
        <f>BDP($B$105,"NET_DEBT_TO_EBITDA")</f>
        <v/>
      </c>
      <c r="I105" s="43">
        <f>BDP($B$105,"BEST_SALES","BEST_FPERIOD_OVERRIDE","26Y")/1000</f>
        <v/>
      </c>
      <c r="J105" s="47">
        <f>IF(BDP($B$105,"BEST_SALES","BEST_FPERIOD_OVERRIDE","26Y")&lt;&gt;0,BDP($B$105,"BEST_EBIT","BEST_FPERIOD_OVERRIDE","26Y")/BDP($B$105,"BEST_SALES","BEST_FPERIOD_OVERRIDE","26Y"),"")</f>
        <v/>
      </c>
      <c r="K105" s="47">
        <f>BDP($B$105,"RETURN_ON_INV_CAPITAL")/100</f>
        <v/>
      </c>
      <c r="L105" s="47">
        <f>IF(AND(BDP($B$105,"BEST_SALES","BEST_FPERIOD_OVERRIDE","25Y")&gt;0,BDP($B$105,"BEST_SALES","BEST_FPERIOD_OVERRIDE","28Y")&gt;0),(BDP($B$105,"BEST_SALES","BEST_FPERIOD_OVERRIDE","28Y")/BDP($B$105,"BEST_SALES","BEST_FPERIOD_OVERRIDE","25Y"))^(1/3)-1,"")</f>
        <v/>
      </c>
      <c r="M105" s="47">
        <f>IF(AND(BDP($B$105,"BEST_EBIT","BEST_FPERIOD_OVERRIDE","25Y")&gt;0,BDP($B$105,"BEST_EBIT","BEST_FPERIOD_OVERRIDE","28Y")&gt;0),(BDP($B$105,"BEST_EBIT","BEST_FPERIOD_OVERRIDE","28Y")/BDP($B$105,"BEST_EBIT","BEST_FPERIOD_OVERRIDE","25Y"))^(1/3)-1,"")</f>
        <v/>
      </c>
      <c r="N105" s="47">
        <f>IF(AND(BDP($B$105,"BEST_EPS","BEST_FPERIOD_OVERRIDE","25Y")&gt;0,BDP($B$105,"BEST_EPS","BEST_FPERIOD_OVERRIDE","28Y")&gt;0),(BDP($B$105,"BEST_EPS","BEST_FPERIOD_OVERRIDE","28Y")/BDP($B$105,"BEST_EPS","BEST_FPERIOD_OVERRIDE","25Y"))^(1/3)-1,"")</f>
        <v/>
      </c>
      <c r="O105" s="1" t="n"/>
      <c r="P105" s="47">
        <f>BDP($B$105,"CHG_PCT_YTD")/100</f>
        <v/>
      </c>
      <c r="Q105" s="1" t="n"/>
      <c r="R105" s="1" t="n"/>
      <c r="S105" s="42">
        <f>IF(AND(E105&lt;&gt;"",N105&lt;&gt;"",N105&lt;&gt;0),E105/(N105*100),"")</f>
        <v/>
      </c>
      <c r="T105" s="1" t="n"/>
      <c r="U105" s="26" t="inlineStr">
        <is>
          <t>Dec</t>
        </is>
      </c>
      <c r="V105" s="1" t="n"/>
      <c r="W105" s="1" t="n"/>
      <c r="X105" s="1" t="n"/>
      <c r="Y105" s="1" t="n"/>
      <c r="Z105" s="1" t="n"/>
      <c r="AA105" s="48">
        <f>BDP($B$105,"TRAIL_12M_OPER_INC")</f>
        <v/>
      </c>
      <c r="AB105" s="43">
        <f>BDP($B$105,"SHORT_AND_LONG_TERM_DEBT")</f>
        <v/>
      </c>
      <c r="AC105" s="43">
        <f>BDP($B$105,"TOTAL_EQUITY")</f>
        <v/>
      </c>
      <c r="AD105" s="43">
        <f>BDP($B$105,"BS_CASH_NEAR_CASH_ITEM")</f>
        <v/>
      </c>
      <c r="AE105" s="43">
        <f>BDP($B$105,"BS_LT_INVEST")</f>
        <v/>
      </c>
      <c r="AF105" s="31">
        <f>AB105+AC105</f>
        <v/>
      </c>
      <c r="AG105" s="43">
        <f>BDP($B$105,"RETURN_ON_INV_CAPITAL")/100</f>
        <v/>
      </c>
      <c r="AH105" s="49" t="n"/>
      <c r="AI105" s="48">
        <f>BDP($B$105,"BEST_EPS","BEST_FPERIOD_OVERRIDE","24Y")</f>
        <v/>
      </c>
      <c r="AJ105" s="43">
        <f>BDP($B$105,"BEST_EPS","BEST_FPERIOD_OVERRIDE","25Y")</f>
        <v/>
      </c>
      <c r="AK105" s="43">
        <f>BDP($B$105,"BEST_EPS","BEST_FPERIOD_OVERRIDE","26Y")</f>
        <v/>
      </c>
      <c r="AL105" s="43">
        <f>BDP($B$105,"BEST_EPS","BEST_FPERIOD_OVERRIDE","27Y")</f>
        <v/>
      </c>
      <c r="AM105" s="43">
        <f>BDP($B$105,"BEST_EPS","BEST_FPERIOD_OVERRIDE","28Y")</f>
        <v/>
      </c>
      <c r="AN105" s="31" t="n"/>
      <c r="AO105" s="48">
        <f>BDP($B$105,"BEST_SALES","BEST_FPERIOD_OVERRIDE","24Y")</f>
        <v/>
      </c>
      <c r="AP105" s="43">
        <f>BDP($B$105,"BEST_SALES","BEST_FPERIOD_OVERRIDE","25Y")</f>
        <v/>
      </c>
      <c r="AQ105" s="43">
        <f>BDP($B$105,"BEST_SALES","BEST_FPERIOD_OVERRIDE","26Y")</f>
        <v/>
      </c>
      <c r="AR105" s="43">
        <f>BDP($B$105,"BEST_SALES","BEST_FPERIOD_OVERRIDE","27Y")</f>
        <v/>
      </c>
      <c r="AS105" s="43">
        <f>BDP($B$105,"BEST_SALES","BEST_FPERIOD_OVERRIDE","28Y")</f>
        <v/>
      </c>
      <c r="AT105" s="31" t="n"/>
      <c r="AU105" s="48">
        <f>BDP($B$105,"BEST_EBIT","BEST_FPERIOD_OVERRIDE","24Y")</f>
        <v/>
      </c>
      <c r="AV105" s="43">
        <f>BDP($B$105,"BEST_EBIT","BEST_FPERIOD_OVERRIDE","25Y")</f>
        <v/>
      </c>
      <c r="AW105" s="43">
        <f>BDP($B$105,"BEST_EBIT","BEST_FPERIOD_OVERRIDE","26Y")</f>
        <v/>
      </c>
      <c r="AX105" s="43">
        <f>BDP($B$105,"BEST_EBIT","BEST_FPERIOD_OVERRIDE","27Y")</f>
        <v/>
      </c>
      <c r="AY105" s="43">
        <f>BDP($B$105,"BEST_EBIT","BEST_FPERIOD_OVERRIDE","28Y")</f>
        <v/>
      </c>
      <c r="AZ105" s="31" t="n"/>
      <c r="BA105" s="1">
        <f>C105+BD105</f>
        <v/>
      </c>
      <c r="BB105" s="42">
        <f>AB105-AD105</f>
        <v/>
      </c>
      <c r="BC105" s="42">
        <f>C105</f>
        <v/>
      </c>
      <c r="BD105" s="43">
        <f>BDP($B$105,"TRAIL_12M_EBITDA")</f>
        <v/>
      </c>
      <c r="BE105" s="43">
        <f>_xll.BDP("SHOP US Equity","TRAIL_12M_EBITDA")</f>
        <v/>
      </c>
      <c r="BF105" s="1" t="n"/>
      <c r="BG105" s="1" t="n"/>
      <c r="BH105" s="1" t="n"/>
      <c r="BI105" s="1" t="n"/>
      <c r="BJ105" s="1" t="n"/>
      <c r="BK105" s="1" t="n"/>
      <c r="BL105" s="1" t="n"/>
      <c r="BM105" s="1" t="n"/>
      <c r="BN105" s="1" t="n"/>
      <c r="BO105" s="1" t="n"/>
      <c r="BP105" s="1" t="n"/>
      <c r="BQ105" s="1" t="n"/>
      <c r="BR105" s="1" t="n"/>
      <c r="BS105" s="1" t="n"/>
      <c r="BT105" s="1" t="n"/>
      <c r="BU105" s="1" t="n"/>
      <c r="BV105" s="1" t="n"/>
      <c r="BW105" s="1" t="n"/>
      <c r="BX105" s="1" t="n"/>
      <c r="BY105" s="1" t="n"/>
      <c r="BZ105" s="1" t="n"/>
      <c r="CA105" s="1" t="n"/>
      <c r="CB105" s="1" t="n"/>
      <c r="CC105" s="1" t="n"/>
      <c r="CD105" s="1" t="n"/>
      <c r="CE105" s="1" t="n"/>
      <c r="CF105" s="1" t="n"/>
      <c r="CG105" s="1" t="n"/>
    </row>
    <row r="106">
      <c r="A106" t="inlineStr">
        <is>
          <t>CRM</t>
        </is>
      </c>
      <c r="B106" t="inlineStr">
        <is>
          <t>CRM US Equity</t>
        </is>
      </c>
      <c r="C106" s="43">
        <f>BDP($B$106,"CUR_MKT_CAP")/1000000000</f>
        <v/>
      </c>
      <c r="D106" s="44">
        <f>BDP($B$106,"PX_LAST")</f>
        <v/>
      </c>
      <c r="E106" s="45">
        <f>IF(BDP($B$106,"BEST_EPS","BEST_FPERIOD_OVERRIDE","27Y")&lt;&gt;0,$D$106/BDP($B$106,"BEST_EPS","BEST_FPERIOD_OVERRIDE","27Y"),"")</f>
        <v/>
      </c>
      <c r="F106" s="45">
        <f>IF(BDP($B$106,"BEST_EPS","BEST_FPERIOD_OVERRIDE","28Y")&lt;&gt;0,$D$106/BDP($B$106,"BEST_EPS","BEST_FPERIOD_OVERRIDE","28Y"),"")</f>
        <v/>
      </c>
      <c r="G106" s="45">
        <f>IF(BDP($B$106,"BEST_EPS","BEST_FPERIOD_OVERRIDE","29Y")&lt;&gt;0,$D$106/BDP($B$106,"BEST_EPS","BEST_FPERIOD_OVERRIDE","29Y"),"")</f>
        <v/>
      </c>
      <c r="H106" s="46">
        <f>BDP($B$106,"NET_DEBT_TO_EBITDA")</f>
        <v/>
      </c>
      <c r="I106" s="43">
        <f>BDP($B$106,"BEST_SALES","BEST_FPERIOD_OVERRIDE","27Y")/1000</f>
        <v/>
      </c>
      <c r="J106" s="47">
        <f>IF(BDP($B$106,"BEST_SALES","BEST_FPERIOD_OVERRIDE","27Y")&lt;&gt;0,BDP($B$106,"BEST_EBIT","BEST_FPERIOD_OVERRIDE","27Y")/BDP($B$106,"BEST_SALES","BEST_FPERIOD_OVERRIDE","27Y"),"")</f>
        <v/>
      </c>
      <c r="K106" s="47">
        <f>BDP($B$106,"RETURN_ON_INV_CAPITAL")/100</f>
        <v/>
      </c>
      <c r="L106" s="47">
        <f>IF(AND(BDP($B$106,"BEST_SALES","BEST_FPERIOD_OVERRIDE","26Y")&gt;0,BDP($B$106,"BEST_SALES","BEST_FPERIOD_OVERRIDE","29Y")&gt;0),(BDP($B$106,"BEST_SALES","BEST_FPERIOD_OVERRIDE","29Y")/BDP($B$106,"BEST_SALES","BEST_FPERIOD_OVERRIDE","26Y"))^(1/3)-1,"")</f>
        <v/>
      </c>
      <c r="M106" s="47">
        <f>IF(AND(BDP($B$106,"BEST_EBIT","BEST_FPERIOD_OVERRIDE","26Y")&gt;0,BDP($B$106,"BEST_EBIT","BEST_FPERIOD_OVERRIDE","29Y")&gt;0),(BDP($B$106,"BEST_EBIT","BEST_FPERIOD_OVERRIDE","29Y")/BDP($B$106,"BEST_EBIT","BEST_FPERIOD_OVERRIDE","26Y"))^(1/3)-1,"")</f>
        <v/>
      </c>
      <c r="N106" s="47">
        <f>IF(AND(BDP($B$106,"BEST_EPS","BEST_FPERIOD_OVERRIDE","26Y")&gt;0,BDP($B$106,"BEST_EPS","BEST_FPERIOD_OVERRIDE","29Y")&gt;0),(BDP($B$106,"BEST_EPS","BEST_FPERIOD_OVERRIDE","29Y")/BDP($B$106,"BEST_EPS","BEST_FPERIOD_OVERRIDE","26Y"))^(1/3)-1,"")</f>
        <v/>
      </c>
      <c r="O106" s="1" t="n"/>
      <c r="P106" s="47">
        <f>BDP($B$106,"CHG_PCT_YTD")/100</f>
        <v/>
      </c>
      <c r="Q106" s="1" t="n"/>
      <c r="R106" s="1" t="n"/>
      <c r="S106" s="42">
        <f>IF(AND(E106&lt;&gt;"",N106&lt;&gt;"",N106&lt;&gt;0),E106/(N106*100),"")</f>
        <v/>
      </c>
      <c r="T106" s="1" t="n"/>
      <c r="U106" s="26" t="inlineStr">
        <is>
          <t>Jan</t>
        </is>
      </c>
      <c r="AA106" s="48">
        <f>BDP($B$106,"TRAIL_12M_OPER_INC")</f>
        <v/>
      </c>
      <c r="AB106" s="48">
        <f>BDP($B$106,"SHORT_AND_LONG_TERM_DEBT")</f>
        <v/>
      </c>
      <c r="AC106" s="48">
        <f>BDP($B$106,"TOTAL_EQUITY")</f>
        <v/>
      </c>
      <c r="AD106" s="48">
        <f>BDP($B$106,"BS_CASH_NEAR_CASH_ITEM")</f>
        <v/>
      </c>
      <c r="AE106" s="48">
        <f>BDP($B$106,"BS_LT_INVEST")</f>
        <v/>
      </c>
      <c r="AF106" s="36">
        <f>AB106+AC106</f>
        <v/>
      </c>
      <c r="AG106" s="48">
        <f>BDP($B$106,"RETURN_ON_INV_CAPITAL")/100</f>
        <v/>
      </c>
      <c r="AH106" s="36" t="n"/>
      <c r="AI106" s="48">
        <f>BDP($B$106,"BEST_EPS","BEST_FPERIOD_OVERRIDE","25Y")</f>
        <v/>
      </c>
      <c r="AJ106" s="48">
        <f>BDP($B$106,"BEST_EPS","BEST_FPERIOD_OVERRIDE","26Y")</f>
        <v/>
      </c>
      <c r="AK106" s="48">
        <f>BDP($B$106,"BEST_EPS","BEST_FPERIOD_OVERRIDE","27Y")</f>
        <v/>
      </c>
      <c r="AL106" s="48">
        <f>BDP($B$106,"BEST_EPS","BEST_FPERIOD_OVERRIDE","28Y")</f>
        <v/>
      </c>
      <c r="AM106" s="48">
        <f>BDP($B$106,"BEST_EPS","BEST_FPERIOD_OVERRIDE","29Y")</f>
        <v/>
      </c>
      <c r="AN106" s="36" t="n"/>
      <c r="AO106" s="48">
        <f>BDP($B$106,"BEST_SALES","BEST_FPERIOD_OVERRIDE","25Y")</f>
        <v/>
      </c>
      <c r="AP106" s="48">
        <f>BDP($B$106,"BEST_SALES","BEST_FPERIOD_OVERRIDE","26Y")</f>
        <v/>
      </c>
      <c r="AQ106" s="48">
        <f>BDP($B$106,"BEST_SALES","BEST_FPERIOD_OVERRIDE","27Y")</f>
        <v/>
      </c>
      <c r="AR106" s="48">
        <f>BDP($B$106,"BEST_SALES","BEST_FPERIOD_OVERRIDE","28Y")</f>
        <v/>
      </c>
      <c r="AS106" s="48">
        <f>BDP($B$106,"BEST_SALES","BEST_FPERIOD_OVERRIDE","29Y")</f>
        <v/>
      </c>
      <c r="AT106" s="36" t="n"/>
      <c r="AU106" s="48">
        <f>BDP($B$106,"BEST_EBIT","BEST_FPERIOD_OVERRIDE","25Y")</f>
        <v/>
      </c>
      <c r="AV106" s="48">
        <f>BDP($B$106,"BEST_EBIT","BEST_FPERIOD_OVERRIDE","26Y")</f>
        <v/>
      </c>
      <c r="AW106" s="48">
        <f>BDP($B$106,"BEST_EBIT","BEST_FPERIOD_OVERRIDE","27Y")</f>
        <v/>
      </c>
      <c r="AX106" s="48">
        <f>BDP($B$106,"BEST_EBIT","BEST_FPERIOD_OVERRIDE","28Y")</f>
        <v/>
      </c>
      <c r="AY106" s="48">
        <f>BDP($B$106,"BEST_EBIT","BEST_FPERIOD_OVERRIDE","29Y")</f>
        <v/>
      </c>
      <c r="AZ106" s="36" t="n"/>
      <c r="BA106">
        <f>C106+BD106</f>
        <v/>
      </c>
      <c r="BB106">
        <f>AB106-AD106</f>
        <v/>
      </c>
      <c r="BC106">
        <f>C106</f>
        <v/>
      </c>
      <c r="BD106" s="48">
        <f>BDP($B$106,"TRAIL_12M_EBITDA")</f>
        <v/>
      </c>
      <c r="BE106" s="48">
        <f>_xll.BDP("CRM US Equity","TRAIL_12M_EBITDA")</f>
        <v/>
      </c>
    </row>
    <row r="107">
      <c r="A107" t="inlineStr">
        <is>
          <t>ORCL</t>
        </is>
      </c>
      <c r="B107" t="inlineStr">
        <is>
          <t>ORCL US Equity</t>
        </is>
      </c>
      <c r="C107" s="43">
        <f>BDP($B$107,"CUR_MKT_CAP")/1000000000</f>
        <v/>
      </c>
      <c r="D107" s="44">
        <f>BDP($B$107,"PX_LAST")</f>
        <v/>
      </c>
      <c r="E107" s="45">
        <f>IF(BDP($B$107,"BEST_EPS","BEST_FPERIOD_OVERRIDE","26Y")&lt;&gt;0,$D$107/BDP($B$107,"BEST_EPS","BEST_FPERIOD_OVERRIDE","26Y"),"")</f>
        <v/>
      </c>
      <c r="F107" s="45">
        <f>IF(BDP($B$107,"BEST_EPS","BEST_FPERIOD_OVERRIDE","27Y")&lt;&gt;0,$D$107/BDP($B$107,"BEST_EPS","BEST_FPERIOD_OVERRIDE","27Y"),"")</f>
        <v/>
      </c>
      <c r="G107" s="45">
        <f>IF(BDP($B$107,"BEST_EPS","BEST_FPERIOD_OVERRIDE","28Y")&lt;&gt;0,$D$107/BDP($B$107,"BEST_EPS","BEST_FPERIOD_OVERRIDE","28Y"),"")</f>
        <v/>
      </c>
      <c r="H107" s="46">
        <f>BDP($B$107,"NET_DEBT_TO_EBITDA")</f>
        <v/>
      </c>
      <c r="I107" s="43">
        <f>BDP($B$107,"BEST_SALES","BEST_FPERIOD_OVERRIDE","26Y")/1000</f>
        <v/>
      </c>
      <c r="J107" s="47">
        <f>IF(BDP($B$107,"BEST_SALES","BEST_FPERIOD_OVERRIDE","26Y")&lt;&gt;0,BDP($B$107,"BEST_EBIT","BEST_FPERIOD_OVERRIDE","26Y")/BDP($B$107,"BEST_SALES","BEST_FPERIOD_OVERRIDE","26Y"),"")</f>
        <v/>
      </c>
      <c r="K107" s="47">
        <f>BDP($B$107,"RETURN_ON_INV_CAPITAL")/100</f>
        <v/>
      </c>
      <c r="L107" s="47">
        <f>IF(AND(BDP($B$107,"BEST_SALES","BEST_FPERIOD_OVERRIDE","25Y")&gt;0,BDP($B$107,"BEST_SALES","BEST_FPERIOD_OVERRIDE","28Y")&gt;0),(BDP($B$107,"BEST_SALES","BEST_FPERIOD_OVERRIDE","28Y")/BDP($B$107,"BEST_SALES","BEST_FPERIOD_OVERRIDE","25Y"))^(1/3)-1,"")</f>
        <v/>
      </c>
      <c r="M107" s="47">
        <f>IF(AND(BDP($B$107,"BEST_EBIT","BEST_FPERIOD_OVERRIDE","25Y")&gt;0,BDP($B$107,"BEST_EBIT","BEST_FPERIOD_OVERRIDE","28Y")&gt;0),(BDP($B$107,"BEST_EBIT","BEST_FPERIOD_OVERRIDE","28Y")/BDP($B$107,"BEST_EBIT","BEST_FPERIOD_OVERRIDE","25Y"))^(1/3)-1,"")</f>
        <v/>
      </c>
      <c r="N107" s="47">
        <f>IF(AND(BDP($B$107,"BEST_EPS","BEST_FPERIOD_OVERRIDE","25Y")&gt;0,BDP($B$107,"BEST_EPS","BEST_FPERIOD_OVERRIDE","28Y")&gt;0),(BDP($B$107,"BEST_EPS","BEST_FPERIOD_OVERRIDE","28Y")/BDP($B$107,"BEST_EPS","BEST_FPERIOD_OVERRIDE","25Y"))^(1/3)-1,"")</f>
        <v/>
      </c>
      <c r="O107" s="1" t="n"/>
      <c r="P107" s="47">
        <f>BDP($B$107,"CHG_PCT_YTD")/100</f>
        <v/>
      </c>
      <c r="Q107" s="1" t="n"/>
      <c r="R107" s="1" t="n"/>
      <c r="S107" s="42">
        <f>IF(AND(E107&lt;&gt;"",N107&lt;&gt;"",N107&lt;&gt;0),E107/(N107*100),"")</f>
        <v/>
      </c>
      <c r="T107" s="1" t="n"/>
      <c r="U107" s="26" t="inlineStr">
        <is>
          <t>May</t>
        </is>
      </c>
      <c r="AA107" s="48">
        <f>BDP($B$107,"TRAIL_12M_OPER_INC")</f>
        <v/>
      </c>
      <c r="AB107" s="48">
        <f>BDP($B$107,"SHORT_AND_LONG_TERM_DEBT")</f>
        <v/>
      </c>
      <c r="AC107" s="48">
        <f>BDP($B$107,"TOTAL_EQUITY")</f>
        <v/>
      </c>
      <c r="AD107" s="48">
        <f>BDP($B$107,"BS_CASH_NEAR_CASH_ITEM")</f>
        <v/>
      </c>
      <c r="AE107" s="48">
        <f>BDP($B$107,"BS_LT_INVEST")</f>
        <v/>
      </c>
      <c r="AF107" s="36">
        <f>AB107+AC107</f>
        <v/>
      </c>
      <c r="AG107" s="48">
        <f>BDP($B$107,"RETURN_ON_INV_CAPITAL")/100</f>
        <v/>
      </c>
      <c r="AH107" s="36" t="n"/>
      <c r="AI107" s="48">
        <f>BDP($B$107,"BEST_EPS","BEST_FPERIOD_OVERRIDE","24Y")</f>
        <v/>
      </c>
      <c r="AJ107" s="48">
        <f>BDP($B$107,"BEST_EPS","BEST_FPERIOD_OVERRIDE","25Y")</f>
        <v/>
      </c>
      <c r="AK107" s="48">
        <f>BDP($B$107,"BEST_EPS","BEST_FPERIOD_OVERRIDE","26Y")</f>
        <v/>
      </c>
      <c r="AL107" s="48">
        <f>BDP($B$107,"BEST_EPS","BEST_FPERIOD_OVERRIDE","27Y")</f>
        <v/>
      </c>
      <c r="AM107" s="48">
        <f>BDP($B$107,"BEST_EPS","BEST_FPERIOD_OVERRIDE","28Y")</f>
        <v/>
      </c>
      <c r="AN107" s="36" t="n"/>
      <c r="AO107" s="48">
        <f>BDP($B$107,"BEST_SALES","BEST_FPERIOD_OVERRIDE","24Y")</f>
        <v/>
      </c>
      <c r="AP107" s="48">
        <f>BDP($B$107,"BEST_SALES","BEST_FPERIOD_OVERRIDE","25Y")</f>
        <v/>
      </c>
      <c r="AQ107" s="48">
        <f>BDP($B$107,"BEST_SALES","BEST_FPERIOD_OVERRIDE","26Y")</f>
        <v/>
      </c>
      <c r="AR107" s="48">
        <f>BDP($B$107,"BEST_SALES","BEST_FPERIOD_OVERRIDE","27Y")</f>
        <v/>
      </c>
      <c r="AS107" s="48">
        <f>BDP($B$107,"BEST_SALES","BEST_FPERIOD_OVERRIDE","28Y")</f>
        <v/>
      </c>
      <c r="AT107" s="36" t="n"/>
      <c r="AU107" s="48">
        <f>BDP($B$107,"BEST_EBIT","BEST_FPERIOD_OVERRIDE","24Y")</f>
        <v/>
      </c>
      <c r="AV107" s="48">
        <f>BDP($B$107,"BEST_EBIT","BEST_FPERIOD_OVERRIDE","25Y")</f>
        <v/>
      </c>
      <c r="AW107" s="48">
        <f>BDP($B$107,"BEST_EBIT","BEST_FPERIOD_OVERRIDE","26Y")</f>
        <v/>
      </c>
      <c r="AX107" s="48">
        <f>BDP($B$107,"BEST_EBIT","BEST_FPERIOD_OVERRIDE","27Y")</f>
        <v/>
      </c>
      <c r="AY107" s="48">
        <f>BDP($B$107,"BEST_EBIT","BEST_FPERIOD_OVERRIDE","28Y")</f>
        <v/>
      </c>
      <c r="AZ107" s="36" t="n"/>
      <c r="BA107">
        <f>C107+BD107</f>
        <v/>
      </c>
      <c r="BB107">
        <f>AB107-AD107</f>
        <v/>
      </c>
      <c r="BC107">
        <f>C107</f>
        <v/>
      </c>
      <c r="BD107" s="48">
        <f>BDP($B$107,"TRAIL_12M_EBITDA")</f>
        <v/>
      </c>
      <c r="BE107" s="48">
        <f>_xll.BDP("ORCL US Equity","TRAIL_12M_EBITDA")</f>
        <v/>
      </c>
    </row>
    <row r="108">
      <c r="A108" t="inlineStr">
        <is>
          <t>PANW</t>
        </is>
      </c>
      <c r="B108" t="inlineStr">
        <is>
          <t>PANW US Equity</t>
        </is>
      </c>
      <c r="C108" s="43">
        <f>BDP($B$108,"CUR_MKT_CAP")/1000000000</f>
        <v/>
      </c>
      <c r="D108" s="44">
        <f>BDP($B$108,"PX_LAST")</f>
        <v/>
      </c>
      <c r="E108" s="45">
        <f>IF(BDP($B$108,"BEST_EPS","BEST_FPERIOD_OVERRIDE","26Y")&lt;&gt;0,$D$108/BDP($B$108,"BEST_EPS","BEST_FPERIOD_OVERRIDE","26Y"),"")</f>
        <v/>
      </c>
      <c r="F108" s="45">
        <f>IF(BDP($B$108,"BEST_EPS","BEST_FPERIOD_OVERRIDE","27Y")&lt;&gt;0,$D$108/BDP($B$108,"BEST_EPS","BEST_FPERIOD_OVERRIDE","27Y"),"")</f>
        <v/>
      </c>
      <c r="G108" s="45">
        <f>IF(BDP($B$108,"BEST_EPS","BEST_FPERIOD_OVERRIDE","28Y")&lt;&gt;0,$D$108/BDP($B$108,"BEST_EPS","BEST_FPERIOD_OVERRIDE","28Y"),"")</f>
        <v/>
      </c>
      <c r="H108" s="46">
        <f>BDP($B$108,"NET_DEBT_TO_EBITDA")</f>
        <v/>
      </c>
      <c r="I108" s="43">
        <f>BDP($B$108,"BEST_SALES","BEST_FPERIOD_OVERRIDE","26Y")/1000</f>
        <v/>
      </c>
      <c r="J108" s="47">
        <f>IF(BDP($B$108,"BEST_SALES","BEST_FPERIOD_OVERRIDE","26Y")&lt;&gt;0,BDP($B$108,"BEST_EBIT","BEST_FPERIOD_OVERRIDE","26Y")/BDP($B$108,"BEST_SALES","BEST_FPERIOD_OVERRIDE","26Y"),"")</f>
        <v/>
      </c>
      <c r="K108" s="47">
        <f>BDP($B$108,"RETURN_ON_INV_CAPITAL")/100</f>
        <v/>
      </c>
      <c r="L108" s="47">
        <f>IF(AND(BDP($B$108,"BEST_SALES","BEST_FPERIOD_OVERRIDE","25Y")&gt;0,BDP($B$108,"BEST_SALES","BEST_FPERIOD_OVERRIDE","28Y")&gt;0),(BDP($B$108,"BEST_SALES","BEST_FPERIOD_OVERRIDE","28Y")/BDP($B$108,"BEST_SALES","BEST_FPERIOD_OVERRIDE","25Y"))^(1/3)-1,"")</f>
        <v/>
      </c>
      <c r="M108" s="47">
        <f>IF(AND(BDP($B$108,"BEST_EBIT","BEST_FPERIOD_OVERRIDE","25Y")&gt;0,BDP($B$108,"BEST_EBIT","BEST_FPERIOD_OVERRIDE","28Y")&gt;0),(BDP($B$108,"BEST_EBIT","BEST_FPERIOD_OVERRIDE","28Y")/BDP($B$108,"BEST_EBIT","BEST_FPERIOD_OVERRIDE","25Y"))^(1/3)-1,"")</f>
        <v/>
      </c>
      <c r="N108" s="47">
        <f>IF(AND(BDP($B$108,"BEST_EPS","BEST_FPERIOD_OVERRIDE","25Y")&gt;0,BDP($B$108,"BEST_EPS","BEST_FPERIOD_OVERRIDE","28Y")&gt;0),(BDP($B$108,"BEST_EPS","BEST_FPERIOD_OVERRIDE","28Y")/BDP($B$108,"BEST_EPS","BEST_FPERIOD_OVERRIDE","25Y"))^(1/3)-1,"")</f>
        <v/>
      </c>
      <c r="O108" s="1" t="n"/>
      <c r="P108" s="47">
        <f>BDP($B$108,"CHG_PCT_YTD")/100</f>
        <v/>
      </c>
      <c r="Q108" s="1" t="n"/>
      <c r="R108" s="1" t="n"/>
      <c r="S108" s="42">
        <f>IF(AND(E108&lt;&gt;"",N108&lt;&gt;"",N108&lt;&gt;0),E108/(N108*100),"")</f>
        <v/>
      </c>
      <c r="T108" s="1" t="n"/>
      <c r="U108" s="26" t="inlineStr">
        <is>
          <t>Jul</t>
        </is>
      </c>
      <c r="AA108" s="48">
        <f>BDP($B$108,"TRAIL_12M_OPER_INC")</f>
        <v/>
      </c>
      <c r="AB108" s="48">
        <f>BDP($B$108,"SHORT_AND_LONG_TERM_DEBT")</f>
        <v/>
      </c>
      <c r="AC108" s="48">
        <f>BDP($B$108,"TOTAL_EQUITY")</f>
        <v/>
      </c>
      <c r="AD108" s="48">
        <f>BDP($B$108,"BS_CASH_NEAR_CASH_ITEM")</f>
        <v/>
      </c>
      <c r="AE108" s="48">
        <f>BDP($B$108,"BS_LT_INVEST")</f>
        <v/>
      </c>
      <c r="AF108" s="36">
        <f>AB108+AC108</f>
        <v/>
      </c>
      <c r="AG108" s="48">
        <f>BDP($B$108,"RETURN_ON_INV_CAPITAL")/100</f>
        <v/>
      </c>
      <c r="AH108" s="36" t="n"/>
      <c r="AI108" s="48">
        <f>BDP($B$108,"BEST_EPS","BEST_FPERIOD_OVERRIDE","24Y")</f>
        <v/>
      </c>
      <c r="AJ108" s="48">
        <f>BDP($B$108,"BEST_EPS","BEST_FPERIOD_OVERRIDE","25Y")</f>
        <v/>
      </c>
      <c r="AK108" s="48">
        <f>BDP($B$108,"BEST_EPS","BEST_FPERIOD_OVERRIDE","26Y")</f>
        <v/>
      </c>
      <c r="AL108" s="48">
        <f>BDP($B$108,"BEST_EPS","BEST_FPERIOD_OVERRIDE","27Y")</f>
        <v/>
      </c>
      <c r="AM108" s="48">
        <f>BDP($B$108,"BEST_EPS","BEST_FPERIOD_OVERRIDE","28Y")</f>
        <v/>
      </c>
      <c r="AN108" s="36" t="n"/>
      <c r="AO108" s="48">
        <f>BDP($B$108,"BEST_SALES","BEST_FPERIOD_OVERRIDE","24Y")</f>
        <v/>
      </c>
      <c r="AP108" s="48">
        <f>BDP($B$108,"BEST_SALES","BEST_FPERIOD_OVERRIDE","25Y")</f>
        <v/>
      </c>
      <c r="AQ108" s="48">
        <f>BDP($B$108,"BEST_SALES","BEST_FPERIOD_OVERRIDE","26Y")</f>
        <v/>
      </c>
      <c r="AR108" s="48">
        <f>BDP($B$108,"BEST_SALES","BEST_FPERIOD_OVERRIDE","27Y")</f>
        <v/>
      </c>
      <c r="AS108" s="48">
        <f>BDP($B$108,"BEST_SALES","BEST_FPERIOD_OVERRIDE","28Y")</f>
        <v/>
      </c>
      <c r="AT108" s="36" t="n"/>
      <c r="AU108" s="48">
        <f>BDP($B$108,"BEST_EBIT","BEST_FPERIOD_OVERRIDE","24Y")</f>
        <v/>
      </c>
      <c r="AV108" s="48">
        <f>BDP($B$108,"BEST_EBIT","BEST_FPERIOD_OVERRIDE","25Y")</f>
        <v/>
      </c>
      <c r="AW108" s="48">
        <f>BDP($B$108,"BEST_EBIT","BEST_FPERIOD_OVERRIDE","26Y")</f>
        <v/>
      </c>
      <c r="AX108" s="48">
        <f>BDP($B$108,"BEST_EBIT","BEST_FPERIOD_OVERRIDE","27Y")</f>
        <v/>
      </c>
      <c r="AY108" s="48">
        <f>BDP($B$108,"BEST_EBIT","BEST_FPERIOD_OVERRIDE","28Y")</f>
        <v/>
      </c>
      <c r="AZ108" s="36" t="n"/>
      <c r="BA108">
        <f>C108+BD108</f>
        <v/>
      </c>
      <c r="BB108">
        <f>AB108-AD108</f>
        <v/>
      </c>
      <c r="BC108">
        <f>C108</f>
        <v/>
      </c>
      <c r="BD108" s="48">
        <f>BDP($B$108,"TRAIL_12M_EBITDA")</f>
        <v/>
      </c>
      <c r="BE108" s="48">
        <f>_xll.BDP("PANW US Equity","TRAIL_12M_EBITDA")</f>
        <v/>
      </c>
    </row>
    <row r="109">
      <c r="C109" s="31" t="n"/>
      <c r="D109" s="57" t="n"/>
      <c r="E109" s="51">
        <f>AVERAGE(E94:E108)</f>
        <v/>
      </c>
      <c r="F109" s="51">
        <f>AVERAGE(F94:F108)</f>
        <v/>
      </c>
      <c r="G109" s="51">
        <f>AVERAGE(G94:G108)</f>
        <v/>
      </c>
      <c r="H109" s="52">
        <f>AVERAGE(H94:H108)</f>
        <v/>
      </c>
      <c r="I109" s="53" t="n"/>
      <c r="J109" s="54">
        <f>AVERAGE(J94:J108)</f>
        <v/>
      </c>
      <c r="K109" s="54">
        <f>AVERAGE(K94:K108)</f>
        <v/>
      </c>
      <c r="L109" s="54">
        <f>AVERAGE(L94:L108)</f>
        <v/>
      </c>
      <c r="M109" s="54">
        <f>AVERAGE(M94:M108)</f>
        <v/>
      </c>
      <c r="N109" s="54">
        <f>AVERAGE(N94:N108)</f>
        <v/>
      </c>
      <c r="O109" s="1" t="n"/>
      <c r="P109" s="49" t="n"/>
      <c r="Q109" s="1" t="n"/>
      <c r="R109" s="1" t="n"/>
      <c r="S109" s="42" t="n"/>
      <c r="T109" s="1" t="n"/>
      <c r="U109" s="26" t="n"/>
      <c r="AB109" s="36" t="n"/>
      <c r="AC109" s="36" t="n"/>
      <c r="AD109" s="36" t="n"/>
      <c r="AE109" s="36" t="n"/>
      <c r="AF109" s="36" t="n"/>
      <c r="AH109" s="36" t="n"/>
      <c r="AJ109" s="36" t="n"/>
      <c r="AK109" s="36" t="n"/>
      <c r="AL109" s="36" t="n"/>
      <c r="AM109" s="36" t="n"/>
      <c r="AN109" s="36" t="n"/>
      <c r="AP109" s="36" t="n"/>
      <c r="AQ109" s="36" t="n"/>
      <c r="AR109" s="36" t="n"/>
      <c r="AS109" s="36" t="n"/>
      <c r="AT109" s="36" t="n"/>
      <c r="AV109" s="36" t="n"/>
      <c r="AW109" s="36" t="n"/>
      <c r="AX109" s="36" t="n"/>
      <c r="AY109" s="36" t="n"/>
      <c r="AZ109" s="36" t="n"/>
      <c r="BE109" s="36" t="n"/>
    </row>
    <row r="110">
      <c r="C110" s="31" t="n"/>
      <c r="D110" s="57" t="n"/>
      <c r="E110" s="61" t="n"/>
      <c r="F110" s="61" t="n"/>
      <c r="G110" s="61" t="n"/>
      <c r="H110" s="62" t="n"/>
      <c r="I110" s="31" t="n"/>
      <c r="J110" s="49" t="n"/>
      <c r="K110" s="49" t="n"/>
      <c r="L110" s="49" t="n"/>
      <c r="M110" s="49" t="n"/>
      <c r="N110" s="49" t="n"/>
      <c r="O110" s="1" t="n"/>
      <c r="P110" s="49" t="n"/>
      <c r="Q110" s="1" t="n"/>
      <c r="R110" s="1" t="n"/>
      <c r="S110" s="42" t="n"/>
      <c r="T110" s="1" t="n"/>
      <c r="U110" s="26" t="n"/>
      <c r="AB110" s="36" t="n"/>
      <c r="AC110" s="36" t="n"/>
      <c r="AD110" s="36" t="n"/>
      <c r="AE110" s="36" t="n"/>
      <c r="AF110" s="36" t="n"/>
      <c r="AH110" s="36" t="n"/>
      <c r="AJ110" s="36" t="n"/>
      <c r="AK110" s="36" t="n"/>
      <c r="AL110" s="36" t="n"/>
      <c r="AM110" s="36" t="n"/>
      <c r="AN110" s="36" t="n"/>
      <c r="AP110" s="36" t="n"/>
      <c r="AQ110" s="36" t="n"/>
      <c r="AR110" s="36" t="n"/>
      <c r="AS110" s="36" t="n"/>
      <c r="AT110" s="36" t="n"/>
      <c r="AV110" s="36" t="n"/>
      <c r="AW110" s="36" t="n"/>
      <c r="AX110" s="36" t="n"/>
      <c r="AY110" s="36" t="n"/>
      <c r="AZ110" s="36" t="n"/>
      <c r="BE110" s="36" t="n"/>
    </row>
    <row r="111">
      <c r="A111" s="3" t="inlineStr">
        <is>
          <t>ASICs/networking</t>
        </is>
      </c>
      <c r="B111" s="1" t="n"/>
      <c r="C111" s="43" t="n"/>
      <c r="D111" s="48" t="n"/>
      <c r="E111" s="48" t="n"/>
      <c r="F111" s="48" t="n"/>
      <c r="G111" s="48" t="n"/>
      <c r="H111" s="48" t="n"/>
      <c r="I111" s="48" t="n"/>
      <c r="J111" s="48" t="n"/>
      <c r="K111" s="48" t="n"/>
      <c r="L111" s="48" t="n"/>
      <c r="M111" s="48" t="n"/>
      <c r="N111" s="48" t="n"/>
      <c r="O111" s="1" t="n"/>
      <c r="P111" s="48" t="n"/>
      <c r="Q111" s="1" t="n"/>
      <c r="R111" s="1" t="n"/>
      <c r="S111" s="1">
        <f>IF(AND(E111&lt;&gt;"",N111&lt;&gt;"",N111&lt;&gt;0),E111/(N111*100),"")</f>
        <v/>
      </c>
      <c r="T111" s="1" t="n"/>
      <c r="U111" s="24" t="inlineStr">
        <is>
          <t>Dec</t>
        </is>
      </c>
      <c r="V111" s="1" t="n"/>
      <c r="W111" s="1" t="n"/>
      <c r="X111" s="1" t="n"/>
      <c r="Y111" s="1" t="n"/>
      <c r="Z111" s="1" t="n"/>
      <c r="AA111" s="48" t="n"/>
      <c r="AB111" s="48" t="n"/>
      <c r="AC111" s="48" t="n"/>
      <c r="AD111" s="48" t="n"/>
      <c r="AE111" s="48" t="n"/>
      <c r="AF111" s="1">
        <f>AB111+AC111</f>
        <v/>
      </c>
      <c r="AG111" s="48" t="n"/>
      <c r="AH111" s="1" t="n"/>
      <c r="AI111" s="48" t="n"/>
      <c r="AJ111" s="48" t="n"/>
      <c r="AK111" s="48" t="n"/>
      <c r="AL111" s="48" t="n"/>
      <c r="AM111" s="48" t="n"/>
      <c r="AN111" s="1" t="n"/>
      <c r="AO111" s="48" t="n"/>
      <c r="AP111" s="48" t="n"/>
      <c r="AQ111" s="48" t="n"/>
      <c r="AR111" s="48" t="n"/>
      <c r="AS111" s="48" t="n"/>
      <c r="AT111" s="1" t="n"/>
      <c r="AU111" s="48" t="n"/>
      <c r="AV111" s="48" t="n"/>
      <c r="AW111" s="48" t="n"/>
      <c r="AX111" s="48" t="n"/>
      <c r="AY111" s="48" t="n"/>
      <c r="AZ111" s="1" t="n"/>
      <c r="BA111" s="1">
        <f>C111+BD111</f>
        <v/>
      </c>
      <c r="BB111" s="1">
        <f>AB111-AD111</f>
        <v/>
      </c>
      <c r="BC111" s="1">
        <f>C111</f>
        <v/>
      </c>
      <c r="BD111" s="48" t="n"/>
      <c r="BE111" s="1" t="n"/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</row>
    <row r="112">
      <c r="A112" s="1" t="inlineStr">
        <is>
          <t>AVGO</t>
        </is>
      </c>
      <c r="B112" s="1" t="inlineStr">
        <is>
          <t>AVGO UW Equity</t>
        </is>
      </c>
      <c r="C112" s="43">
        <f>BDP($B$112,"CUR_MKT_CAP")/1000000000</f>
        <v/>
      </c>
      <c r="D112" s="44">
        <f>BDP($B$112,"PX_LAST")</f>
        <v/>
      </c>
      <c r="E112" s="45">
        <f>IF(BDP($B$112,"BEST_EPS","BEST_FPERIOD_OVERRIDE","26Y")&lt;&gt;0,$D$112/BDP($B$112,"BEST_EPS","BEST_FPERIOD_OVERRIDE","26Y"),"")</f>
        <v/>
      </c>
      <c r="F112" s="45">
        <f>IF(BDP($B$112,"BEST_EPS","BEST_FPERIOD_OVERRIDE","27Y")&lt;&gt;0,$D$112/BDP($B$112,"BEST_EPS","BEST_FPERIOD_OVERRIDE","27Y"),"")</f>
        <v/>
      </c>
      <c r="G112" s="45">
        <f>IF(BDP($B$112,"BEST_EPS","BEST_FPERIOD_OVERRIDE","28Y")&lt;&gt;0,$D$112/BDP($B$112,"BEST_EPS","BEST_FPERIOD_OVERRIDE","28Y"),"")</f>
        <v/>
      </c>
      <c r="H112" s="46">
        <f>BDP($B$112,"NET_DEBT_TO_EBITDA")</f>
        <v/>
      </c>
      <c r="I112" s="43">
        <f>BDP($B$112,"BEST_SALES","BEST_FPERIOD_OVERRIDE","26Y")/1000</f>
        <v/>
      </c>
      <c r="J112" s="47">
        <f>IF(BDP($B$112,"BEST_SALES","BEST_FPERIOD_OVERRIDE","26Y")&lt;&gt;0,BDP($B$112,"BEST_EBIT","BEST_FPERIOD_OVERRIDE","26Y")/BDP($B$112,"BEST_SALES","BEST_FPERIOD_OVERRIDE","26Y"),"")</f>
        <v/>
      </c>
      <c r="K112" s="47">
        <f>BDP($B$112,"RETURN_ON_INV_CAPITAL")/100</f>
        <v/>
      </c>
      <c r="L112" s="47">
        <f>IF(AND(BDP($B$112,"BEST_SALES","BEST_FPERIOD_OVERRIDE","25Y")&gt;0,BDP($B$112,"BEST_SALES","BEST_FPERIOD_OVERRIDE","28Y")&gt;0),(BDP($B$112,"BEST_SALES","BEST_FPERIOD_OVERRIDE","28Y")/BDP($B$112,"BEST_SALES","BEST_FPERIOD_OVERRIDE","25Y"))^(1/3)-1,"")</f>
        <v/>
      </c>
      <c r="M112" s="47">
        <f>IF(AND(BDP($B$112,"BEST_EBIT","BEST_FPERIOD_OVERRIDE","25Y")&gt;0,BDP($B$112,"BEST_EBIT","BEST_FPERIOD_OVERRIDE","28Y")&gt;0),(BDP($B$112,"BEST_EBIT","BEST_FPERIOD_OVERRIDE","28Y")/BDP($B$112,"BEST_EBIT","BEST_FPERIOD_OVERRIDE","25Y"))^(1/3)-1,"")</f>
        <v/>
      </c>
      <c r="N112" s="47">
        <f>IF(AND(BDP($B$112,"BEST_EPS","BEST_FPERIOD_OVERRIDE","25Y")&gt;0,BDP($B$112,"BEST_EPS","BEST_FPERIOD_OVERRIDE","28Y")&gt;0),(BDP($B$112,"BEST_EPS","BEST_FPERIOD_OVERRIDE","28Y")/BDP($B$112,"BEST_EPS","BEST_FPERIOD_OVERRIDE","25Y"))^(1/3)-1,"")</f>
        <v/>
      </c>
      <c r="O112" s="1" t="n"/>
      <c r="P112" s="47">
        <f>BDP($B$112,"CHG_PCT_YTD")/100</f>
        <v/>
      </c>
      <c r="Q112" s="1" t="n"/>
      <c r="R112" s="1" t="n"/>
      <c r="S112" s="42">
        <f>IF(AND(E112&lt;&gt;"",N112&lt;&gt;"",N112&lt;&gt;0),E112/(N112*100),"")</f>
        <v/>
      </c>
      <c r="T112" s="1" t="n"/>
      <c r="U112" s="26" t="inlineStr">
        <is>
          <t>Oct</t>
        </is>
      </c>
      <c r="V112" s="1" t="n"/>
      <c r="W112" s="1" t="n"/>
      <c r="X112" s="1" t="n"/>
      <c r="Y112" s="1" t="n"/>
      <c r="Z112" s="1" t="n"/>
      <c r="AA112" s="47">
        <f>BDP($B$112,"TRAIL_12M_OPER_INC")</f>
        <v/>
      </c>
      <c r="AB112" s="43">
        <f>BDP($B$112,"SHORT_AND_LONG_TERM_DEBT")</f>
        <v/>
      </c>
      <c r="AC112" s="43">
        <f>BDP($B$112,"TOTAL_EQUITY")</f>
        <v/>
      </c>
      <c r="AD112" s="43">
        <f>BDP($B$112,"BS_CASH_NEAR_CASH_ITEM")</f>
        <v/>
      </c>
      <c r="AE112" s="43">
        <f>BDP($B$112,"BS_LT_INVEST")</f>
        <v/>
      </c>
      <c r="AF112" s="31">
        <f>AB112+AC112</f>
        <v/>
      </c>
      <c r="AG112" s="43">
        <f>BDP($B$112,"RETURN_ON_INV_CAPITAL")/100</f>
        <v/>
      </c>
      <c r="AH112" s="49" t="n"/>
      <c r="AI112" s="48">
        <f>BDP($B$112,"BEST_EPS","BEST_FPERIOD_OVERRIDE","24Y")</f>
        <v/>
      </c>
      <c r="AJ112" s="43">
        <f>BDP($B$112,"BEST_EPS","BEST_FPERIOD_OVERRIDE","25Y")</f>
        <v/>
      </c>
      <c r="AK112" s="43">
        <f>BDP($B$112,"BEST_EPS","BEST_FPERIOD_OVERRIDE","26Y")</f>
        <v/>
      </c>
      <c r="AL112" s="43">
        <f>BDP($B$112,"BEST_EPS","BEST_FPERIOD_OVERRIDE","27Y")</f>
        <v/>
      </c>
      <c r="AM112" s="43">
        <f>BDP($B$112,"BEST_EPS","BEST_FPERIOD_OVERRIDE","28Y")</f>
        <v/>
      </c>
      <c r="AN112" s="31" t="n"/>
      <c r="AO112" s="43">
        <f>BDP($B$112,"BEST_SALES","BEST_FPERIOD_OVERRIDE","24Y")</f>
        <v/>
      </c>
      <c r="AP112" s="43">
        <f>BDP($B$112,"BEST_SALES","BEST_FPERIOD_OVERRIDE","25Y")</f>
        <v/>
      </c>
      <c r="AQ112" s="43">
        <f>BDP($B$112,"BEST_SALES","BEST_FPERIOD_OVERRIDE","26Y")</f>
        <v/>
      </c>
      <c r="AR112" s="43">
        <f>BDP($B$112,"BEST_SALES","BEST_FPERIOD_OVERRIDE","27Y")</f>
        <v/>
      </c>
      <c r="AS112" s="43">
        <f>BDP($B$112,"BEST_SALES","BEST_FPERIOD_OVERRIDE","28Y")</f>
        <v/>
      </c>
      <c r="AT112" s="31" t="n"/>
      <c r="AU112" s="48">
        <f>BDP($B$112,"BEST_EBIT","BEST_FPERIOD_OVERRIDE","24Y")</f>
        <v/>
      </c>
      <c r="AV112" s="43">
        <f>BDP($B$112,"BEST_EBIT","BEST_FPERIOD_OVERRIDE","25Y")</f>
        <v/>
      </c>
      <c r="AW112" s="43">
        <f>BDP($B$112,"BEST_EBIT","BEST_FPERIOD_OVERRIDE","26Y")</f>
        <v/>
      </c>
      <c r="AX112" s="43">
        <f>BDP($B$112,"BEST_EBIT","BEST_FPERIOD_OVERRIDE","27Y")</f>
        <v/>
      </c>
      <c r="AY112" s="43">
        <f>BDP($B$112,"BEST_EBIT","BEST_FPERIOD_OVERRIDE","28Y")</f>
        <v/>
      </c>
      <c r="AZ112" s="31" t="n"/>
      <c r="BA112" s="1">
        <f>C112+BD112</f>
        <v/>
      </c>
      <c r="BB112" s="42">
        <f>AB112-AD112</f>
        <v/>
      </c>
      <c r="BC112" s="42">
        <f>C112</f>
        <v/>
      </c>
      <c r="BD112" s="43">
        <f>BDP($B$112,"TRAIL_12M_EBITDA")</f>
        <v/>
      </c>
      <c r="BE112" s="43">
        <f>_xll.BDP("AVGO UW Equity","TRAIL_12M_EBITDA")</f>
        <v/>
      </c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</row>
    <row r="113">
      <c r="A113" s="1" t="inlineStr">
        <is>
          <t>MRVL</t>
        </is>
      </c>
      <c r="B113" s="1" t="inlineStr">
        <is>
          <t>MRVL UW Equity</t>
        </is>
      </c>
      <c r="C113" s="43">
        <f>BDP($B$113,"CUR_MKT_CAP")/1000000000</f>
        <v/>
      </c>
      <c r="D113" s="44">
        <f>BDP($B$113,"PX_LAST")</f>
        <v/>
      </c>
      <c r="E113" s="45">
        <f>IF(BDP($B$113,"BEST_EPS","BEST_FPERIOD_OVERRIDE","27Y")&lt;&gt;0,$D$113/BDP($B$113,"BEST_EPS","BEST_FPERIOD_OVERRIDE","27Y"),"")</f>
        <v/>
      </c>
      <c r="F113" s="45">
        <f>IF(BDP($B$113,"BEST_EPS","BEST_FPERIOD_OVERRIDE","28Y")&lt;&gt;0,$D$113/BDP($B$113,"BEST_EPS","BEST_FPERIOD_OVERRIDE","28Y"),"")</f>
        <v/>
      </c>
      <c r="G113" s="45">
        <f>IF(BDP($B$113,"BEST_EPS","BEST_FPERIOD_OVERRIDE","29Y")&lt;&gt;0,$D$113/BDP($B$113,"BEST_EPS","BEST_FPERIOD_OVERRIDE","29Y"),"")</f>
        <v/>
      </c>
      <c r="H113" s="46">
        <f>BDP($B$113,"NET_DEBT_TO_EBITDA")</f>
        <v/>
      </c>
      <c r="I113" s="43">
        <f>BDP($B$113,"BEST_SALES","BEST_FPERIOD_OVERRIDE","27Y")/1000</f>
        <v/>
      </c>
      <c r="J113" s="47">
        <f>IF(BDP($B$113,"BEST_SALES","BEST_FPERIOD_OVERRIDE","27Y")&lt;&gt;0,BDP($B$113,"BEST_EBIT","BEST_FPERIOD_OVERRIDE","27Y")/BDP($B$113,"BEST_SALES","BEST_FPERIOD_OVERRIDE","27Y"),"")</f>
        <v/>
      </c>
      <c r="K113" s="47">
        <f>BDP($B$113,"RETURN_ON_INV_CAPITAL")/100</f>
        <v/>
      </c>
      <c r="L113" s="47">
        <f>IF(AND(BDP($B$113,"BEST_SALES","BEST_FPERIOD_OVERRIDE","26Y")&gt;0,BDP($B$113,"BEST_SALES","BEST_FPERIOD_OVERRIDE","29Y")&gt;0),(BDP($B$113,"BEST_SALES","BEST_FPERIOD_OVERRIDE","29Y")/BDP($B$113,"BEST_SALES","BEST_FPERIOD_OVERRIDE","26Y"))^(1/3)-1,"")</f>
        <v/>
      </c>
      <c r="M113" s="47">
        <f>IF(AND(BDP($B$113,"BEST_EBIT","BEST_FPERIOD_OVERRIDE","26Y")&gt;0,BDP($B$113,"BEST_EBIT","BEST_FPERIOD_OVERRIDE","29Y")&gt;0),(BDP($B$113,"BEST_EBIT","BEST_FPERIOD_OVERRIDE","29Y")/BDP($B$113,"BEST_EBIT","BEST_FPERIOD_OVERRIDE","26Y"))^(1/3)-1,"")</f>
        <v/>
      </c>
      <c r="N113" s="47">
        <f>IF(AND(BDP($B$113,"BEST_EPS","BEST_FPERIOD_OVERRIDE","26Y")&gt;0,BDP($B$113,"BEST_EPS","BEST_FPERIOD_OVERRIDE","29Y")&gt;0),(BDP($B$113,"BEST_EPS","BEST_FPERIOD_OVERRIDE","29Y")/BDP($B$113,"BEST_EPS","BEST_FPERIOD_OVERRIDE","26Y"))^(1/3)-1,"")</f>
        <v/>
      </c>
      <c r="O113" s="1" t="n"/>
      <c r="P113" s="47">
        <f>BDP($B$113,"CHG_PCT_YTD")/100</f>
        <v/>
      </c>
      <c r="Q113" s="1" t="n"/>
      <c r="R113" s="1" t="n"/>
      <c r="S113" s="42">
        <f>IF(AND(E113&lt;&gt;"",N113&lt;&gt;"",N113&lt;&gt;0),E113/(N113*100),"")</f>
        <v/>
      </c>
      <c r="T113" s="1" t="n"/>
      <c r="U113" s="26" t="inlineStr">
        <is>
          <t>Jan</t>
        </is>
      </c>
      <c r="V113" s="1" t="n"/>
      <c r="W113" s="1" t="n"/>
      <c r="X113" s="1" t="n"/>
      <c r="Y113" s="1" t="n"/>
      <c r="Z113" s="1" t="n"/>
      <c r="AA113" s="47">
        <f>BDP($B$113,"TRAIL_12M_OPER_INC")</f>
        <v/>
      </c>
      <c r="AB113" s="43">
        <f>BDP($B$113,"SHORT_AND_LONG_TERM_DEBT")</f>
        <v/>
      </c>
      <c r="AC113" s="43">
        <f>BDP($B$113,"TOTAL_EQUITY")</f>
        <v/>
      </c>
      <c r="AD113" s="43">
        <f>BDP($B$113,"BS_CASH_NEAR_CASH_ITEM")</f>
        <v/>
      </c>
      <c r="AE113" s="43">
        <f>BDP($B$113,"BS_LT_INVEST")</f>
        <v/>
      </c>
      <c r="AF113" s="31">
        <f>AB113+AC113</f>
        <v/>
      </c>
      <c r="AG113" s="43">
        <f>BDP($B$113,"RETURN_ON_INV_CAPITAL")/100</f>
        <v/>
      </c>
      <c r="AH113" s="49" t="n"/>
      <c r="AI113" s="48">
        <f>BDP($B$113,"BEST_EPS","BEST_FPERIOD_OVERRIDE","25Y")</f>
        <v/>
      </c>
      <c r="AJ113" s="43">
        <f>BDP($B$113,"BEST_EPS","BEST_FPERIOD_OVERRIDE","26Y")</f>
        <v/>
      </c>
      <c r="AK113" s="43">
        <f>BDP($B$113,"BEST_EPS","BEST_FPERIOD_OVERRIDE","27Y")</f>
        <v/>
      </c>
      <c r="AL113" s="43">
        <f>BDP($B$113,"BEST_EPS","BEST_FPERIOD_OVERRIDE","28Y")</f>
        <v/>
      </c>
      <c r="AM113" s="43">
        <f>BDP($B$113,"BEST_EPS","BEST_FPERIOD_OVERRIDE","29Y")</f>
        <v/>
      </c>
      <c r="AN113" s="31" t="n"/>
      <c r="AO113" s="43">
        <f>BDP($B$113,"BEST_SALES","BEST_FPERIOD_OVERRIDE","25Y")</f>
        <v/>
      </c>
      <c r="AP113" s="43">
        <f>BDP($B$113,"BEST_SALES","BEST_FPERIOD_OVERRIDE","26Y")</f>
        <v/>
      </c>
      <c r="AQ113" s="43">
        <f>BDP($B$113,"BEST_SALES","BEST_FPERIOD_OVERRIDE","27Y")</f>
        <v/>
      </c>
      <c r="AR113" s="43">
        <f>BDP($B$113,"BEST_SALES","BEST_FPERIOD_OVERRIDE","28Y")</f>
        <v/>
      </c>
      <c r="AS113" s="43">
        <f>BDP($B$113,"BEST_SALES","BEST_FPERIOD_OVERRIDE","29Y")</f>
        <v/>
      </c>
      <c r="AT113" s="31" t="n"/>
      <c r="AU113" s="48">
        <f>BDP($B$113,"BEST_EBIT","BEST_FPERIOD_OVERRIDE","25Y")</f>
        <v/>
      </c>
      <c r="AV113" s="43">
        <f>BDP($B$113,"BEST_EBIT","BEST_FPERIOD_OVERRIDE","26Y")</f>
        <v/>
      </c>
      <c r="AW113" s="43">
        <f>BDP($B$113,"BEST_EBIT","BEST_FPERIOD_OVERRIDE","27Y")</f>
        <v/>
      </c>
      <c r="AX113" s="43">
        <f>BDP($B$113,"BEST_EBIT","BEST_FPERIOD_OVERRIDE","28Y")</f>
        <v/>
      </c>
      <c r="AY113" s="43">
        <f>BDP($B$113,"BEST_EBIT","BEST_FPERIOD_OVERRIDE","29Y")</f>
        <v/>
      </c>
      <c r="AZ113" s="31" t="n"/>
      <c r="BA113" s="1">
        <f>C113+BD113</f>
        <v/>
      </c>
      <c r="BB113" s="42">
        <f>AB113-AD113</f>
        <v/>
      </c>
      <c r="BC113" s="42">
        <f>C113</f>
        <v/>
      </c>
      <c r="BD113" s="43">
        <f>BDP($B$113,"TRAIL_12M_EBITDA")</f>
        <v/>
      </c>
      <c r="BE113" s="43">
        <f>_xll.BDP("MRVL UW Equity","TRAIL_12M_EBITDA")</f>
        <v/>
      </c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</row>
    <row r="114">
      <c r="A114" s="1" t="inlineStr">
        <is>
          <t>ANET</t>
        </is>
      </c>
      <c r="B114" s="1" t="inlineStr">
        <is>
          <t>ANET US Equity</t>
        </is>
      </c>
      <c r="C114" s="43">
        <f>BDP($B$114,"CUR_MKT_CAP")/1000000000</f>
        <v/>
      </c>
      <c r="D114" s="44">
        <f>BDP($B$114,"PX_LAST")</f>
        <v/>
      </c>
      <c r="E114" s="45">
        <f>IF(BDP($B$114,"BEST_EPS","BEST_FPERIOD_OVERRIDE","26Y")&lt;&gt;0,$D$114/BDP($B$114,"BEST_EPS","BEST_FPERIOD_OVERRIDE","26Y"),"")</f>
        <v/>
      </c>
      <c r="F114" s="45">
        <f>IF(BDP($B$114,"BEST_EPS","BEST_FPERIOD_OVERRIDE","27Y")&lt;&gt;0,$D$114/BDP($B$114,"BEST_EPS","BEST_FPERIOD_OVERRIDE","27Y"),"")</f>
        <v/>
      </c>
      <c r="G114" s="45">
        <f>IF(BDP($B$114,"BEST_EPS","BEST_FPERIOD_OVERRIDE","28Y")&lt;&gt;0,$D$114/BDP($B$114,"BEST_EPS","BEST_FPERIOD_OVERRIDE","28Y"),"")</f>
        <v/>
      </c>
      <c r="H114" s="46">
        <f>BDP($B$114,"NET_DEBT_TO_EBITDA")</f>
        <v/>
      </c>
      <c r="I114" s="43">
        <f>BDP($B$114,"BEST_SALES","BEST_FPERIOD_OVERRIDE","26Y")/1000</f>
        <v/>
      </c>
      <c r="J114" s="47">
        <f>IF(BDP($B$114,"BEST_SALES","BEST_FPERIOD_OVERRIDE","26Y")&lt;&gt;0,BDP($B$114,"BEST_EBIT","BEST_FPERIOD_OVERRIDE","26Y")/BDP($B$114,"BEST_SALES","BEST_FPERIOD_OVERRIDE","26Y"),"")</f>
        <v/>
      </c>
      <c r="K114" s="47">
        <f>BDP($B$114,"RETURN_ON_INV_CAPITAL")/100</f>
        <v/>
      </c>
      <c r="L114" s="47">
        <f>IF(AND(BDP($B$114,"BEST_SALES","BEST_FPERIOD_OVERRIDE","25Y")&gt;0,BDP($B$114,"BEST_SALES","BEST_FPERIOD_OVERRIDE","28Y")&gt;0),(BDP($B$114,"BEST_SALES","BEST_FPERIOD_OVERRIDE","28Y")/BDP($B$114,"BEST_SALES","BEST_FPERIOD_OVERRIDE","25Y"))^(1/3)-1,"")</f>
        <v/>
      </c>
      <c r="M114" s="47">
        <f>IF(AND(BDP($B$114,"BEST_EBIT","BEST_FPERIOD_OVERRIDE","25Y")&gt;0,BDP($B$114,"BEST_EBIT","BEST_FPERIOD_OVERRIDE","28Y")&gt;0),(BDP($B$114,"BEST_EBIT","BEST_FPERIOD_OVERRIDE","28Y")/BDP($B$114,"BEST_EBIT","BEST_FPERIOD_OVERRIDE","25Y"))^(1/3)-1,"")</f>
        <v/>
      </c>
      <c r="N114" s="47">
        <f>IF(AND(BDP($B$114,"BEST_EPS","BEST_FPERIOD_OVERRIDE","25Y")&gt;0,BDP($B$114,"BEST_EPS","BEST_FPERIOD_OVERRIDE","28Y")&gt;0),(BDP($B$114,"BEST_EPS","BEST_FPERIOD_OVERRIDE","28Y")/BDP($B$114,"BEST_EPS","BEST_FPERIOD_OVERRIDE","25Y"))^(1/3)-1,"")</f>
        <v/>
      </c>
      <c r="O114" s="1" t="n"/>
      <c r="P114" s="47">
        <f>BDP($B$114,"CHG_PCT_YTD")/100</f>
        <v/>
      </c>
      <c r="Q114" s="1" t="n"/>
      <c r="R114" s="1" t="n"/>
      <c r="S114" s="42">
        <f>IF(AND(E114&lt;&gt;"",N114&lt;&gt;"",N114&lt;&gt;0),E114/(N114*100),"")</f>
        <v/>
      </c>
      <c r="T114" s="1" t="n"/>
      <c r="U114" s="26" t="inlineStr">
        <is>
          <t>Dec</t>
        </is>
      </c>
      <c r="V114" s="1" t="n"/>
      <c r="W114" s="1" t="n"/>
      <c r="X114" s="1" t="n"/>
      <c r="Y114" s="1" t="n"/>
      <c r="Z114" s="1" t="n"/>
      <c r="AA114" s="47">
        <f>BDP($B$114,"TRAIL_12M_OPER_INC")</f>
        <v/>
      </c>
      <c r="AB114" s="43">
        <f>BDP($B$114,"SHORT_AND_LONG_TERM_DEBT")</f>
        <v/>
      </c>
      <c r="AC114" s="43">
        <f>BDP($B$114,"TOTAL_EQUITY")</f>
        <v/>
      </c>
      <c r="AD114" s="43">
        <f>BDP($B$114,"BS_CASH_NEAR_CASH_ITEM")</f>
        <v/>
      </c>
      <c r="AE114" s="43">
        <f>BDP($B$114,"BS_LT_INVEST")</f>
        <v/>
      </c>
      <c r="AF114" s="31">
        <f>AB114+AC114</f>
        <v/>
      </c>
      <c r="AG114" s="43">
        <f>BDP($B$114,"RETURN_ON_INV_CAPITAL")/100</f>
        <v/>
      </c>
      <c r="AH114" s="49" t="n"/>
      <c r="AI114" s="48">
        <f>BDP($B$114,"BEST_EPS","BEST_FPERIOD_OVERRIDE","24Y")</f>
        <v/>
      </c>
      <c r="AJ114" s="43">
        <f>BDP($B$114,"BEST_EPS","BEST_FPERIOD_OVERRIDE","25Y")</f>
        <v/>
      </c>
      <c r="AK114" s="43">
        <f>BDP($B$114,"BEST_EPS","BEST_FPERIOD_OVERRIDE","26Y")</f>
        <v/>
      </c>
      <c r="AL114" s="43">
        <f>BDP($B$114,"BEST_EPS","BEST_FPERIOD_OVERRIDE","27Y")</f>
        <v/>
      </c>
      <c r="AM114" s="43">
        <f>BDP($B$114,"BEST_EPS","BEST_FPERIOD_OVERRIDE","28Y")</f>
        <v/>
      </c>
      <c r="AN114" s="31" t="n"/>
      <c r="AO114" s="43">
        <f>BDP($B$114,"BEST_SALES","BEST_FPERIOD_OVERRIDE","24Y")</f>
        <v/>
      </c>
      <c r="AP114" s="43">
        <f>BDP($B$114,"BEST_SALES","BEST_FPERIOD_OVERRIDE","25Y")</f>
        <v/>
      </c>
      <c r="AQ114" s="43">
        <f>BDP($B$114,"BEST_SALES","BEST_FPERIOD_OVERRIDE","26Y")</f>
        <v/>
      </c>
      <c r="AR114" s="43">
        <f>BDP($B$114,"BEST_SALES","BEST_FPERIOD_OVERRIDE","27Y")</f>
        <v/>
      </c>
      <c r="AS114" s="43">
        <f>BDP($B$114,"BEST_SALES","BEST_FPERIOD_OVERRIDE","28Y")</f>
        <v/>
      </c>
      <c r="AT114" s="31" t="n"/>
      <c r="AU114" s="48">
        <f>BDP($B$114,"BEST_EBIT","BEST_FPERIOD_OVERRIDE","24Y")</f>
        <v/>
      </c>
      <c r="AV114" s="43">
        <f>BDP($B$114,"BEST_EBIT","BEST_FPERIOD_OVERRIDE","25Y")</f>
        <v/>
      </c>
      <c r="AW114" s="43">
        <f>BDP($B$114,"BEST_EBIT","BEST_FPERIOD_OVERRIDE","26Y")</f>
        <v/>
      </c>
      <c r="AX114" s="43">
        <f>BDP($B$114,"BEST_EBIT","BEST_FPERIOD_OVERRIDE","27Y")</f>
        <v/>
      </c>
      <c r="AY114" s="43">
        <f>BDP($B$114,"BEST_EBIT","BEST_FPERIOD_OVERRIDE","28Y")</f>
        <v/>
      </c>
      <c r="AZ114" s="31" t="n"/>
      <c r="BA114" s="1">
        <f>C114+BD114</f>
        <v/>
      </c>
      <c r="BB114" s="42">
        <f>AB114-AD114</f>
        <v/>
      </c>
      <c r="BC114" s="42">
        <f>C114</f>
        <v/>
      </c>
      <c r="BD114" s="43">
        <f>BDP($B$114,"TRAIL_12M_EBITDA")</f>
        <v/>
      </c>
      <c r="BE114" s="43">
        <f>_xll.BDP("ANET US Equity","TRAIL_12M_EBITDA")</f>
        <v/>
      </c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</row>
    <row r="115">
      <c r="A115" s="1" t="inlineStr">
        <is>
          <t>COHR</t>
        </is>
      </c>
      <c r="B115" s="1" t="inlineStr">
        <is>
          <t>COHR US Equity</t>
        </is>
      </c>
      <c r="C115" s="43">
        <f>BDP($B$115,"CUR_MKT_CAP")/1000000000</f>
        <v/>
      </c>
      <c r="D115" s="44">
        <f>BDP($B$115,"PX_LAST")</f>
        <v/>
      </c>
      <c r="E115" s="45">
        <f>IF(BDP($B$115,"BEST_EPS","BEST_FPERIOD_OVERRIDE","26Y")&lt;&gt;0,$D$115/BDP($B$115,"BEST_EPS","BEST_FPERIOD_OVERRIDE","26Y"),"")</f>
        <v/>
      </c>
      <c r="F115" s="45">
        <f>IF(BDP($B$115,"BEST_EPS","BEST_FPERIOD_OVERRIDE","27Y")&lt;&gt;0,$D$115/BDP($B$115,"BEST_EPS","BEST_FPERIOD_OVERRIDE","27Y"),"")</f>
        <v/>
      </c>
      <c r="G115" s="45">
        <f>IF(BDP($B$115,"BEST_EPS","BEST_FPERIOD_OVERRIDE","28Y")&lt;&gt;0,$D$115/BDP($B$115,"BEST_EPS","BEST_FPERIOD_OVERRIDE","28Y"),"")</f>
        <v/>
      </c>
      <c r="H115" s="46">
        <f>BDP($B$115,"NET_DEBT_TO_EBITDA")</f>
        <v/>
      </c>
      <c r="I115" s="43">
        <f>BDP($B$115,"BEST_SALES","BEST_FPERIOD_OVERRIDE","26Y")/1000</f>
        <v/>
      </c>
      <c r="J115" s="47">
        <f>IF(BDP($B$115,"BEST_SALES","BEST_FPERIOD_OVERRIDE","26Y")&lt;&gt;0,BDP($B$115,"BEST_EBIT","BEST_FPERIOD_OVERRIDE","26Y")/BDP($B$115,"BEST_SALES","BEST_FPERIOD_OVERRIDE","26Y"),"")</f>
        <v/>
      </c>
      <c r="K115" s="47">
        <f>BDP($B$115,"RETURN_ON_INV_CAPITAL")/100</f>
        <v/>
      </c>
      <c r="L115" s="47">
        <f>IF(AND(BDP($B$115,"BEST_SALES","BEST_FPERIOD_OVERRIDE","25Y")&gt;0,BDP($B$115,"BEST_SALES","BEST_FPERIOD_OVERRIDE","28Y")&gt;0),(BDP($B$115,"BEST_SALES","BEST_FPERIOD_OVERRIDE","28Y")/BDP($B$115,"BEST_SALES","BEST_FPERIOD_OVERRIDE","25Y"))^(1/3)-1,"")</f>
        <v/>
      </c>
      <c r="M115" s="47">
        <f>IF(AND(BDP($B$115,"BEST_EBIT","BEST_FPERIOD_OVERRIDE","25Y")&gt;0,BDP($B$115,"BEST_EBIT","BEST_FPERIOD_OVERRIDE","28Y")&gt;0),(BDP($B$115,"BEST_EBIT","BEST_FPERIOD_OVERRIDE","28Y")/BDP($B$115,"BEST_EBIT","BEST_FPERIOD_OVERRIDE","25Y"))^(1/3)-1,"")</f>
        <v/>
      </c>
      <c r="N115" s="47">
        <f>IF(AND(BDP($B$115,"BEST_EPS","BEST_FPERIOD_OVERRIDE","25Y")&gt;0,BDP($B$115,"BEST_EPS","BEST_FPERIOD_OVERRIDE","28Y")&gt;0),(BDP($B$115,"BEST_EPS","BEST_FPERIOD_OVERRIDE","28Y")/BDP($B$115,"BEST_EPS","BEST_FPERIOD_OVERRIDE","25Y"))^(1/3)-1,"")</f>
        <v/>
      </c>
      <c r="O115" s="1" t="n"/>
      <c r="P115" s="47">
        <f>BDP($B$115,"CHG_PCT_YTD")/100</f>
        <v/>
      </c>
      <c r="Q115" s="1" t="n"/>
      <c r="R115" s="1" t="n"/>
      <c r="S115" s="42">
        <f>IF(AND(E115&lt;&gt;"",N115&lt;&gt;"",N115&lt;&gt;0),E115/(N115*100),"")</f>
        <v/>
      </c>
      <c r="T115" s="1" t="n"/>
      <c r="U115" s="26" t="inlineStr">
        <is>
          <t>Jun</t>
        </is>
      </c>
      <c r="V115" s="1" t="n"/>
      <c r="W115" s="1" t="n"/>
      <c r="X115" s="1" t="n"/>
      <c r="Y115" s="1" t="n"/>
      <c r="Z115" s="1" t="n"/>
      <c r="AA115" s="47">
        <f>BDP($B$115,"TRAIL_12M_OPER_INC")</f>
        <v/>
      </c>
      <c r="AB115" s="43">
        <f>BDP($B$115,"SHORT_AND_LONG_TERM_DEBT")</f>
        <v/>
      </c>
      <c r="AC115" s="43">
        <f>BDP($B$115,"TOTAL_EQUITY")</f>
        <v/>
      </c>
      <c r="AD115" s="43">
        <f>BDP($B$115,"BS_CASH_NEAR_CASH_ITEM")</f>
        <v/>
      </c>
      <c r="AE115" s="43">
        <f>BDP($B$115,"BS_LT_INVEST")</f>
        <v/>
      </c>
      <c r="AF115" s="31">
        <f>AB115+AC115</f>
        <v/>
      </c>
      <c r="AG115" s="43">
        <f>BDP($B$115,"RETURN_ON_INV_CAPITAL")/100</f>
        <v/>
      </c>
      <c r="AH115" s="49" t="n"/>
      <c r="AI115" s="48">
        <f>BDP($B$115,"BEST_EPS","BEST_FPERIOD_OVERRIDE","24Y")</f>
        <v/>
      </c>
      <c r="AJ115" s="43">
        <f>BDP($B$115,"BEST_EPS","BEST_FPERIOD_OVERRIDE","25Y")</f>
        <v/>
      </c>
      <c r="AK115" s="43">
        <f>BDP($B$115,"BEST_EPS","BEST_FPERIOD_OVERRIDE","26Y")</f>
        <v/>
      </c>
      <c r="AL115" s="43">
        <f>BDP($B$115,"BEST_EPS","BEST_FPERIOD_OVERRIDE","27Y")</f>
        <v/>
      </c>
      <c r="AM115" s="43">
        <f>BDP($B$115,"BEST_EPS","BEST_FPERIOD_OVERRIDE","28Y")</f>
        <v/>
      </c>
      <c r="AN115" s="31" t="n"/>
      <c r="AO115" s="43">
        <f>BDP($B$115,"BEST_SALES","BEST_FPERIOD_OVERRIDE","24Y")</f>
        <v/>
      </c>
      <c r="AP115" s="43">
        <f>BDP($B$115,"BEST_SALES","BEST_FPERIOD_OVERRIDE","25Y")</f>
        <v/>
      </c>
      <c r="AQ115" s="43">
        <f>BDP($B$115,"BEST_SALES","BEST_FPERIOD_OVERRIDE","26Y")</f>
        <v/>
      </c>
      <c r="AR115" s="43">
        <f>BDP($B$115,"BEST_SALES","BEST_FPERIOD_OVERRIDE","27Y")</f>
        <v/>
      </c>
      <c r="AS115" s="43">
        <f>BDP($B$115,"BEST_SALES","BEST_FPERIOD_OVERRIDE","28Y")</f>
        <v/>
      </c>
      <c r="AT115" s="31" t="n"/>
      <c r="AU115" s="48">
        <f>BDP($B$115,"BEST_EBIT","BEST_FPERIOD_OVERRIDE","24Y")</f>
        <v/>
      </c>
      <c r="AV115" s="43">
        <f>BDP($B$115,"BEST_EBIT","BEST_FPERIOD_OVERRIDE","25Y")</f>
        <v/>
      </c>
      <c r="AW115" s="43">
        <f>BDP($B$115,"BEST_EBIT","BEST_FPERIOD_OVERRIDE","26Y")</f>
        <v/>
      </c>
      <c r="AX115" s="43">
        <f>BDP($B$115,"BEST_EBIT","BEST_FPERIOD_OVERRIDE","27Y")</f>
        <v/>
      </c>
      <c r="AY115" s="43">
        <f>BDP($B$115,"BEST_EBIT","BEST_FPERIOD_OVERRIDE","28Y")</f>
        <v/>
      </c>
      <c r="AZ115" s="31" t="n"/>
      <c r="BA115" s="1">
        <f>C115+BD115</f>
        <v/>
      </c>
      <c r="BB115" s="42">
        <f>AB115-AD115</f>
        <v/>
      </c>
      <c r="BC115" s="42">
        <f>C115</f>
        <v/>
      </c>
      <c r="BD115" s="43">
        <f>BDP($B$115,"TRAIL_12M_EBITDA")</f>
        <v/>
      </c>
      <c r="BE115" s="43">
        <f>_xll.BDP("COHR US Equity","TRAIL_12M_EBITDA")</f>
        <v/>
      </c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</row>
    <row r="116">
      <c r="A116" s="1" t="inlineStr">
        <is>
          <t>CRDO</t>
        </is>
      </c>
      <c r="B116" s="1" t="inlineStr">
        <is>
          <t>CRDO US Equity</t>
        </is>
      </c>
      <c r="C116" s="43">
        <f>BDP($B$116,"CUR_MKT_CAP")/1000000000</f>
        <v/>
      </c>
      <c r="D116" s="44">
        <f>BDP($B$116,"PX_LAST")</f>
        <v/>
      </c>
      <c r="E116" s="45">
        <f>IF(BDP($B$116,"BEST_EPS","BEST_FPERIOD_OVERRIDE","26Y")&lt;&gt;0,$D$116/BDP($B$116,"BEST_EPS","BEST_FPERIOD_OVERRIDE","26Y"),"")</f>
        <v/>
      </c>
      <c r="F116" s="45">
        <f>IF(BDP($B$116,"BEST_EPS","BEST_FPERIOD_OVERRIDE","27Y")&lt;&gt;0,$D$116/BDP($B$116,"BEST_EPS","BEST_FPERIOD_OVERRIDE","27Y"),"")</f>
        <v/>
      </c>
      <c r="G116" s="45">
        <f>IF(BDP($B$116,"BEST_EPS","BEST_FPERIOD_OVERRIDE","28Y")&lt;&gt;0,$D$116/BDP($B$116,"BEST_EPS","BEST_FPERIOD_OVERRIDE","28Y"),"")</f>
        <v/>
      </c>
      <c r="H116" s="46">
        <f>BDP($B$116,"NET_DEBT_TO_EBITDA")</f>
        <v/>
      </c>
      <c r="I116" s="43">
        <f>BDP($B$116,"BEST_SALES","BEST_FPERIOD_OVERRIDE","26Y")/1000</f>
        <v/>
      </c>
      <c r="J116" s="47">
        <f>IF(BDP($B$116,"BEST_SALES","BEST_FPERIOD_OVERRIDE","26Y")&lt;&gt;0,BDP($B$116,"BEST_EBIT","BEST_FPERIOD_OVERRIDE","26Y")/BDP($B$116,"BEST_SALES","BEST_FPERIOD_OVERRIDE","26Y"),"")</f>
        <v/>
      </c>
      <c r="K116" s="47">
        <f>BDP($B$116,"RETURN_ON_INV_CAPITAL")/100</f>
        <v/>
      </c>
      <c r="L116" s="47">
        <f>IF(AND(BDP($B$116,"BEST_SALES","BEST_FPERIOD_OVERRIDE","25Y")&gt;0,BDP($B$116,"BEST_SALES","BEST_FPERIOD_OVERRIDE","28Y")&gt;0),(BDP($B$116,"BEST_SALES","BEST_FPERIOD_OVERRIDE","28Y")/BDP($B$116,"BEST_SALES","BEST_FPERIOD_OVERRIDE","25Y"))^(1/3)-1,"")</f>
        <v/>
      </c>
      <c r="M116" s="47">
        <f>IF(AND(BDP($B$116,"BEST_EBIT","BEST_FPERIOD_OVERRIDE","25Y")&gt;0,BDP($B$116,"BEST_EBIT","BEST_FPERIOD_OVERRIDE","28Y")&gt;0),(BDP($B$116,"BEST_EBIT","BEST_FPERIOD_OVERRIDE","28Y")/BDP($B$116,"BEST_EBIT","BEST_FPERIOD_OVERRIDE","25Y"))^(1/3)-1,"")</f>
        <v/>
      </c>
      <c r="N116" s="47">
        <f>IF(AND(BDP($B$116,"BEST_EPS","BEST_FPERIOD_OVERRIDE","25Y")&gt;0,BDP($B$116,"BEST_EPS","BEST_FPERIOD_OVERRIDE","28Y")&gt;0),(BDP($B$116,"BEST_EPS","BEST_FPERIOD_OVERRIDE","28Y")/BDP($B$116,"BEST_EPS","BEST_FPERIOD_OVERRIDE","25Y"))^(1/3)-1,"")</f>
        <v/>
      </c>
      <c r="O116" s="1" t="n"/>
      <c r="P116" s="47">
        <f>BDP($B$116,"CHG_PCT_YTD")/100</f>
        <v/>
      </c>
      <c r="Q116" s="1" t="n"/>
      <c r="R116" s="1" t="n"/>
      <c r="S116" s="42">
        <f>IF(AND(E116&lt;&gt;"",N116&lt;&gt;"",N116&lt;&gt;0),E116/(N116*100),"")</f>
        <v/>
      </c>
      <c r="T116" s="1" t="n"/>
      <c r="U116" s="26" t="inlineStr">
        <is>
          <t>Apr</t>
        </is>
      </c>
      <c r="V116" s="1" t="n"/>
      <c r="W116" s="1" t="n"/>
      <c r="X116" s="1" t="n"/>
      <c r="Y116" s="1" t="n"/>
      <c r="Z116" s="1" t="n"/>
      <c r="AA116" s="47">
        <f>BDP($B$116,"TRAIL_12M_OPER_INC")</f>
        <v/>
      </c>
      <c r="AB116" s="43">
        <f>BDP($B$116,"SHORT_AND_LONG_TERM_DEBT")</f>
        <v/>
      </c>
      <c r="AC116" s="43">
        <f>BDP($B$116,"TOTAL_EQUITY")</f>
        <v/>
      </c>
      <c r="AD116" s="43">
        <f>BDP($B$116,"BS_CASH_NEAR_CASH_ITEM")</f>
        <v/>
      </c>
      <c r="AE116" s="43">
        <f>BDP($B$116,"BS_LT_INVEST")</f>
        <v/>
      </c>
      <c r="AF116" s="31">
        <f>AB116+AC116</f>
        <v/>
      </c>
      <c r="AG116" s="43">
        <f>BDP($B$116,"RETURN_ON_INV_CAPITAL")/100</f>
        <v/>
      </c>
      <c r="AH116" s="49" t="n"/>
      <c r="AI116" s="48">
        <f>BDP($B$116,"BEST_EPS","BEST_FPERIOD_OVERRIDE","24Y")</f>
        <v/>
      </c>
      <c r="AJ116" s="43">
        <f>BDP($B$116,"BEST_EPS","BEST_FPERIOD_OVERRIDE","25Y")</f>
        <v/>
      </c>
      <c r="AK116" s="43">
        <f>BDP($B$116,"BEST_EPS","BEST_FPERIOD_OVERRIDE","26Y")</f>
        <v/>
      </c>
      <c r="AL116" s="43">
        <f>BDP($B$116,"BEST_EPS","BEST_FPERIOD_OVERRIDE","27Y")</f>
        <v/>
      </c>
      <c r="AM116" s="43">
        <f>BDP($B$116,"BEST_EPS","BEST_FPERIOD_OVERRIDE","28Y")</f>
        <v/>
      </c>
      <c r="AN116" s="31" t="n"/>
      <c r="AO116" s="43">
        <f>BDP($B$116,"BEST_SALES","BEST_FPERIOD_OVERRIDE","24Y")</f>
        <v/>
      </c>
      <c r="AP116" s="43">
        <f>BDP($B$116,"BEST_SALES","BEST_FPERIOD_OVERRIDE","25Y")</f>
        <v/>
      </c>
      <c r="AQ116" s="43">
        <f>BDP($B$116,"BEST_SALES","BEST_FPERIOD_OVERRIDE","26Y")</f>
        <v/>
      </c>
      <c r="AR116" s="43">
        <f>BDP($B$116,"BEST_SALES","BEST_FPERIOD_OVERRIDE","27Y")</f>
        <v/>
      </c>
      <c r="AS116" s="43">
        <f>BDP($B$116,"BEST_SALES","BEST_FPERIOD_OVERRIDE","28Y")</f>
        <v/>
      </c>
      <c r="AT116" s="31" t="n"/>
      <c r="AU116" s="48">
        <f>BDP($B$116,"BEST_EBIT","BEST_FPERIOD_OVERRIDE","24Y")</f>
        <v/>
      </c>
      <c r="AV116" s="43">
        <f>BDP($B$116,"BEST_EBIT","BEST_FPERIOD_OVERRIDE","25Y")</f>
        <v/>
      </c>
      <c r="AW116" s="43">
        <f>BDP($B$116,"BEST_EBIT","BEST_FPERIOD_OVERRIDE","26Y")</f>
        <v/>
      </c>
      <c r="AX116" s="43">
        <f>BDP($B$116,"BEST_EBIT","BEST_FPERIOD_OVERRIDE","27Y")</f>
        <v/>
      </c>
      <c r="AY116" s="43">
        <f>BDP($B$116,"BEST_EBIT","BEST_FPERIOD_OVERRIDE","28Y")</f>
        <v/>
      </c>
      <c r="AZ116" s="31" t="n"/>
      <c r="BA116" s="1">
        <f>C116+BD116</f>
        <v/>
      </c>
      <c r="BB116" s="42">
        <f>AB116-AD116</f>
        <v/>
      </c>
      <c r="BC116" s="42">
        <f>C116</f>
        <v/>
      </c>
      <c r="BD116" s="43">
        <f>BDP($B$116,"TRAIL_12M_EBITDA")</f>
        <v/>
      </c>
      <c r="BE116" s="43">
        <f>_xll.BDP("CRDO US Equity","TRAIL_12M_EBITDA")</f>
        <v/>
      </c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</row>
    <row r="117">
      <c r="A117" s="1" t="inlineStr">
        <is>
          <t>ALAB</t>
        </is>
      </c>
      <c r="B117" s="1" t="inlineStr">
        <is>
          <t>ALAB US Equity</t>
        </is>
      </c>
      <c r="C117" s="43">
        <f>BDP($B$117,"CUR_MKT_CAP")/1000000000</f>
        <v/>
      </c>
      <c r="D117" s="44">
        <f>BDP($B$117,"PX_LAST")</f>
        <v/>
      </c>
      <c r="E117" s="45">
        <f>IF(BDP($B$117,"BEST_EPS","BEST_FPERIOD_OVERRIDE","26Y")&lt;&gt;0,$D$117/BDP($B$117,"BEST_EPS","BEST_FPERIOD_OVERRIDE","26Y"),"")</f>
        <v/>
      </c>
      <c r="F117" s="45">
        <f>IF(BDP($B$117,"BEST_EPS","BEST_FPERIOD_OVERRIDE","27Y")&lt;&gt;0,$D$117/BDP($B$117,"BEST_EPS","BEST_FPERIOD_OVERRIDE","27Y"),"")</f>
        <v/>
      </c>
      <c r="G117" s="45">
        <f>IF(BDP($B$117,"BEST_EPS","BEST_FPERIOD_OVERRIDE","28Y")&lt;&gt;0,$D$117/BDP($B$117,"BEST_EPS","BEST_FPERIOD_OVERRIDE","28Y"),"")</f>
        <v/>
      </c>
      <c r="H117" s="46">
        <f>BDP($B$117,"NET_DEBT_TO_EBITDA")</f>
        <v/>
      </c>
      <c r="I117" s="43">
        <f>BDP($B$117,"BEST_SALES","BEST_FPERIOD_OVERRIDE","26Y")/1000</f>
        <v/>
      </c>
      <c r="J117" s="47">
        <f>IF(BDP($B$117,"BEST_SALES","BEST_FPERIOD_OVERRIDE","26Y")&lt;&gt;0,BDP($B$117,"BEST_EBIT","BEST_FPERIOD_OVERRIDE","26Y")/BDP($B$117,"BEST_SALES","BEST_FPERIOD_OVERRIDE","26Y"),"")</f>
        <v/>
      </c>
      <c r="K117" s="43">
        <f>BDP($B$117,"RETURN_ON_INV_CAPITAL")/100</f>
        <v/>
      </c>
      <c r="L117" s="47">
        <f>IF(AND(BDP($B$117,"BEST_SALES","BEST_FPERIOD_OVERRIDE","25Y")&gt;0,BDP($B$117,"BEST_SALES","BEST_FPERIOD_OVERRIDE","28Y")&gt;0),(BDP($B$117,"BEST_SALES","BEST_FPERIOD_OVERRIDE","28Y")/BDP($B$117,"BEST_SALES","BEST_FPERIOD_OVERRIDE","25Y"))^(1/3)-1,"")</f>
        <v/>
      </c>
      <c r="M117" s="47">
        <f>IF(AND(BDP($B$117,"BEST_EBIT","BEST_FPERIOD_OVERRIDE","25Y")&gt;0,BDP($B$117,"BEST_EBIT","BEST_FPERIOD_OVERRIDE","28Y")&gt;0),(BDP($B$117,"BEST_EBIT","BEST_FPERIOD_OVERRIDE","28Y")/BDP($B$117,"BEST_EBIT","BEST_FPERIOD_OVERRIDE","25Y"))^(1/3)-1,"")</f>
        <v/>
      </c>
      <c r="N117" s="47">
        <f>IF(AND(BDP($B$117,"BEST_EPS","BEST_FPERIOD_OVERRIDE","25Y")&gt;0,BDP($B$117,"BEST_EPS","BEST_FPERIOD_OVERRIDE","28Y")&gt;0),(BDP($B$117,"BEST_EPS","BEST_FPERIOD_OVERRIDE","28Y")/BDP($B$117,"BEST_EPS","BEST_FPERIOD_OVERRIDE","25Y"))^(1/3)-1,"")</f>
        <v/>
      </c>
      <c r="O117" s="1" t="n"/>
      <c r="P117" s="47">
        <f>BDP($B$117,"CHG_PCT_YTD")/100</f>
        <v/>
      </c>
      <c r="Q117" s="1" t="n"/>
      <c r="R117" s="1" t="n"/>
      <c r="S117" s="42">
        <f>IF(AND(E117&lt;&gt;"",N117&lt;&gt;"",N117&lt;&gt;0),E117/(N117*100),"")</f>
        <v/>
      </c>
      <c r="T117" s="1" t="n"/>
      <c r="U117" s="26" t="inlineStr">
        <is>
          <t>Dec</t>
        </is>
      </c>
      <c r="V117" s="1" t="n"/>
      <c r="W117" s="1" t="n"/>
      <c r="X117" s="1" t="n"/>
      <c r="Y117" s="1" t="n"/>
      <c r="Z117" s="1" t="n"/>
      <c r="AA117" s="47">
        <f>BDP($B$117,"TRAIL_12M_OPER_INC")</f>
        <v/>
      </c>
      <c r="AB117" s="43">
        <f>BDP($B$117,"SHORT_AND_LONG_TERM_DEBT")</f>
        <v/>
      </c>
      <c r="AC117" s="43">
        <f>BDP($B$117,"TOTAL_EQUITY")</f>
        <v/>
      </c>
      <c r="AD117" s="43">
        <f>BDP($B$117,"BS_CASH_NEAR_CASH_ITEM")</f>
        <v/>
      </c>
      <c r="AE117" s="43">
        <f>BDP($B$117,"BS_LT_INVEST")</f>
        <v/>
      </c>
      <c r="AF117" s="31">
        <f>AB117+AC117</f>
        <v/>
      </c>
      <c r="AG117" s="43">
        <f>BDP($B$117,"RETURN_ON_INV_CAPITAL")/100</f>
        <v/>
      </c>
      <c r="AH117" s="49" t="n"/>
      <c r="AI117" s="48">
        <f>BDP($B$117,"BEST_EPS","BEST_FPERIOD_OVERRIDE","24Y")</f>
        <v/>
      </c>
      <c r="AJ117" s="43">
        <f>BDP($B$117,"BEST_EPS","BEST_FPERIOD_OVERRIDE","25Y")</f>
        <v/>
      </c>
      <c r="AK117" s="43">
        <f>BDP($B$117,"BEST_EPS","BEST_FPERIOD_OVERRIDE","26Y")</f>
        <v/>
      </c>
      <c r="AL117" s="43">
        <f>BDP($B$117,"BEST_EPS","BEST_FPERIOD_OVERRIDE","27Y")</f>
        <v/>
      </c>
      <c r="AM117" s="43">
        <f>BDP($B$117,"BEST_EPS","BEST_FPERIOD_OVERRIDE","28Y")</f>
        <v/>
      </c>
      <c r="AN117" s="31" t="n"/>
      <c r="AO117" s="43">
        <f>BDP($B$117,"BEST_SALES","BEST_FPERIOD_OVERRIDE","24Y")</f>
        <v/>
      </c>
      <c r="AP117" s="43">
        <f>BDP($B$117,"BEST_SALES","BEST_FPERIOD_OVERRIDE","25Y")</f>
        <v/>
      </c>
      <c r="AQ117" s="43">
        <f>BDP($B$117,"BEST_SALES","BEST_FPERIOD_OVERRIDE","26Y")</f>
        <v/>
      </c>
      <c r="AR117" s="43">
        <f>BDP($B$117,"BEST_SALES","BEST_FPERIOD_OVERRIDE","27Y")</f>
        <v/>
      </c>
      <c r="AS117" s="43">
        <f>BDP($B$117,"BEST_SALES","BEST_FPERIOD_OVERRIDE","28Y")</f>
        <v/>
      </c>
      <c r="AT117" s="31" t="n"/>
      <c r="AU117" s="48">
        <f>BDP($B$117,"BEST_EBIT","BEST_FPERIOD_OVERRIDE","24Y")</f>
        <v/>
      </c>
      <c r="AV117" s="43">
        <f>BDP($B$117,"BEST_EBIT","BEST_FPERIOD_OVERRIDE","25Y")</f>
        <v/>
      </c>
      <c r="AW117" s="43">
        <f>BDP($B$117,"BEST_EBIT","BEST_FPERIOD_OVERRIDE","26Y")</f>
        <v/>
      </c>
      <c r="AX117" s="43">
        <f>BDP($B$117,"BEST_EBIT","BEST_FPERIOD_OVERRIDE","27Y")</f>
        <v/>
      </c>
      <c r="AY117" s="43">
        <f>BDP($B$117,"BEST_EBIT","BEST_FPERIOD_OVERRIDE","28Y")</f>
        <v/>
      </c>
      <c r="AZ117" s="31" t="n"/>
      <c r="BA117" s="1">
        <f>C117+BD117</f>
        <v/>
      </c>
      <c r="BB117" s="42">
        <f>AB117-AD117</f>
        <v/>
      </c>
      <c r="BC117" s="42">
        <f>C117</f>
        <v/>
      </c>
      <c r="BD117" s="43">
        <f>BDP($B$117,"TRAIL_12M_EBITDA")</f>
        <v/>
      </c>
      <c r="BE117" s="43">
        <f>_xll.BDP("ALAB US Equity","TRAIL_12M_EBITDA")</f>
        <v/>
      </c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</row>
    <row r="118">
      <c r="A118" s="1" t="n"/>
      <c r="B118" s="1" t="n"/>
      <c r="C118" s="4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24" t="n"/>
      <c r="V118" s="1" t="n"/>
      <c r="W118" s="1" t="n"/>
      <c r="X118" s="1" t="n"/>
      <c r="Y118" s="1" t="n"/>
      <c r="Z118" s="1" t="n"/>
      <c r="AA118" s="4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  <c r="BA118" s="1" t="n"/>
      <c r="BB118" s="1" t="n"/>
      <c r="BC118" s="1" t="n"/>
      <c r="BD118" s="1" t="n"/>
      <c r="BE118" s="1" t="n"/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</row>
    <row r="119">
      <c r="A119" s="3" t="inlineStr">
        <is>
          <t xml:space="preserve">Compute </t>
        </is>
      </c>
      <c r="B119" s="1" t="n"/>
      <c r="C119" s="4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24" t="n"/>
      <c r="V119" s="1" t="n"/>
      <c r="W119" s="1" t="n"/>
      <c r="X119" s="1" t="n"/>
      <c r="Y119" s="1" t="n"/>
      <c r="Z119" s="1" t="n"/>
      <c r="AA119" s="4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  <c r="BA119" s="1" t="n"/>
      <c r="BB119" s="1" t="n"/>
      <c r="BC119" s="1" t="n"/>
      <c r="BD119" s="1" t="n"/>
      <c r="BE119" s="1" t="n"/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</row>
    <row r="120">
      <c r="A120" s="1" t="inlineStr">
        <is>
          <t>NVDA</t>
        </is>
      </c>
      <c r="B120" s="1" t="inlineStr">
        <is>
          <t>NVDA UW Equity</t>
        </is>
      </c>
      <c r="C120" s="43">
        <f>BDP($B$120,"CUR_MKT_CAP")/1000000000</f>
        <v/>
      </c>
      <c r="D120" s="44">
        <f>BDP($B$120,"PX_LAST")</f>
        <v/>
      </c>
      <c r="E120" s="45">
        <f>IF(BDP($B$120,"BEST_EPS","BEST_FPERIOD_OVERRIDE","27Y")&lt;&gt;0,$D$120/BDP($B$120,"BEST_EPS","BEST_FPERIOD_OVERRIDE","27Y"),"")</f>
        <v/>
      </c>
      <c r="F120" s="45">
        <f>IF(BDP($B$120,"BEST_EPS","BEST_FPERIOD_OVERRIDE","28Y")&lt;&gt;0,$D$120/BDP($B$120,"BEST_EPS","BEST_FPERIOD_OVERRIDE","28Y"),"")</f>
        <v/>
      </c>
      <c r="G120" s="45">
        <f>IF(BDP($B$120,"BEST_EPS","BEST_FPERIOD_OVERRIDE","29Y")&lt;&gt;0,$D$120/BDP($B$120,"BEST_EPS","BEST_FPERIOD_OVERRIDE","29Y"),"")</f>
        <v/>
      </c>
      <c r="H120" s="46">
        <f>BDP($B$120,"NET_DEBT_TO_EBITDA")</f>
        <v/>
      </c>
      <c r="I120" s="43">
        <f>BDP($B$120,"BEST_SALES","BEST_FPERIOD_OVERRIDE","27Y")/1000</f>
        <v/>
      </c>
      <c r="J120" s="47">
        <f>IF(BDP($B$120,"BEST_SALES","BEST_FPERIOD_OVERRIDE","27Y")&lt;&gt;0,BDP($B$120,"BEST_EBIT","BEST_FPERIOD_OVERRIDE","27Y")/BDP($B$120,"BEST_SALES","BEST_FPERIOD_OVERRIDE","27Y"),"")</f>
        <v/>
      </c>
      <c r="K120" s="47">
        <f>BDP($B$120,"RETURN_ON_INV_CAPITAL")/100</f>
        <v/>
      </c>
      <c r="L120" s="47">
        <f>IF(AND(BDP($B$120,"BEST_SALES","BEST_FPERIOD_OVERRIDE","26Y")&gt;0,BDP($B$120,"BEST_SALES","BEST_FPERIOD_OVERRIDE","29Y")&gt;0),(BDP($B$120,"BEST_SALES","BEST_FPERIOD_OVERRIDE","29Y")/BDP($B$120,"BEST_SALES","BEST_FPERIOD_OVERRIDE","26Y"))^(1/3)-1,"")</f>
        <v/>
      </c>
      <c r="M120" s="47">
        <f>IF(AND(BDP($B$120,"BEST_EBIT","BEST_FPERIOD_OVERRIDE","26Y")&gt;0,BDP($B$120,"BEST_EBIT","BEST_FPERIOD_OVERRIDE","29Y")&gt;0),(BDP($B$120,"BEST_EBIT","BEST_FPERIOD_OVERRIDE","29Y")/BDP($B$120,"BEST_EBIT","BEST_FPERIOD_OVERRIDE","26Y"))^(1/3)-1,"")</f>
        <v/>
      </c>
      <c r="N120" s="47">
        <f>IF(AND(BDP($B$120,"BEST_EPS","BEST_FPERIOD_OVERRIDE","26Y")&gt;0,BDP($B$120,"BEST_EPS","BEST_FPERIOD_OVERRIDE","29Y")&gt;0),(BDP($B$120,"BEST_EPS","BEST_FPERIOD_OVERRIDE","29Y")/BDP($B$120,"BEST_EPS","BEST_FPERIOD_OVERRIDE","26Y"))^(1/3)-1,"")</f>
        <v/>
      </c>
      <c r="O120" s="1" t="n"/>
      <c r="P120" s="47">
        <f>BDP($B$120,"CHG_PCT_YTD")/100</f>
        <v/>
      </c>
      <c r="Q120" s="1" t="n"/>
      <c r="R120" s="1" t="n"/>
      <c r="S120" s="42">
        <f>IF(AND(E120&lt;&gt;"",N120&lt;&gt;"",N120&lt;&gt;0),E120/(N120*100),"")</f>
        <v/>
      </c>
      <c r="T120" s="1" t="n"/>
      <c r="U120" s="26" t="inlineStr">
        <is>
          <t>Jan</t>
        </is>
      </c>
      <c r="V120" s="1" t="n"/>
      <c r="W120" s="1" t="n"/>
      <c r="X120" s="1" t="n"/>
      <c r="Y120" s="1" t="n"/>
      <c r="Z120" s="1" t="n"/>
      <c r="AA120" s="47">
        <f>BDP($B$120,"TRAIL_12M_OPER_INC")</f>
        <v/>
      </c>
      <c r="AB120" s="43">
        <f>BDP($B$120,"SHORT_AND_LONG_TERM_DEBT")</f>
        <v/>
      </c>
      <c r="AC120" s="43">
        <f>BDP($B$120,"TOTAL_EQUITY")</f>
        <v/>
      </c>
      <c r="AD120" s="43">
        <f>BDP($B$120,"BS_CASH_NEAR_CASH_ITEM")</f>
        <v/>
      </c>
      <c r="AE120" s="43">
        <f>BDP($B$120,"BS_LT_INVEST")</f>
        <v/>
      </c>
      <c r="AF120" s="31">
        <f>AB120+AC120</f>
        <v/>
      </c>
      <c r="AG120" s="43">
        <f>BDP($B$120,"RETURN_ON_INV_CAPITAL")/100</f>
        <v/>
      </c>
      <c r="AH120" s="49" t="n"/>
      <c r="AI120" s="48">
        <f>BDP($B$120,"BEST_EPS","BEST_FPERIOD_OVERRIDE","25Y")</f>
        <v/>
      </c>
      <c r="AJ120" s="43">
        <f>BDP($B$120,"BEST_EPS","BEST_FPERIOD_OVERRIDE","26Y")</f>
        <v/>
      </c>
      <c r="AK120" s="43">
        <f>BDP($B$120,"BEST_EPS","BEST_FPERIOD_OVERRIDE","27Y")</f>
        <v/>
      </c>
      <c r="AL120" s="43">
        <f>BDP($B$120,"BEST_EPS","BEST_FPERIOD_OVERRIDE","28Y")</f>
        <v/>
      </c>
      <c r="AM120" s="43">
        <f>BDP($B$120,"BEST_EPS","BEST_FPERIOD_OVERRIDE","29Y")</f>
        <v/>
      </c>
      <c r="AN120" s="31" t="n"/>
      <c r="AO120" s="43">
        <f>BDP($B$120,"BEST_SALES","BEST_FPERIOD_OVERRIDE","25Y")</f>
        <v/>
      </c>
      <c r="AP120" s="43">
        <f>BDP($B$120,"BEST_SALES","BEST_FPERIOD_OVERRIDE","26Y")</f>
        <v/>
      </c>
      <c r="AQ120" s="43">
        <f>BDP($B$120,"BEST_SALES","BEST_FPERIOD_OVERRIDE","27Y")</f>
        <v/>
      </c>
      <c r="AR120" s="43">
        <f>BDP($B$120,"BEST_SALES","BEST_FPERIOD_OVERRIDE","28Y")</f>
        <v/>
      </c>
      <c r="AS120" s="43">
        <f>BDP($B$120,"BEST_SALES","BEST_FPERIOD_OVERRIDE","29Y")</f>
        <v/>
      </c>
      <c r="AT120" s="31" t="n"/>
      <c r="AU120" s="48">
        <f>BDP($B$120,"BEST_EBIT","BEST_FPERIOD_OVERRIDE","25Y")</f>
        <v/>
      </c>
      <c r="AV120" s="43">
        <f>BDP($B$120,"BEST_EBIT","BEST_FPERIOD_OVERRIDE","26Y")</f>
        <v/>
      </c>
      <c r="AW120" s="43">
        <f>BDP($B$120,"BEST_EBIT","BEST_FPERIOD_OVERRIDE","27Y")</f>
        <v/>
      </c>
      <c r="AX120" s="43">
        <f>BDP($B$120,"BEST_EBIT","BEST_FPERIOD_OVERRIDE","28Y")</f>
        <v/>
      </c>
      <c r="AY120" s="43">
        <f>BDP($B$120,"BEST_EBIT","BEST_FPERIOD_OVERRIDE","29Y")</f>
        <v/>
      </c>
      <c r="AZ120" s="31" t="n"/>
      <c r="BA120" s="1">
        <f>C120+BD120</f>
        <v/>
      </c>
      <c r="BB120" s="42">
        <f>AB120-AD120</f>
        <v/>
      </c>
      <c r="BC120" s="42">
        <f>C120</f>
        <v/>
      </c>
      <c r="BD120" s="43">
        <f>BDP($B$120,"TRAIL_12M_EBITDA")</f>
        <v/>
      </c>
      <c r="BE120" s="43">
        <f>_xll.BDP("NVDA UW Equity","TRAIL_12M_EBITDA")</f>
        <v/>
      </c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</row>
    <row r="121">
      <c r="A121" s="1" t="inlineStr">
        <is>
          <t>AMD</t>
        </is>
      </c>
      <c r="B121" s="1" t="inlineStr">
        <is>
          <t>AMD UW Equity</t>
        </is>
      </c>
      <c r="C121" s="43">
        <f>BDP($B$121,"CUR_MKT_CAP")/1000000000</f>
        <v/>
      </c>
      <c r="D121" s="44">
        <f>BDP($B$121,"PX_LAST")</f>
        <v/>
      </c>
      <c r="E121" s="45">
        <f>IF(BDP($B$121,"BEST_EPS","BEST_FPERIOD_OVERRIDE","26Y")&lt;&gt;0,$D$121/BDP($B$121,"BEST_EPS","BEST_FPERIOD_OVERRIDE","26Y"),"")</f>
        <v/>
      </c>
      <c r="F121" s="45">
        <f>IF(BDP($B$121,"BEST_EPS","BEST_FPERIOD_OVERRIDE","27Y")&lt;&gt;0,$D$121/BDP($B$121,"BEST_EPS","BEST_FPERIOD_OVERRIDE","27Y"),"")</f>
        <v/>
      </c>
      <c r="G121" s="45">
        <f>IF(BDP($B$121,"BEST_EPS","BEST_FPERIOD_OVERRIDE","28Y")&lt;&gt;0,$D$121/BDP($B$121,"BEST_EPS","BEST_FPERIOD_OVERRIDE","28Y"),"")</f>
        <v/>
      </c>
      <c r="H121" s="46">
        <f>BDP($B$121,"NET_DEBT_TO_EBITDA")</f>
        <v/>
      </c>
      <c r="I121" s="43">
        <f>BDP($B$121,"BEST_SALES","BEST_FPERIOD_OVERRIDE","26Y")/1000</f>
        <v/>
      </c>
      <c r="J121" s="47">
        <f>IF(BDP($B$121,"BEST_SALES","BEST_FPERIOD_OVERRIDE","26Y")&lt;&gt;0,BDP($B$121,"BEST_EBIT","BEST_FPERIOD_OVERRIDE","26Y")/BDP($B$121,"BEST_SALES","BEST_FPERIOD_OVERRIDE","26Y"),"")</f>
        <v/>
      </c>
      <c r="K121" s="47">
        <f>BDP($B$121,"RETURN_ON_INV_CAPITAL")/100</f>
        <v/>
      </c>
      <c r="L121" s="47">
        <f>IF(AND(BDP($B$121,"BEST_SALES","BEST_FPERIOD_OVERRIDE","25Y")&gt;0,BDP($B$121,"BEST_SALES","BEST_FPERIOD_OVERRIDE","28Y")&gt;0),(BDP($B$121,"BEST_SALES","BEST_FPERIOD_OVERRIDE","28Y")/BDP($B$121,"BEST_SALES","BEST_FPERIOD_OVERRIDE","25Y"))^(1/3)-1,"")</f>
        <v/>
      </c>
      <c r="M121" s="47">
        <f>IF(AND(BDP($B$121,"BEST_EBIT","BEST_FPERIOD_OVERRIDE","25Y")&gt;0,BDP($B$121,"BEST_EBIT","BEST_FPERIOD_OVERRIDE","28Y")&gt;0),(BDP($B$121,"BEST_EBIT","BEST_FPERIOD_OVERRIDE","28Y")/BDP($B$121,"BEST_EBIT","BEST_FPERIOD_OVERRIDE","25Y"))^(1/3)-1,"")</f>
        <v/>
      </c>
      <c r="N121" s="47">
        <f>IF(AND(BDP($B$121,"BEST_EPS","BEST_FPERIOD_OVERRIDE","25Y")&gt;0,BDP($B$121,"BEST_EPS","BEST_FPERIOD_OVERRIDE","28Y")&gt;0),(BDP($B$121,"BEST_EPS","BEST_FPERIOD_OVERRIDE","28Y")/BDP($B$121,"BEST_EPS","BEST_FPERIOD_OVERRIDE","25Y"))^(1/3)-1,"")</f>
        <v/>
      </c>
      <c r="O121" s="1" t="n"/>
      <c r="P121" s="47">
        <f>BDP($B$121,"CHG_PCT_YTD")/100</f>
        <v/>
      </c>
      <c r="Q121" s="1" t="n"/>
      <c r="R121" s="1" t="n"/>
      <c r="S121" s="42">
        <f>IF(AND(E121&lt;&gt;"",N121&lt;&gt;"",N121&lt;&gt;0),E121/(N121*100),"")</f>
        <v/>
      </c>
      <c r="T121" s="1" t="n"/>
      <c r="U121" s="26" t="inlineStr">
        <is>
          <t>Dec</t>
        </is>
      </c>
      <c r="V121" s="1" t="n"/>
      <c r="W121" s="1" t="n"/>
      <c r="X121" s="1" t="n"/>
      <c r="Y121" s="1" t="n"/>
      <c r="Z121" s="1" t="n"/>
      <c r="AA121" s="47">
        <f>BDP($B$121,"TRAIL_12M_OPER_INC")</f>
        <v/>
      </c>
      <c r="AB121" s="43">
        <f>BDP($B$121,"SHORT_AND_LONG_TERM_DEBT")</f>
        <v/>
      </c>
      <c r="AC121" s="43">
        <f>BDP($B$121,"TOTAL_EQUITY")</f>
        <v/>
      </c>
      <c r="AD121" s="43">
        <f>BDP($B$121,"BS_CASH_NEAR_CASH_ITEM")</f>
        <v/>
      </c>
      <c r="AE121" s="43">
        <f>BDP($B$121,"BS_LT_INVEST")</f>
        <v/>
      </c>
      <c r="AF121" s="31">
        <f>AB121+AC121</f>
        <v/>
      </c>
      <c r="AG121" s="43">
        <f>BDP($B$121,"RETURN_ON_INV_CAPITAL")/100</f>
        <v/>
      </c>
      <c r="AH121" s="49" t="n"/>
      <c r="AI121" s="48">
        <f>BDP($B$121,"BEST_EPS","BEST_FPERIOD_OVERRIDE","24Y")</f>
        <v/>
      </c>
      <c r="AJ121" s="43">
        <f>BDP($B$121,"BEST_EPS","BEST_FPERIOD_OVERRIDE","25Y")</f>
        <v/>
      </c>
      <c r="AK121" s="43">
        <f>BDP($B$121,"BEST_EPS","BEST_FPERIOD_OVERRIDE","26Y")</f>
        <v/>
      </c>
      <c r="AL121" s="43">
        <f>BDP($B$121,"BEST_EPS","BEST_FPERIOD_OVERRIDE","27Y")</f>
        <v/>
      </c>
      <c r="AM121" s="43">
        <f>BDP($B$121,"BEST_EPS","BEST_FPERIOD_OVERRIDE","28Y")</f>
        <v/>
      </c>
      <c r="AN121" s="31" t="n"/>
      <c r="AO121" s="43">
        <f>BDP($B$121,"BEST_SALES","BEST_FPERIOD_OVERRIDE","24Y")</f>
        <v/>
      </c>
      <c r="AP121" s="43">
        <f>BDP($B$121,"BEST_SALES","BEST_FPERIOD_OVERRIDE","25Y")</f>
        <v/>
      </c>
      <c r="AQ121" s="43">
        <f>BDP($B$121,"BEST_SALES","BEST_FPERIOD_OVERRIDE","26Y")</f>
        <v/>
      </c>
      <c r="AR121" s="43">
        <f>BDP($B$121,"BEST_SALES","BEST_FPERIOD_OVERRIDE","27Y")</f>
        <v/>
      </c>
      <c r="AS121" s="43">
        <f>BDP($B$121,"BEST_SALES","BEST_FPERIOD_OVERRIDE","28Y")</f>
        <v/>
      </c>
      <c r="AT121" s="31" t="n"/>
      <c r="AU121" s="48">
        <f>BDP($B$121,"BEST_EBIT","BEST_FPERIOD_OVERRIDE","24Y")</f>
        <v/>
      </c>
      <c r="AV121" s="43">
        <f>BDP($B$121,"BEST_EBIT","BEST_FPERIOD_OVERRIDE","25Y")</f>
        <v/>
      </c>
      <c r="AW121" s="43">
        <f>BDP($B$121,"BEST_EBIT","BEST_FPERIOD_OVERRIDE","26Y")</f>
        <v/>
      </c>
      <c r="AX121" s="43">
        <f>BDP($B$121,"BEST_EBIT","BEST_FPERIOD_OVERRIDE","27Y")</f>
        <v/>
      </c>
      <c r="AY121" s="43">
        <f>BDP($B$121,"BEST_EBIT","BEST_FPERIOD_OVERRIDE","28Y")</f>
        <v/>
      </c>
      <c r="AZ121" s="31" t="n"/>
      <c r="BA121" s="1">
        <f>C121+BD121</f>
        <v/>
      </c>
      <c r="BB121" s="42">
        <f>AB121-AD121</f>
        <v/>
      </c>
      <c r="BC121" s="42">
        <f>C121</f>
        <v/>
      </c>
      <c r="BD121" s="43">
        <f>BDP($B$121,"TRAIL_12M_EBITDA")</f>
        <v/>
      </c>
      <c r="BE121" s="43">
        <f>_xll.BDP("AMD UW Equity","TRAIL_12M_EBITDA")</f>
        <v/>
      </c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</row>
    <row r="122">
      <c r="A122" s="1" t="inlineStr">
        <is>
          <t>QCOM</t>
        </is>
      </c>
      <c r="B122" s="1" t="inlineStr">
        <is>
          <t>QCOM UW Equity</t>
        </is>
      </c>
      <c r="C122" s="43">
        <f>BDP($B$122,"CUR_MKT_CAP")/1000000000</f>
        <v/>
      </c>
      <c r="D122" s="44">
        <f>BDP($B$122,"PX_LAST")</f>
        <v/>
      </c>
      <c r="E122" s="45">
        <f>IF(BDP($B$122,"BEST_EPS","BEST_FPERIOD_OVERRIDE","26Y")&lt;&gt;0,$D$122/BDP($B$122,"BEST_EPS","BEST_FPERIOD_OVERRIDE","26Y"),"")</f>
        <v/>
      </c>
      <c r="F122" s="45">
        <f>IF(BDP($B$122,"BEST_EPS","BEST_FPERIOD_OVERRIDE","27Y")&lt;&gt;0,$D$122/BDP($B$122,"BEST_EPS","BEST_FPERIOD_OVERRIDE","27Y"),"")</f>
        <v/>
      </c>
      <c r="G122" s="45">
        <f>IF(BDP($B$122,"BEST_EPS","BEST_FPERIOD_OVERRIDE","28Y")&lt;&gt;0,$D$122/BDP($B$122,"BEST_EPS","BEST_FPERIOD_OVERRIDE","28Y"),"")</f>
        <v/>
      </c>
      <c r="H122" s="46">
        <f>BDP($B$122,"NET_DEBT_TO_EBITDA")</f>
        <v/>
      </c>
      <c r="I122" s="43">
        <f>BDP($B$122,"BEST_SALES","BEST_FPERIOD_OVERRIDE","26Y")/1000</f>
        <v/>
      </c>
      <c r="J122" s="47">
        <f>IF(BDP($B$122,"BEST_SALES","BEST_FPERIOD_OVERRIDE","26Y")&lt;&gt;0,BDP($B$122,"BEST_EBIT","BEST_FPERIOD_OVERRIDE","26Y")/BDP($B$122,"BEST_SALES","BEST_FPERIOD_OVERRIDE","26Y"),"")</f>
        <v/>
      </c>
      <c r="K122" s="47">
        <f>BDP($B$122,"RETURN_ON_INV_CAPITAL")/100</f>
        <v/>
      </c>
      <c r="L122" s="47">
        <f>IF(AND(BDP($B$122,"BEST_SALES","BEST_FPERIOD_OVERRIDE","25Y")&gt;0,BDP($B$122,"BEST_SALES","BEST_FPERIOD_OVERRIDE","28Y")&gt;0),(BDP($B$122,"BEST_SALES","BEST_FPERIOD_OVERRIDE","28Y")/BDP($B$122,"BEST_SALES","BEST_FPERIOD_OVERRIDE","25Y"))^(1/3)-1,"")</f>
        <v/>
      </c>
      <c r="M122" s="47">
        <f>IF(AND(BDP($B$122,"BEST_EBIT","BEST_FPERIOD_OVERRIDE","25Y")&gt;0,BDP($B$122,"BEST_EBIT","BEST_FPERIOD_OVERRIDE","28Y")&gt;0),(BDP($B$122,"BEST_EBIT","BEST_FPERIOD_OVERRIDE","28Y")/BDP($B$122,"BEST_EBIT","BEST_FPERIOD_OVERRIDE","25Y"))^(1/3)-1,"")</f>
        <v/>
      </c>
      <c r="N122" s="47">
        <f>IF(AND(BDP($B$122,"BEST_EPS","BEST_FPERIOD_OVERRIDE","25Y")&gt;0,BDP($B$122,"BEST_EPS","BEST_FPERIOD_OVERRIDE","28Y")&gt;0),(BDP($B$122,"BEST_EPS","BEST_FPERIOD_OVERRIDE","28Y")/BDP($B$122,"BEST_EPS","BEST_FPERIOD_OVERRIDE","25Y"))^(1/3)-1,"")</f>
        <v/>
      </c>
      <c r="O122" s="1" t="n"/>
      <c r="P122" s="47">
        <f>BDP($B$122,"CHG_PCT_YTD")/100</f>
        <v/>
      </c>
      <c r="Q122" s="1" t="n"/>
      <c r="R122" s="1" t="n"/>
      <c r="S122" s="42">
        <f>IF(AND(E122&lt;&gt;"",N122&lt;&gt;"",N122&lt;&gt;0),E122/(N122*100),"")</f>
        <v/>
      </c>
      <c r="T122" s="1" t="n"/>
      <c r="U122" s="26" t="inlineStr">
        <is>
          <t>Sep</t>
        </is>
      </c>
      <c r="V122" s="1" t="n"/>
      <c r="W122" s="1" t="n"/>
      <c r="X122" s="1" t="n"/>
      <c r="Y122" s="1" t="n"/>
      <c r="Z122" s="1" t="n"/>
      <c r="AA122" s="47">
        <f>BDP($B$122,"TRAIL_12M_OPER_INC")</f>
        <v/>
      </c>
      <c r="AB122" s="43">
        <f>BDP($B$122,"SHORT_AND_LONG_TERM_DEBT")</f>
        <v/>
      </c>
      <c r="AC122" s="43">
        <f>BDP($B$122,"TOTAL_EQUITY")</f>
        <v/>
      </c>
      <c r="AD122" s="43">
        <f>BDP($B$122,"BS_CASH_NEAR_CASH_ITEM")</f>
        <v/>
      </c>
      <c r="AE122" s="43">
        <f>BDP($B$122,"BS_LT_INVEST")</f>
        <v/>
      </c>
      <c r="AF122" s="31">
        <f>AB122+AC122</f>
        <v/>
      </c>
      <c r="AG122" s="43">
        <f>BDP($B$122,"RETURN_ON_INV_CAPITAL")/100</f>
        <v/>
      </c>
      <c r="AH122" s="49" t="n"/>
      <c r="AI122" s="48">
        <f>BDP($B$122,"BEST_EPS","BEST_FPERIOD_OVERRIDE","24Y")</f>
        <v/>
      </c>
      <c r="AJ122" s="43">
        <f>BDP($B$122,"BEST_EPS","BEST_FPERIOD_OVERRIDE","25Y")</f>
        <v/>
      </c>
      <c r="AK122" s="43">
        <f>BDP($B$122,"BEST_EPS","BEST_FPERIOD_OVERRIDE","26Y")</f>
        <v/>
      </c>
      <c r="AL122" s="43">
        <f>BDP($B$122,"BEST_EPS","BEST_FPERIOD_OVERRIDE","27Y")</f>
        <v/>
      </c>
      <c r="AM122" s="43">
        <f>BDP($B$122,"BEST_EPS","BEST_FPERIOD_OVERRIDE","28Y")</f>
        <v/>
      </c>
      <c r="AN122" s="31" t="n"/>
      <c r="AO122" s="43">
        <f>BDP($B$122,"BEST_SALES","BEST_FPERIOD_OVERRIDE","24Y")</f>
        <v/>
      </c>
      <c r="AP122" s="43">
        <f>BDP($B$122,"BEST_SALES","BEST_FPERIOD_OVERRIDE","25Y")</f>
        <v/>
      </c>
      <c r="AQ122" s="43">
        <f>BDP($B$122,"BEST_SALES","BEST_FPERIOD_OVERRIDE","26Y")</f>
        <v/>
      </c>
      <c r="AR122" s="43">
        <f>BDP($B$122,"BEST_SALES","BEST_FPERIOD_OVERRIDE","27Y")</f>
        <v/>
      </c>
      <c r="AS122" s="43">
        <f>BDP($B$122,"BEST_SALES","BEST_FPERIOD_OVERRIDE","28Y")</f>
        <v/>
      </c>
      <c r="AT122" s="31" t="n"/>
      <c r="AU122" s="48">
        <f>BDP($B$122,"BEST_EBIT","BEST_FPERIOD_OVERRIDE","24Y")</f>
        <v/>
      </c>
      <c r="AV122" s="43">
        <f>BDP($B$122,"BEST_EBIT","BEST_FPERIOD_OVERRIDE","25Y")</f>
        <v/>
      </c>
      <c r="AW122" s="43">
        <f>BDP($B$122,"BEST_EBIT","BEST_FPERIOD_OVERRIDE","26Y")</f>
        <v/>
      </c>
      <c r="AX122" s="43">
        <f>BDP($B$122,"BEST_EBIT","BEST_FPERIOD_OVERRIDE","27Y")</f>
        <v/>
      </c>
      <c r="AY122" s="43">
        <f>BDP($B$122,"BEST_EBIT","BEST_FPERIOD_OVERRIDE","28Y")</f>
        <v/>
      </c>
      <c r="AZ122" s="31" t="n"/>
      <c r="BA122" s="1">
        <f>C122+BD122</f>
        <v/>
      </c>
      <c r="BB122" s="42">
        <f>AB122-AD122</f>
        <v/>
      </c>
      <c r="BC122" s="42">
        <f>C122</f>
        <v/>
      </c>
      <c r="BD122" s="43">
        <f>BDP($B$122,"TRAIL_12M_EBITDA")</f>
        <v/>
      </c>
      <c r="BE122" s="43">
        <f>_xll.BDP("QCOM UW Equity","TRAIL_12M_EBITDA")</f>
        <v/>
      </c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</row>
    <row r="123">
      <c r="A123" s="1" t="inlineStr">
        <is>
          <t>ARM</t>
        </is>
      </c>
      <c r="B123" s="1" t="inlineStr">
        <is>
          <t>ARM UW Equity</t>
        </is>
      </c>
      <c r="C123" s="43">
        <f>BDP($B$123,"CUR_MKT_CAP")/1000000000</f>
        <v/>
      </c>
      <c r="D123" s="44">
        <f>BDP($B$123,"PX_LAST")</f>
        <v/>
      </c>
      <c r="E123" s="45">
        <f>IF(BDP($B$123,"BEST_EPS","BEST_FPERIOD_OVERRIDE","27Y")&lt;&gt;0,$D$123/BDP($B$123,"BEST_EPS","BEST_FPERIOD_OVERRIDE","27Y"),"")</f>
        <v/>
      </c>
      <c r="F123" s="45">
        <f>IF(BDP($B$123,"BEST_EPS","BEST_FPERIOD_OVERRIDE","28Y")&lt;&gt;0,$D$123/BDP($B$123,"BEST_EPS","BEST_FPERIOD_OVERRIDE","28Y"),"")</f>
        <v/>
      </c>
      <c r="G123" s="45">
        <f>IF(BDP($B$123,"BEST_EPS","BEST_FPERIOD_OVERRIDE","29Y")&lt;&gt;0,$D$123/BDP($B$123,"BEST_EPS","BEST_FPERIOD_OVERRIDE","29Y"),"")</f>
        <v/>
      </c>
      <c r="H123" s="46">
        <f>BDP($B$123,"NET_DEBT_TO_EBITDA")</f>
        <v/>
      </c>
      <c r="I123" s="43">
        <f>BDP($B$123,"BEST_SALES","BEST_FPERIOD_OVERRIDE","27Y")/1000</f>
        <v/>
      </c>
      <c r="J123" s="47">
        <f>IF(BDP($B$123,"BEST_SALES","BEST_FPERIOD_OVERRIDE","27Y")&lt;&gt;0,BDP($B$123,"BEST_EBIT","BEST_FPERIOD_OVERRIDE","27Y")/BDP($B$123,"BEST_SALES","BEST_FPERIOD_OVERRIDE","27Y"),"")</f>
        <v/>
      </c>
      <c r="K123" s="47">
        <f>BDP($B$123,"RETURN_ON_INV_CAPITAL")/100</f>
        <v/>
      </c>
      <c r="L123" s="47">
        <f>IF(AND(BDP($B$123,"BEST_SALES","BEST_FPERIOD_OVERRIDE","26Y")&gt;0,BDP($B$123,"BEST_SALES","BEST_FPERIOD_OVERRIDE","29Y")&gt;0),(BDP($B$123,"BEST_SALES","BEST_FPERIOD_OVERRIDE","29Y")/BDP($B$123,"BEST_SALES","BEST_FPERIOD_OVERRIDE","26Y"))^(1/3)-1,"")</f>
        <v/>
      </c>
      <c r="M123" s="47">
        <f>IF(AND(BDP($B$123,"BEST_EBIT","BEST_FPERIOD_OVERRIDE","26Y")&gt;0,BDP($B$123,"BEST_EBIT","BEST_FPERIOD_OVERRIDE","29Y")&gt;0),(BDP($B$123,"BEST_EBIT","BEST_FPERIOD_OVERRIDE","29Y")/BDP($B$123,"BEST_EBIT","BEST_FPERIOD_OVERRIDE","26Y"))^(1/3)-1,"")</f>
        <v/>
      </c>
      <c r="N123" s="47">
        <f>IF(AND(BDP($B$123,"BEST_EPS","BEST_FPERIOD_OVERRIDE","26Y")&gt;0,BDP($B$123,"BEST_EPS","BEST_FPERIOD_OVERRIDE","29Y")&gt;0),(BDP($B$123,"BEST_EPS","BEST_FPERIOD_OVERRIDE","29Y")/BDP($B$123,"BEST_EPS","BEST_FPERIOD_OVERRIDE","26Y"))^(1/3)-1,"")</f>
        <v/>
      </c>
      <c r="O123" s="1" t="n"/>
      <c r="P123" s="47">
        <f>BDP($B$123,"CHG_PCT_YTD")/100</f>
        <v/>
      </c>
      <c r="Q123" s="1" t="n"/>
      <c r="R123" s="1" t="n"/>
      <c r="S123" s="42">
        <f>IF(AND(E123&lt;&gt;"",N123&lt;&gt;"",N123&lt;&gt;0),E123/(N123*100),"")</f>
        <v/>
      </c>
      <c r="T123" s="1" t="n"/>
      <c r="U123" s="26" t="inlineStr">
        <is>
          <t>Mar</t>
        </is>
      </c>
      <c r="V123" s="1" t="n"/>
      <c r="W123" s="1" t="n"/>
      <c r="X123" s="1" t="n"/>
      <c r="Y123" s="1" t="n"/>
      <c r="Z123" s="1" t="n"/>
      <c r="AA123" s="47">
        <f>BDP($B$123,"TRAIL_12M_OPER_INC")</f>
        <v/>
      </c>
      <c r="AB123" s="43">
        <f>BDP($B$123,"SHORT_AND_LONG_TERM_DEBT")</f>
        <v/>
      </c>
      <c r="AC123" s="43">
        <f>BDP($B$123,"TOTAL_EQUITY")</f>
        <v/>
      </c>
      <c r="AD123" s="43">
        <f>BDP($B$123,"BS_CASH_NEAR_CASH_ITEM")</f>
        <v/>
      </c>
      <c r="AE123" s="43">
        <f>BDP($B$123,"BS_LT_INVEST")</f>
        <v/>
      </c>
      <c r="AF123" s="31">
        <f>AB123+AC123</f>
        <v/>
      </c>
      <c r="AG123" s="43">
        <f>BDP($B$123,"RETURN_ON_INV_CAPITAL")/100</f>
        <v/>
      </c>
      <c r="AH123" s="49" t="n"/>
      <c r="AI123" s="48">
        <f>BDP($B$123,"BEST_EPS","BEST_FPERIOD_OVERRIDE","25Y")</f>
        <v/>
      </c>
      <c r="AJ123" s="43">
        <f>BDP($B$123,"BEST_EPS","BEST_FPERIOD_OVERRIDE","26Y")</f>
        <v/>
      </c>
      <c r="AK123" s="43">
        <f>BDP($B$123,"BEST_EPS","BEST_FPERIOD_OVERRIDE","27Y")</f>
        <v/>
      </c>
      <c r="AL123" s="43">
        <f>BDP($B$123,"BEST_EPS","BEST_FPERIOD_OVERRIDE","28Y")</f>
        <v/>
      </c>
      <c r="AM123" s="43">
        <f>BDP($B$123,"BEST_EPS","BEST_FPERIOD_OVERRIDE","29Y")</f>
        <v/>
      </c>
      <c r="AN123" s="31" t="n"/>
      <c r="AO123" s="43">
        <f>BDP($B$123,"BEST_SALES","BEST_FPERIOD_OVERRIDE","25Y")</f>
        <v/>
      </c>
      <c r="AP123" s="43">
        <f>BDP($B$123,"BEST_SALES","BEST_FPERIOD_OVERRIDE","26Y")</f>
        <v/>
      </c>
      <c r="AQ123" s="43">
        <f>BDP($B$123,"BEST_SALES","BEST_FPERIOD_OVERRIDE","27Y")</f>
        <v/>
      </c>
      <c r="AR123" s="43">
        <f>BDP($B$123,"BEST_SALES","BEST_FPERIOD_OVERRIDE","28Y")</f>
        <v/>
      </c>
      <c r="AS123" s="43">
        <f>BDP($B$123,"BEST_SALES","BEST_FPERIOD_OVERRIDE","29Y")</f>
        <v/>
      </c>
      <c r="AT123" s="31" t="n"/>
      <c r="AU123" s="48">
        <f>BDP($B$123,"BEST_EBIT","BEST_FPERIOD_OVERRIDE","25Y")</f>
        <v/>
      </c>
      <c r="AV123" s="43">
        <f>BDP($B$123,"BEST_EBIT","BEST_FPERIOD_OVERRIDE","26Y")</f>
        <v/>
      </c>
      <c r="AW123" s="43">
        <f>BDP($B$123,"BEST_EBIT","BEST_FPERIOD_OVERRIDE","27Y")</f>
        <v/>
      </c>
      <c r="AX123" s="43">
        <f>BDP($B$123,"BEST_EBIT","BEST_FPERIOD_OVERRIDE","28Y")</f>
        <v/>
      </c>
      <c r="AY123" s="43">
        <f>BDP($B$123,"BEST_EBIT","BEST_FPERIOD_OVERRIDE","29Y")</f>
        <v/>
      </c>
      <c r="AZ123" s="31" t="n"/>
      <c r="BA123" s="1">
        <f>C123+BD123</f>
        <v/>
      </c>
      <c r="BB123" s="42">
        <f>AB123-AD123</f>
        <v/>
      </c>
      <c r="BC123" s="42">
        <f>C123</f>
        <v/>
      </c>
      <c r="BD123" s="43">
        <f>BDP($B$123,"TRAIL_12M_EBITDA")</f>
        <v/>
      </c>
      <c r="BE123" s="43">
        <f>_xll.BDP("ARM UW Equity","TRAIL_12M_EBITDA")</f>
        <v/>
      </c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</row>
    <row r="124">
      <c r="A124" s="1" t="inlineStr">
        <is>
          <t>INTC</t>
        </is>
      </c>
      <c r="B124" s="1" t="inlineStr">
        <is>
          <t>INTC UW Equity</t>
        </is>
      </c>
      <c r="C124" s="43">
        <f>BDP($B$124,"CUR_MKT_CAP")/1000000000</f>
        <v/>
      </c>
      <c r="D124" s="44">
        <f>BDP($B$124,"PX_LAST")</f>
        <v/>
      </c>
      <c r="E124" s="45">
        <f>IF(BDP($B$124,"BEST_EPS","BEST_FPERIOD_OVERRIDE","26Y")&lt;&gt;0,$D$124/BDP($B$124,"BEST_EPS","BEST_FPERIOD_OVERRIDE","26Y"),"")</f>
        <v/>
      </c>
      <c r="F124" s="45">
        <f>IF(BDP($B$124,"BEST_EPS","BEST_FPERIOD_OVERRIDE","27Y")&lt;&gt;0,$D$124/BDP($B$124,"BEST_EPS","BEST_FPERIOD_OVERRIDE","27Y"),"")</f>
        <v/>
      </c>
      <c r="G124" s="45">
        <f>IF(BDP($B$124,"BEST_EPS","BEST_FPERIOD_OVERRIDE","28Y")&lt;&gt;0,$D$124/BDP($B$124,"BEST_EPS","BEST_FPERIOD_OVERRIDE","28Y"),"")</f>
        <v/>
      </c>
      <c r="H124" s="46">
        <f>BDP($B$124,"NET_DEBT_TO_EBITDA")</f>
        <v/>
      </c>
      <c r="I124" s="43">
        <f>BDP($B$124,"BEST_SALES","BEST_FPERIOD_OVERRIDE","26Y")/1000</f>
        <v/>
      </c>
      <c r="J124" s="47">
        <f>IF(BDP($B$124,"BEST_SALES","BEST_FPERIOD_OVERRIDE","26Y")&lt;&gt;0,BDP($B$124,"BEST_EBIT","BEST_FPERIOD_OVERRIDE","26Y")/BDP($B$124,"BEST_SALES","BEST_FPERIOD_OVERRIDE","26Y"),"")</f>
        <v/>
      </c>
      <c r="K124" s="47">
        <f>BDP($B$124,"RETURN_ON_INV_CAPITAL")/100</f>
        <v/>
      </c>
      <c r="L124" s="47">
        <f>IF(AND(BDP($B$124,"BEST_SALES","BEST_FPERIOD_OVERRIDE","25Y")&gt;0,BDP($B$124,"BEST_SALES","BEST_FPERIOD_OVERRIDE","28Y")&gt;0),(BDP($B$124,"BEST_SALES","BEST_FPERIOD_OVERRIDE","28Y")/BDP($B$124,"BEST_SALES","BEST_FPERIOD_OVERRIDE","25Y"))^(1/3)-1,"")</f>
        <v/>
      </c>
      <c r="M124" s="47">
        <f>IF(AND(BDP($B$124,"BEST_EBIT","BEST_FPERIOD_OVERRIDE","25Y")&gt;0,BDP($B$124,"BEST_EBIT","BEST_FPERIOD_OVERRIDE","28Y")&gt;0),(BDP($B$124,"BEST_EBIT","BEST_FPERIOD_OVERRIDE","28Y")/BDP($B$124,"BEST_EBIT","BEST_FPERIOD_OVERRIDE","25Y"))^(1/3)-1,"")</f>
        <v/>
      </c>
      <c r="N124" s="47">
        <f>IF(AND(BDP($B$124,"BEST_EPS","BEST_FPERIOD_OVERRIDE","25Y")&gt;0,BDP($B$124,"BEST_EPS","BEST_FPERIOD_OVERRIDE","28Y")&gt;0),(BDP($B$124,"BEST_EPS","BEST_FPERIOD_OVERRIDE","28Y")/BDP($B$124,"BEST_EPS","BEST_FPERIOD_OVERRIDE","25Y"))^(1/3)-1,"")</f>
        <v/>
      </c>
      <c r="O124" s="1" t="n"/>
      <c r="P124" s="47">
        <f>BDP($B$124,"CHG_PCT_YTD")/100</f>
        <v/>
      </c>
      <c r="Q124" s="1" t="n"/>
      <c r="R124" s="1" t="n"/>
      <c r="S124" s="42">
        <f>IF(AND(E124&lt;&gt;"",N124&lt;&gt;"",N124&lt;&gt;0),E124/(N124*100),"")</f>
        <v/>
      </c>
      <c r="T124" s="1" t="n"/>
      <c r="U124" s="26" t="inlineStr">
        <is>
          <t>Dec</t>
        </is>
      </c>
      <c r="V124" s="1" t="n"/>
      <c r="W124" s="1" t="n"/>
      <c r="X124" s="1" t="n"/>
      <c r="Y124" s="1" t="n"/>
      <c r="Z124" s="1" t="n"/>
      <c r="AA124" s="47">
        <f>BDP($B$124,"TRAIL_12M_OPER_INC")</f>
        <v/>
      </c>
      <c r="AB124" s="43">
        <f>BDP($B$124,"SHORT_AND_LONG_TERM_DEBT")</f>
        <v/>
      </c>
      <c r="AC124" s="43">
        <f>BDP($B$124,"TOTAL_EQUITY")</f>
        <v/>
      </c>
      <c r="AD124" s="43">
        <f>BDP($B$124,"BS_CASH_NEAR_CASH_ITEM")</f>
        <v/>
      </c>
      <c r="AE124" s="43">
        <f>BDP($B$124,"BS_LT_INVEST")</f>
        <v/>
      </c>
      <c r="AF124" s="31">
        <f>AB124+AC124</f>
        <v/>
      </c>
      <c r="AG124" s="43">
        <f>BDP($B$124,"RETURN_ON_INV_CAPITAL")/100</f>
        <v/>
      </c>
      <c r="AH124" s="49" t="n"/>
      <c r="AI124" s="48">
        <f>BDP($B$124,"BEST_EPS","BEST_FPERIOD_OVERRIDE","24Y")</f>
        <v/>
      </c>
      <c r="AJ124" s="43">
        <f>BDP($B$124,"BEST_EPS","BEST_FPERIOD_OVERRIDE","25Y")</f>
        <v/>
      </c>
      <c r="AK124" s="43">
        <f>BDP($B$124,"BEST_EPS","BEST_FPERIOD_OVERRIDE","26Y")</f>
        <v/>
      </c>
      <c r="AL124" s="43">
        <f>BDP($B$124,"BEST_EPS","BEST_FPERIOD_OVERRIDE","27Y")</f>
        <v/>
      </c>
      <c r="AM124" s="43">
        <f>BDP($B$124,"BEST_EPS","BEST_FPERIOD_OVERRIDE","28Y")</f>
        <v/>
      </c>
      <c r="AN124" s="31" t="n"/>
      <c r="AO124" s="43">
        <f>BDP($B$124,"BEST_SALES","BEST_FPERIOD_OVERRIDE","24Y")</f>
        <v/>
      </c>
      <c r="AP124" s="43">
        <f>BDP($B$124,"BEST_SALES","BEST_FPERIOD_OVERRIDE","25Y")</f>
        <v/>
      </c>
      <c r="AQ124" s="43">
        <f>BDP($B$124,"BEST_SALES","BEST_FPERIOD_OVERRIDE","26Y")</f>
        <v/>
      </c>
      <c r="AR124" s="43">
        <f>BDP($B$124,"BEST_SALES","BEST_FPERIOD_OVERRIDE","27Y")</f>
        <v/>
      </c>
      <c r="AS124" s="43">
        <f>BDP($B$124,"BEST_SALES","BEST_FPERIOD_OVERRIDE","28Y")</f>
        <v/>
      </c>
      <c r="AT124" s="31" t="n"/>
      <c r="AU124" s="48">
        <f>BDP($B$124,"BEST_EBIT","BEST_FPERIOD_OVERRIDE","24Y")</f>
        <v/>
      </c>
      <c r="AV124" s="43">
        <f>BDP($B$124,"BEST_EBIT","BEST_FPERIOD_OVERRIDE","25Y")</f>
        <v/>
      </c>
      <c r="AW124" s="43">
        <f>BDP($B$124,"BEST_EBIT","BEST_FPERIOD_OVERRIDE","26Y")</f>
        <v/>
      </c>
      <c r="AX124" s="43">
        <f>BDP($B$124,"BEST_EBIT","BEST_FPERIOD_OVERRIDE","27Y")</f>
        <v/>
      </c>
      <c r="AY124" s="43">
        <f>BDP($B$124,"BEST_EBIT","BEST_FPERIOD_OVERRIDE","28Y")</f>
        <v/>
      </c>
      <c r="AZ124" s="31" t="n"/>
      <c r="BA124" s="1">
        <f>C124+BD124</f>
        <v/>
      </c>
      <c r="BB124" s="42">
        <f>AB124-AD124</f>
        <v/>
      </c>
      <c r="BC124" s="42">
        <f>C124</f>
        <v/>
      </c>
      <c r="BD124" s="43">
        <f>BDP($B$124,"TRAIL_12M_EBITDA")</f>
        <v/>
      </c>
      <c r="BE124" s="43">
        <f>_xll.BDP("INTC UW Equity","TRAIL_12M_EBITDA")</f>
        <v/>
      </c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</row>
    <row r="125">
      <c r="A125" s="1" t="n"/>
      <c r="B125" s="1" t="n"/>
      <c r="C125" s="4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24" t="n"/>
      <c r="V125" s="1" t="n"/>
      <c r="W125" s="1" t="n"/>
      <c r="X125" s="1" t="n"/>
      <c r="Y125" s="1" t="n"/>
      <c r="Z125" s="1" t="n"/>
      <c r="AA125" s="4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n"/>
      <c r="BD125" s="1" t="n"/>
      <c r="BE125" s="1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</row>
    <row r="126">
      <c r="A126" s="3" t="inlineStr">
        <is>
          <t>Foundries</t>
        </is>
      </c>
      <c r="B126" s="1" t="n"/>
      <c r="C126" s="4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24" t="n"/>
      <c r="V126" s="1" t="n"/>
      <c r="W126" s="1" t="n"/>
      <c r="X126" s="1" t="n"/>
      <c r="Y126" s="1" t="n"/>
      <c r="Z126" s="1" t="n"/>
      <c r="AA126" s="4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</row>
    <row r="127">
      <c r="A127" s="1" t="inlineStr">
        <is>
          <t>TSMC</t>
        </is>
      </c>
      <c r="B127" s="1" t="inlineStr">
        <is>
          <t>TSM UN Equity</t>
        </is>
      </c>
      <c r="C127" s="43">
        <f>BDP($B$127,"CUR_MKT_CAP")/1000000000</f>
        <v/>
      </c>
      <c r="D127" s="44">
        <f>BDP($B$127,"PX_LAST")</f>
        <v/>
      </c>
      <c r="E127" s="45">
        <f>IF(BDP($B$127,"BEST_EPS","BEST_FPERIOD_OVERRIDE","26Y","EQY_FUND_CRNCY","USD")&lt;&gt;0,$D$127/BDP($B$127,"BEST_EPS","BEST_FPERIOD_OVERRIDE","26Y","EQY_FUND_CRNCY","USD"),"")</f>
        <v/>
      </c>
      <c r="F127" s="45">
        <f>IF(BDP($B$127,"BEST_EPS","BEST_FPERIOD_OVERRIDE","27Y","EQY_FUND_CRNCY","USD")&lt;&gt;0,$D$127/BDP($B$127,"BEST_EPS","BEST_FPERIOD_OVERRIDE","27Y","EQY_FUND_CRNCY","USD"),"")</f>
        <v/>
      </c>
      <c r="G127" s="45">
        <f>IF(BDP($B$127,"BEST_EPS","BEST_FPERIOD_OVERRIDE","28Y","EQY_FUND_CRNCY","USD")&lt;&gt;0,$D$127/BDP($B$127,"BEST_EPS","BEST_FPERIOD_OVERRIDE","28Y","EQY_FUND_CRNCY","USD"),"")</f>
        <v/>
      </c>
      <c r="H127" s="46">
        <f>BDP($B$127,"NET_DEBT_TO_EBITDA")</f>
        <v/>
      </c>
      <c r="I127" s="43">
        <f>BDP($B$127,"BEST_SALES","BEST_FPERIOD_OVERRIDE","26Y","EQY_FUND_CRNCY","USD")/1000</f>
        <v/>
      </c>
      <c r="J127" s="47">
        <f>IF(BDP($B$127,"BEST_SALES","BEST_FPERIOD_OVERRIDE","26Y","EQY_FUND_CRNCY","USD")&lt;&gt;0,BDP($B$127,"BEST_EBIT","BEST_FPERIOD_OVERRIDE","26Y","EQY_FUND_CRNCY","USD")/BDP($B$127,"BEST_SALES","BEST_FPERIOD_OVERRIDE","26Y","EQY_FUND_CRNCY","USD"),"")</f>
        <v/>
      </c>
      <c r="K127" s="47">
        <f>BDP($B$127,"RETURN_ON_INV_CAPITAL")/100</f>
        <v/>
      </c>
      <c r="L127" s="47">
        <f>IF(AND(BDP($B$127,"BEST_SALES","BEST_FPERIOD_OVERRIDE","25Y","EQY_FUND_CRNCY","USD")&gt;0,BDP($B$127,"BEST_SALES","BEST_FPERIOD_OVERRIDE","28Y","EQY_FUND_CRNCY","USD")&gt;0),(BDP($B$127,"BEST_SALES","BEST_FPERIOD_OVERRIDE","28Y","EQY_FUND_CRNCY","USD")/BDP($B$127,"BEST_SALES","BEST_FPERIOD_OVERRIDE","25Y","EQY_FUND_CRNCY","USD"))^(1/3)-1,"")</f>
        <v/>
      </c>
      <c r="M127" s="47">
        <f>IF(AND(BDP($B$127,"BEST_EBIT","BEST_FPERIOD_OVERRIDE","25Y","EQY_FUND_CRNCY","USD")&gt;0,BDP($B$127,"BEST_EBIT","BEST_FPERIOD_OVERRIDE","28Y","EQY_FUND_CRNCY","USD")&gt;0),(BDP($B$127,"BEST_EBIT","BEST_FPERIOD_OVERRIDE","28Y","EQY_FUND_CRNCY","USD")/BDP($B$127,"BEST_EBIT","BEST_FPERIOD_OVERRIDE","25Y","EQY_FUND_CRNCY","USD"))^(1/3)-1,"")</f>
        <v/>
      </c>
      <c r="N127" s="47">
        <f>IF(AND(BDP($B$127,"BEST_EPS","BEST_FPERIOD_OVERRIDE","25Y","EQY_FUND_CRNCY","USD")&gt;0,BDP($B$127,"BEST_EPS","BEST_FPERIOD_OVERRIDE","28Y","EQY_FUND_CRNCY","USD")&gt;0),(BDP($B$127,"BEST_EPS","BEST_FPERIOD_OVERRIDE","28Y","EQY_FUND_CRNCY","USD")/BDP($B$127,"BEST_EPS","BEST_FPERIOD_OVERRIDE","25Y","EQY_FUND_CRNCY","USD"))^(1/3)-1,"")</f>
        <v/>
      </c>
      <c r="O127" s="1" t="n"/>
      <c r="P127" s="47">
        <f>BDP($B$127,"CHG_PCT_YTD")/100</f>
        <v/>
      </c>
      <c r="Q127" s="1" t="n"/>
      <c r="R127" s="1" t="n"/>
      <c r="S127" s="42">
        <f>IF(AND(E127&lt;&gt;"",N127&lt;&gt;"",N127&lt;&gt;0),E127/(N127*100),"")</f>
        <v/>
      </c>
      <c r="T127" s="1" t="n"/>
      <c r="U127" s="26" t="inlineStr">
        <is>
          <t>Dec</t>
        </is>
      </c>
      <c r="V127" s="1" t="n"/>
      <c r="W127" s="1" t="n"/>
      <c r="X127" s="1" t="n"/>
      <c r="Y127" s="1" t="n"/>
      <c r="Z127" s="1" t="n"/>
      <c r="AA127" s="47">
        <f>BDP($B$127,"TRAIL_12M_OPER_INC")</f>
        <v/>
      </c>
      <c r="AB127" s="43">
        <f>BDP($B$127,"SHORT_AND_LONG_TERM_DEBT")</f>
        <v/>
      </c>
      <c r="AC127" s="43">
        <f>BDP($B$127,"TOTAL_EQUITY")</f>
        <v/>
      </c>
      <c r="AD127" s="43">
        <f>BDP($B$127,"BS_CASH_NEAR_CASH_ITEM")</f>
        <v/>
      </c>
      <c r="AE127" s="43">
        <f>BDP($B$127,"BS_LT_INVEST")</f>
        <v/>
      </c>
      <c r="AF127" s="31">
        <f>AB127+AC127</f>
        <v/>
      </c>
      <c r="AG127" s="43">
        <f>BDP($B$127,"RETURN_ON_INV_CAPITAL")/100</f>
        <v/>
      </c>
      <c r="AH127" s="49" t="n"/>
      <c r="AI127" s="48">
        <f>BDP($B$127,"BEST_EPS","BEST_FPERIOD_OVERRIDE","24Y","EQY_FUND_CRNCY","USD")</f>
        <v/>
      </c>
      <c r="AJ127" s="43">
        <f>BDP($B$127,"BEST_EPS","BEST_FPERIOD_OVERRIDE","25Y","EQY_FUND_CRNCY","USD")</f>
        <v/>
      </c>
      <c r="AK127" s="43">
        <f>BDP($B$127,"BEST_EPS","BEST_FPERIOD_OVERRIDE","26Y","EQY_FUND_CRNCY","USD")</f>
        <v/>
      </c>
      <c r="AL127" s="43">
        <f>BDP($B$127,"BEST_EPS","BEST_FPERIOD_OVERRIDE","27Y","EQY_FUND_CRNCY","USD")</f>
        <v/>
      </c>
      <c r="AM127" s="43">
        <f>BDP($B$127,"BEST_EPS","BEST_FPERIOD_OVERRIDE","28Y","EQY_FUND_CRNCY","USD")</f>
        <v/>
      </c>
      <c r="AN127" s="31" t="n"/>
      <c r="AO127" s="43">
        <f>BDP($B$127,"BEST_SALES","BEST_FPERIOD_OVERRIDE","24Y","EQY_FUND_CRNCY","USD")</f>
        <v/>
      </c>
      <c r="AP127" s="43">
        <f>BDP($B$127,"BEST_SALES","BEST_FPERIOD_OVERRIDE","25Y","EQY_FUND_CRNCY","USD")</f>
        <v/>
      </c>
      <c r="AQ127" s="43">
        <f>BDP($B$127,"BEST_SALES","BEST_FPERIOD_OVERRIDE","26Y","EQY_FUND_CRNCY","USD")</f>
        <v/>
      </c>
      <c r="AR127" s="43">
        <f>BDP($B$127,"BEST_SALES","BEST_FPERIOD_OVERRIDE","27Y","EQY_FUND_CRNCY","USD")</f>
        <v/>
      </c>
      <c r="AS127" s="43">
        <f>BDP($B$127,"BEST_SALES","BEST_FPERIOD_OVERRIDE","28Y","EQY_FUND_CRNCY","USD")</f>
        <v/>
      </c>
      <c r="AT127" s="31" t="n"/>
      <c r="AU127" s="48">
        <f>BDP($B$127,"BEST_EBIT","BEST_FPERIOD_OVERRIDE","24Y","EQY_FUND_CRNCY","USD")</f>
        <v/>
      </c>
      <c r="AV127" s="43">
        <f>BDP($B$127,"BEST_EBIT","BEST_FPERIOD_OVERRIDE","25Y","EQY_FUND_CRNCY","USD")</f>
        <v/>
      </c>
      <c r="AW127" s="43">
        <f>BDP($B$127,"BEST_EBIT","BEST_FPERIOD_OVERRIDE","26Y","EQY_FUND_CRNCY","USD")</f>
        <v/>
      </c>
      <c r="AX127" s="43">
        <f>BDP($B$127,"BEST_EBIT","BEST_FPERIOD_OVERRIDE","27Y","EQY_FUND_CRNCY","USD")</f>
        <v/>
      </c>
      <c r="AY127" s="43">
        <f>BDP($B$127,"BEST_EBIT","BEST_FPERIOD_OVERRIDE","28Y","EQY_FUND_CRNCY","USD")</f>
        <v/>
      </c>
      <c r="AZ127" s="31" t="n"/>
      <c r="BA127" s="1">
        <f>C127+BD127</f>
        <v/>
      </c>
      <c r="BB127" s="42">
        <f>AB127-AD127</f>
        <v/>
      </c>
      <c r="BC127" s="42">
        <f>C127</f>
        <v/>
      </c>
      <c r="BD127" s="43">
        <f>BDP($B$127,"TRAIL_12M_EBITDA")</f>
        <v/>
      </c>
      <c r="BE127" s="43">
        <f>_xll.BDP("TSM UN Equity","TRAIL_12M_EBITDA")</f>
        <v/>
      </c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</row>
    <row r="128">
      <c r="A128" s="1" t="inlineStr">
        <is>
          <t>GFS</t>
        </is>
      </c>
      <c r="B128" s="1" t="inlineStr">
        <is>
          <t>GFS UW Equity</t>
        </is>
      </c>
      <c r="C128" s="43">
        <f>BDP($B$128,"CUR_MKT_CAP")/1000000000</f>
        <v/>
      </c>
      <c r="D128" s="44">
        <f>BDP($B$128,"PX_LAST")</f>
        <v/>
      </c>
      <c r="E128" s="45">
        <f>IF(BDP($B$128,"BEST_EPS","BEST_FPERIOD_OVERRIDE","26Y")&lt;&gt;0,$D$128/BDP($B$128,"BEST_EPS","BEST_FPERIOD_OVERRIDE","26Y"),"")</f>
        <v/>
      </c>
      <c r="F128" s="45">
        <f>IF(BDP($B$128,"BEST_EPS","BEST_FPERIOD_OVERRIDE","27Y")&lt;&gt;0,$D$128/BDP($B$128,"BEST_EPS","BEST_FPERIOD_OVERRIDE","27Y"),"")</f>
        <v/>
      </c>
      <c r="G128" s="45">
        <f>IF(BDP($B$128,"BEST_EPS","BEST_FPERIOD_OVERRIDE","28Y")&lt;&gt;0,$D$128/BDP($B$128,"BEST_EPS","BEST_FPERIOD_OVERRIDE","28Y"),"")</f>
        <v/>
      </c>
      <c r="H128" s="46">
        <f>BDP($B$128,"NET_DEBT_TO_EBITDA")</f>
        <v/>
      </c>
      <c r="I128" s="43">
        <f>BDP($B$128,"BEST_SALES","BEST_FPERIOD_OVERRIDE","26Y")/1000</f>
        <v/>
      </c>
      <c r="J128" s="47">
        <f>IF(BDP($B$128,"BEST_SALES","BEST_FPERIOD_OVERRIDE","26Y")&lt;&gt;0,BDP($B$128,"BEST_EBIT","BEST_FPERIOD_OVERRIDE","26Y")/BDP($B$128,"BEST_SALES","BEST_FPERIOD_OVERRIDE","26Y"),"")</f>
        <v/>
      </c>
      <c r="K128" s="47">
        <f>BDP($B$128,"RETURN_ON_INV_CAPITAL")/100</f>
        <v/>
      </c>
      <c r="L128" s="47">
        <f>IF(AND(BDP($B$128,"BEST_SALES","BEST_FPERIOD_OVERRIDE","25Y")&gt;0,BDP($B$128,"BEST_SALES","BEST_FPERIOD_OVERRIDE","28Y")&gt;0),(BDP($B$128,"BEST_SALES","BEST_FPERIOD_OVERRIDE","28Y")/BDP($B$128,"BEST_SALES","BEST_FPERIOD_OVERRIDE","25Y"))^(1/3)-1,"")</f>
        <v/>
      </c>
      <c r="M128" s="47">
        <f>IF(AND(BDP($B$128,"BEST_EBIT","BEST_FPERIOD_OVERRIDE","25Y")&gt;0,BDP($B$128,"BEST_EBIT","BEST_FPERIOD_OVERRIDE","28Y")&gt;0),(BDP($B$128,"BEST_EBIT","BEST_FPERIOD_OVERRIDE","28Y")/BDP($B$128,"BEST_EBIT","BEST_FPERIOD_OVERRIDE","25Y"))^(1/3)-1,"")</f>
        <v/>
      </c>
      <c r="N128" s="47">
        <f>IF(AND(BDP($B$128,"BEST_EPS","BEST_FPERIOD_OVERRIDE","25Y")&gt;0,BDP($B$128,"BEST_EPS","BEST_FPERIOD_OVERRIDE","28Y")&gt;0),(BDP($B$128,"BEST_EPS","BEST_FPERIOD_OVERRIDE","28Y")/BDP($B$128,"BEST_EPS","BEST_FPERIOD_OVERRIDE","25Y"))^(1/3)-1,"")</f>
        <v/>
      </c>
      <c r="O128" s="1" t="n"/>
      <c r="P128" s="47">
        <f>BDP($B$128,"CHG_PCT_YTD")/100</f>
        <v/>
      </c>
      <c r="Q128" s="1" t="n"/>
      <c r="R128" s="1" t="n"/>
      <c r="S128" s="42">
        <f>IF(AND(E128&lt;&gt;"",N128&lt;&gt;"",N128&lt;&gt;0),E128/(N128*100),"")</f>
        <v/>
      </c>
      <c r="T128" s="1" t="n"/>
      <c r="U128" s="26" t="inlineStr">
        <is>
          <t>Dec</t>
        </is>
      </c>
      <c r="V128" s="1" t="n"/>
      <c r="W128" s="1" t="n"/>
      <c r="X128" s="1" t="n"/>
      <c r="Y128" s="1" t="n"/>
      <c r="Z128" s="1" t="n"/>
      <c r="AA128" s="47">
        <f>BDP($B$128,"TRAIL_12M_OPER_INC")</f>
        <v/>
      </c>
      <c r="AB128" s="43">
        <f>BDP($B$128,"SHORT_AND_LONG_TERM_DEBT")</f>
        <v/>
      </c>
      <c r="AC128" s="43">
        <f>BDP($B$128,"TOTAL_EQUITY")</f>
        <v/>
      </c>
      <c r="AD128" s="43">
        <f>BDP($B$128,"BS_CASH_NEAR_CASH_ITEM")</f>
        <v/>
      </c>
      <c r="AE128" s="43">
        <f>BDP($B$128,"BS_LT_INVEST")</f>
        <v/>
      </c>
      <c r="AF128" s="31">
        <f>AB128+AC128</f>
        <v/>
      </c>
      <c r="AG128" s="43">
        <f>BDP($B$128,"RETURN_ON_INV_CAPITAL")/100</f>
        <v/>
      </c>
      <c r="AH128" s="49" t="n"/>
      <c r="AI128" s="48">
        <f>BDP($B$128,"BEST_EPS","BEST_FPERIOD_OVERRIDE","24Y")</f>
        <v/>
      </c>
      <c r="AJ128" s="43">
        <f>BDP($B$128,"BEST_EPS","BEST_FPERIOD_OVERRIDE","25Y")</f>
        <v/>
      </c>
      <c r="AK128" s="43">
        <f>BDP($B$128,"BEST_EPS","BEST_FPERIOD_OVERRIDE","26Y")</f>
        <v/>
      </c>
      <c r="AL128" s="43">
        <f>BDP($B$128,"BEST_EPS","BEST_FPERIOD_OVERRIDE","27Y")</f>
        <v/>
      </c>
      <c r="AM128" s="43">
        <f>BDP($B$128,"BEST_EPS","BEST_FPERIOD_OVERRIDE","28Y")</f>
        <v/>
      </c>
      <c r="AN128" s="31" t="n"/>
      <c r="AO128" s="43">
        <f>BDP($B$128,"BEST_SALES","BEST_FPERIOD_OVERRIDE","24Y")</f>
        <v/>
      </c>
      <c r="AP128" s="43">
        <f>BDP($B$128,"BEST_SALES","BEST_FPERIOD_OVERRIDE","25Y")</f>
        <v/>
      </c>
      <c r="AQ128" s="43">
        <f>BDP($B$128,"BEST_SALES","BEST_FPERIOD_OVERRIDE","26Y")</f>
        <v/>
      </c>
      <c r="AR128" s="43">
        <f>BDP($B$128,"BEST_SALES","BEST_FPERIOD_OVERRIDE","27Y")</f>
        <v/>
      </c>
      <c r="AS128" s="43">
        <f>BDP($B$128,"BEST_SALES","BEST_FPERIOD_OVERRIDE","28Y")</f>
        <v/>
      </c>
      <c r="AT128" s="31" t="n"/>
      <c r="AU128" s="48">
        <f>BDP($B$128,"BEST_EBIT","BEST_FPERIOD_OVERRIDE","24Y")</f>
        <v/>
      </c>
      <c r="AV128" s="43">
        <f>BDP($B$128,"BEST_EBIT","BEST_FPERIOD_OVERRIDE","25Y")</f>
        <v/>
      </c>
      <c r="AW128" s="43">
        <f>BDP($B$128,"BEST_EBIT","BEST_FPERIOD_OVERRIDE","26Y")</f>
        <v/>
      </c>
      <c r="AX128" s="43">
        <f>BDP($B$128,"BEST_EBIT","BEST_FPERIOD_OVERRIDE","27Y")</f>
        <v/>
      </c>
      <c r="AY128" s="43">
        <f>BDP($B$128,"BEST_EBIT","BEST_FPERIOD_OVERRIDE","28Y")</f>
        <v/>
      </c>
      <c r="AZ128" s="31" t="n"/>
      <c r="BA128" s="1">
        <f>C128+BD128</f>
        <v/>
      </c>
      <c r="BB128" s="42">
        <f>AB128-AD128</f>
        <v/>
      </c>
      <c r="BC128" s="42">
        <f>C128</f>
        <v/>
      </c>
      <c r="BD128" s="43">
        <f>BDP($B$128,"TRAIL_12M_EBITDA")</f>
        <v/>
      </c>
      <c r="BE128" s="43">
        <f>_xll.BDP("GFS UW Equity","TRAIL_12M_EBITDA")</f>
        <v/>
      </c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</row>
    <row r="129">
      <c r="A129" s="1" t="n"/>
      <c r="B129" s="1" t="n"/>
      <c r="C129" s="4" t="n"/>
      <c r="D129" s="38" t="n"/>
      <c r="E129" s="39" t="n"/>
      <c r="F129" s="39" t="n"/>
      <c r="G129" s="39" t="n"/>
      <c r="H129" s="40" t="n"/>
      <c r="I129" s="4" t="n"/>
      <c r="J129" s="41" t="n"/>
      <c r="K129" s="41" t="n"/>
      <c r="L129" s="41" t="n"/>
      <c r="M129" s="41" t="n"/>
      <c r="N129" s="41" t="n"/>
      <c r="O129" s="1" t="n"/>
      <c r="P129" s="1" t="n"/>
      <c r="Q129" s="1" t="n"/>
      <c r="R129" s="1" t="n"/>
      <c r="S129" s="42" t="n"/>
      <c r="T129" s="1" t="n"/>
      <c r="U129" s="26" t="n"/>
      <c r="V129" s="1" t="n"/>
      <c r="W129" s="1" t="n"/>
      <c r="X129" s="1" t="n"/>
      <c r="Y129" s="1" t="n"/>
      <c r="Z129" s="1" t="n"/>
      <c r="AA129" s="41" t="n"/>
      <c r="AB129" s="4" t="n"/>
      <c r="AC129" s="4" t="n"/>
      <c r="AD129" s="4" t="n"/>
      <c r="AE129" s="4" t="n"/>
      <c r="AF129" s="4" t="n"/>
      <c r="AG129" s="4" t="n"/>
      <c r="AH129" s="41" t="n"/>
      <c r="AI129" s="1" t="n"/>
      <c r="AJ129" s="4" t="n"/>
      <c r="AK129" s="4" t="n"/>
      <c r="AL129" s="4" t="n"/>
      <c r="AM129" s="4" t="n"/>
      <c r="AN129" s="4" t="n"/>
      <c r="AO129" s="4" t="n"/>
      <c r="AP129" s="4" t="n"/>
      <c r="AQ129" s="4" t="n"/>
      <c r="AR129" s="4" t="n"/>
      <c r="AS129" s="4" t="n"/>
      <c r="AT129" s="4" t="n"/>
      <c r="AU129" s="1" t="n"/>
      <c r="AV129" s="4" t="n"/>
      <c r="AW129" s="4" t="n"/>
      <c r="AX129" s="4" t="n"/>
      <c r="AY129" s="4" t="n"/>
      <c r="AZ129" s="4" t="n"/>
      <c r="BA129" s="1" t="n"/>
      <c r="BB129" s="42" t="n"/>
      <c r="BC129" s="42" t="n"/>
      <c r="BD129" s="4" t="n"/>
      <c r="BE129" s="4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</row>
    <row r="130">
      <c r="A130" s="3" t="inlineStr">
        <is>
          <t>Semi-cap</t>
        </is>
      </c>
      <c r="B130" s="1" t="n"/>
      <c r="C130" s="48" t="n"/>
      <c r="D130" s="48" t="n"/>
      <c r="E130" s="48" t="n"/>
      <c r="F130" s="48" t="n"/>
      <c r="G130" s="48" t="n"/>
      <c r="H130" s="48" t="n"/>
      <c r="I130" s="48" t="n"/>
      <c r="J130" s="48" t="n"/>
      <c r="K130" s="48" t="n"/>
      <c r="L130" s="48" t="n"/>
      <c r="M130" s="48" t="n"/>
      <c r="N130" s="48" t="n"/>
      <c r="O130" s="1" t="n"/>
      <c r="P130" s="48" t="n"/>
      <c r="Q130" s="1" t="n"/>
      <c r="R130" s="1" t="n"/>
      <c r="S130" s="1">
        <f>IF(AND(E130&lt;&gt;"",N130&lt;&gt;"",N130&lt;&gt;0),E130/(N130*100),"")</f>
        <v/>
      </c>
      <c r="T130" s="1" t="n"/>
      <c r="U130" s="24" t="inlineStr">
        <is>
          <t>Dec</t>
        </is>
      </c>
      <c r="V130" s="1" t="n"/>
      <c r="W130" s="1" t="n"/>
      <c r="X130" s="1" t="n"/>
      <c r="Y130" s="1" t="n"/>
      <c r="Z130" s="1" t="n"/>
      <c r="AA130" s="48" t="n"/>
      <c r="AB130" s="48" t="n"/>
      <c r="AC130" s="48" t="n"/>
      <c r="AD130" s="48" t="n"/>
      <c r="AE130" s="48" t="n"/>
      <c r="AF130" s="1">
        <f>AB130+AC130</f>
        <v/>
      </c>
      <c r="AG130" s="48" t="n"/>
      <c r="AH130" s="1" t="n"/>
      <c r="AI130" s="48" t="n"/>
      <c r="AJ130" s="48" t="n"/>
      <c r="AK130" s="48" t="n"/>
      <c r="AL130" s="48" t="n"/>
      <c r="AM130" s="48" t="n"/>
      <c r="AN130" s="1" t="n"/>
      <c r="AO130" s="48" t="n"/>
      <c r="AP130" s="48" t="n"/>
      <c r="AQ130" s="48" t="n"/>
      <c r="AR130" s="48" t="n"/>
      <c r="AS130" s="48" t="n"/>
      <c r="AT130" s="1" t="n"/>
      <c r="AU130" s="48" t="n"/>
      <c r="AV130" s="48" t="n"/>
      <c r="AW130" s="48" t="n"/>
      <c r="AX130" s="48" t="n"/>
      <c r="AY130" s="48" t="n"/>
      <c r="AZ130" s="1" t="n"/>
      <c r="BA130" s="1">
        <f>C130+BD130</f>
        <v/>
      </c>
      <c r="BB130" s="1">
        <f>AB130-AD130</f>
        <v/>
      </c>
      <c r="BC130" s="1">
        <f>C130</f>
        <v/>
      </c>
      <c r="BD130" s="48" t="n"/>
      <c r="BE130" s="1" t="n"/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</row>
    <row r="131">
      <c r="A131" s="1" t="inlineStr">
        <is>
          <t>ASML</t>
        </is>
      </c>
      <c r="B131" s="1" t="inlineStr">
        <is>
          <t>ASML UW Equity</t>
        </is>
      </c>
      <c r="C131" s="43">
        <f>BDP($B$131,"CUR_MKT_CAP")/1000000000</f>
        <v/>
      </c>
      <c r="D131" s="44">
        <f>BDP($B$131,"PX_LAST")</f>
        <v/>
      </c>
      <c r="E131" s="45">
        <f>IF(BDP($B$131,"BEST_EPS","BEST_FPERIOD_OVERRIDE","26Y")&lt;&gt;0,$D$131/BDP($B$131,"BEST_EPS","BEST_FPERIOD_OVERRIDE","26Y"),"")</f>
        <v/>
      </c>
      <c r="F131" s="45">
        <f>IF(BDP($B$131,"BEST_EPS","BEST_FPERIOD_OVERRIDE","27Y")&lt;&gt;0,$D$131/BDP($B$131,"BEST_EPS","BEST_FPERIOD_OVERRIDE","27Y"),"")</f>
        <v/>
      </c>
      <c r="G131" s="45">
        <f>IF(BDP($B$131,"BEST_EPS","BEST_FPERIOD_OVERRIDE","28Y")&lt;&gt;0,$D$131/BDP($B$131,"BEST_EPS","BEST_FPERIOD_OVERRIDE","28Y"),"")</f>
        <v/>
      </c>
      <c r="H131" s="46">
        <f>BDP($B$131,"NET_DEBT_TO_EBITDA")</f>
        <v/>
      </c>
      <c r="I131" s="43">
        <f>BDP($B$131,"BEST_SALES","BEST_FPERIOD_OVERRIDE","26Y")/1000</f>
        <v/>
      </c>
      <c r="J131" s="47">
        <f>IF(BDP($B$131,"BEST_SALES","BEST_FPERIOD_OVERRIDE","26Y")&lt;&gt;0,BDP($B$131,"BEST_EBIT","BEST_FPERIOD_OVERRIDE","26Y")/BDP($B$131,"BEST_SALES","BEST_FPERIOD_OVERRIDE","26Y"),"")</f>
        <v/>
      </c>
      <c r="K131" s="47">
        <f>BDP($B$131,"RETURN_ON_INV_CAPITAL")/100</f>
        <v/>
      </c>
      <c r="L131" s="47">
        <f>IF(AND(BDP($B$131,"BEST_SALES","BEST_FPERIOD_OVERRIDE","25Y")&gt;0,BDP($B$131,"BEST_SALES","BEST_FPERIOD_OVERRIDE","28Y")&gt;0),(BDP($B$131,"BEST_SALES","BEST_FPERIOD_OVERRIDE","28Y")/BDP($B$131,"BEST_SALES","BEST_FPERIOD_OVERRIDE","25Y"))^(1/3)-1,"")</f>
        <v/>
      </c>
      <c r="M131" s="47">
        <f>IF(AND(BDP($B$131,"BEST_EBIT","BEST_FPERIOD_OVERRIDE","25Y")&gt;0,BDP($B$131,"BEST_EBIT","BEST_FPERIOD_OVERRIDE","28Y")&gt;0),(BDP($B$131,"BEST_EBIT","BEST_FPERIOD_OVERRIDE","28Y")/BDP($B$131,"BEST_EBIT","BEST_FPERIOD_OVERRIDE","25Y"))^(1/3)-1,"")</f>
        <v/>
      </c>
      <c r="N131" s="47">
        <f>IF(AND(BDP($B$131,"BEST_EPS","BEST_FPERIOD_OVERRIDE","25Y")&gt;0,BDP($B$131,"BEST_EPS","BEST_FPERIOD_OVERRIDE","28Y")&gt;0),(BDP($B$131,"BEST_EPS","BEST_FPERIOD_OVERRIDE","28Y")/BDP($B$131,"BEST_EPS","BEST_FPERIOD_OVERRIDE","25Y"))^(1/3)-1,"")</f>
        <v/>
      </c>
      <c r="O131" s="1" t="n"/>
      <c r="P131" s="47">
        <f>BDP($B$131,"CHG_PCT_YTD")/100</f>
        <v/>
      </c>
      <c r="Q131" s="1" t="n"/>
      <c r="R131" s="1" t="n"/>
      <c r="S131" s="42">
        <f>IF(AND(E131&lt;&gt;"",N131&lt;&gt;"",N131&lt;&gt;0),E131/(N131*100),"")</f>
        <v/>
      </c>
      <c r="T131" s="1" t="n"/>
      <c r="U131" s="26" t="inlineStr">
        <is>
          <t>Dec</t>
        </is>
      </c>
      <c r="V131" s="1" t="n"/>
      <c r="W131" s="1" t="n"/>
      <c r="X131" s="1" t="n"/>
      <c r="Y131" s="1" t="n"/>
      <c r="Z131" s="1" t="n"/>
      <c r="AA131" s="47">
        <f>BDP($B$131,"TRAIL_12M_OPER_INC")</f>
        <v/>
      </c>
      <c r="AB131" s="43">
        <f>BDP($B$131,"SHORT_AND_LONG_TERM_DEBT")</f>
        <v/>
      </c>
      <c r="AC131" s="43">
        <f>BDP($B$131,"TOTAL_EQUITY")</f>
        <v/>
      </c>
      <c r="AD131" s="43">
        <f>BDP($B$131,"BS_CASH_NEAR_CASH_ITEM")</f>
        <v/>
      </c>
      <c r="AE131" s="43">
        <f>BDP($B$131,"BS_LT_INVEST")</f>
        <v/>
      </c>
      <c r="AF131" s="31">
        <f>AB131+AC131</f>
        <v/>
      </c>
      <c r="AG131" s="43">
        <f>BDP($B$131,"RETURN_ON_INV_CAPITAL")/100</f>
        <v/>
      </c>
      <c r="AH131" s="49" t="n"/>
      <c r="AI131" s="48">
        <f>BDP($B$131,"BEST_EPS","BEST_FPERIOD_OVERRIDE","24Y")</f>
        <v/>
      </c>
      <c r="AJ131" s="43">
        <f>BDP($B$131,"BEST_EPS","BEST_FPERIOD_OVERRIDE","25Y")</f>
        <v/>
      </c>
      <c r="AK131" s="43">
        <f>BDP($B$131,"BEST_EPS","BEST_FPERIOD_OVERRIDE","26Y")</f>
        <v/>
      </c>
      <c r="AL131" s="43">
        <f>BDP($B$131,"BEST_EPS","BEST_FPERIOD_OVERRIDE","27Y")</f>
        <v/>
      </c>
      <c r="AM131" s="43">
        <f>BDP($B$131,"BEST_EPS","BEST_FPERIOD_OVERRIDE","28Y")</f>
        <v/>
      </c>
      <c r="AN131" s="31" t="n"/>
      <c r="AO131" s="43">
        <f>BDP($B$131,"BEST_SALES","BEST_FPERIOD_OVERRIDE","24Y")</f>
        <v/>
      </c>
      <c r="AP131" s="43">
        <f>BDP($B$131,"BEST_SALES","BEST_FPERIOD_OVERRIDE","25Y")</f>
        <v/>
      </c>
      <c r="AQ131" s="43">
        <f>BDP($B$131,"BEST_SALES","BEST_FPERIOD_OVERRIDE","26Y")</f>
        <v/>
      </c>
      <c r="AR131" s="43">
        <f>BDP($B$131,"BEST_SALES","BEST_FPERIOD_OVERRIDE","27Y")</f>
        <v/>
      </c>
      <c r="AS131" s="43">
        <f>BDP($B$131,"BEST_SALES","BEST_FPERIOD_OVERRIDE","28Y")</f>
        <v/>
      </c>
      <c r="AT131" s="31" t="n"/>
      <c r="AU131" s="48">
        <f>BDP($B$131,"BEST_EBIT","BEST_FPERIOD_OVERRIDE","24Y")</f>
        <v/>
      </c>
      <c r="AV131" s="43">
        <f>BDP($B$131,"BEST_EBIT","BEST_FPERIOD_OVERRIDE","25Y")</f>
        <v/>
      </c>
      <c r="AW131" s="43">
        <f>BDP($B$131,"BEST_EBIT","BEST_FPERIOD_OVERRIDE","26Y")</f>
        <v/>
      </c>
      <c r="AX131" s="43">
        <f>BDP($B$131,"BEST_EBIT","BEST_FPERIOD_OVERRIDE","27Y")</f>
        <v/>
      </c>
      <c r="AY131" s="43">
        <f>BDP($B$131,"BEST_EBIT","BEST_FPERIOD_OVERRIDE","28Y")</f>
        <v/>
      </c>
      <c r="AZ131" s="31" t="n"/>
      <c r="BA131" s="1">
        <f>C131+BD131</f>
        <v/>
      </c>
      <c r="BB131" s="42">
        <f>AB131-AD131</f>
        <v/>
      </c>
      <c r="BC131" s="42">
        <f>C131</f>
        <v/>
      </c>
      <c r="BD131" s="43">
        <f>BDP($B$131,"TRAIL_12M_EBITDA")</f>
        <v/>
      </c>
      <c r="BE131" s="43">
        <f>_xll.BDP("ASML UW Equity","TRAIL_12M_EBITDA")</f>
        <v/>
      </c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</row>
    <row r="132">
      <c r="A132" s="1" t="inlineStr">
        <is>
          <t>AMAT</t>
        </is>
      </c>
      <c r="B132" s="1" t="inlineStr">
        <is>
          <t>AMAT UW Equity</t>
        </is>
      </c>
      <c r="C132" s="43">
        <f>BDP($B$132,"CUR_MKT_CAP")/1000000000</f>
        <v/>
      </c>
      <c r="D132" s="44">
        <f>BDP($B$132,"PX_LAST")</f>
        <v/>
      </c>
      <c r="E132" s="45">
        <f>IF(BDP($B$132,"BEST_EPS","BEST_FPERIOD_OVERRIDE","26Y")&lt;&gt;0,$D$132/BDP($B$132,"BEST_EPS","BEST_FPERIOD_OVERRIDE","26Y"),"")</f>
        <v/>
      </c>
      <c r="F132" s="45">
        <f>IF(BDP($B$132,"BEST_EPS","BEST_FPERIOD_OVERRIDE","27Y")&lt;&gt;0,$D$132/BDP($B$132,"BEST_EPS","BEST_FPERIOD_OVERRIDE","27Y"),"")</f>
        <v/>
      </c>
      <c r="G132" s="45">
        <f>IF(BDP($B$132,"BEST_EPS","BEST_FPERIOD_OVERRIDE","28Y")&lt;&gt;0,$D$132/BDP($B$132,"BEST_EPS","BEST_FPERIOD_OVERRIDE","28Y"),"")</f>
        <v/>
      </c>
      <c r="H132" s="46">
        <f>BDP($B$132,"NET_DEBT_TO_EBITDA")</f>
        <v/>
      </c>
      <c r="I132" s="43">
        <f>BDP($B$132,"BEST_SALES","BEST_FPERIOD_OVERRIDE","26Y")/1000</f>
        <v/>
      </c>
      <c r="J132" s="47">
        <f>IF(BDP($B$132,"BEST_SALES","BEST_FPERIOD_OVERRIDE","26Y")&lt;&gt;0,BDP($B$132,"BEST_EBIT","BEST_FPERIOD_OVERRIDE","26Y")/BDP($B$132,"BEST_SALES","BEST_FPERIOD_OVERRIDE","26Y"),"")</f>
        <v/>
      </c>
      <c r="K132" s="47">
        <f>BDP($B$132,"RETURN_ON_INV_CAPITAL")/100</f>
        <v/>
      </c>
      <c r="L132" s="47">
        <f>IF(AND(BDP($B$132,"BEST_SALES","BEST_FPERIOD_OVERRIDE","25Y")&gt;0,BDP($B$132,"BEST_SALES","BEST_FPERIOD_OVERRIDE","28Y")&gt;0),(BDP($B$132,"BEST_SALES","BEST_FPERIOD_OVERRIDE","28Y")/BDP($B$132,"BEST_SALES","BEST_FPERIOD_OVERRIDE","25Y"))^(1/3)-1,"")</f>
        <v/>
      </c>
      <c r="M132" s="47">
        <f>IF(AND(BDP($B$132,"BEST_EBIT","BEST_FPERIOD_OVERRIDE","25Y")&gt;0,BDP($B$132,"BEST_EBIT","BEST_FPERIOD_OVERRIDE","28Y")&gt;0),(BDP($B$132,"BEST_EBIT","BEST_FPERIOD_OVERRIDE","28Y")/BDP($B$132,"BEST_EBIT","BEST_FPERIOD_OVERRIDE","25Y"))^(1/3)-1,"")</f>
        <v/>
      </c>
      <c r="N132" s="47">
        <f>IF(AND(BDP($B$132,"BEST_EPS","BEST_FPERIOD_OVERRIDE","25Y")&gt;0,BDP($B$132,"BEST_EPS","BEST_FPERIOD_OVERRIDE","28Y")&gt;0),(BDP($B$132,"BEST_EPS","BEST_FPERIOD_OVERRIDE","28Y")/BDP($B$132,"BEST_EPS","BEST_FPERIOD_OVERRIDE","25Y"))^(1/3)-1,"")</f>
        <v/>
      </c>
      <c r="O132" s="1" t="n"/>
      <c r="P132" s="47">
        <f>BDP($B$132,"CHG_PCT_YTD")/100</f>
        <v/>
      </c>
      <c r="Q132" s="1" t="n"/>
      <c r="R132" s="1" t="n"/>
      <c r="S132" s="42">
        <f>IF(AND(E132&lt;&gt;"",N132&lt;&gt;"",N132&lt;&gt;0),E132/(N132*100),"")</f>
        <v/>
      </c>
      <c r="T132" s="1" t="n"/>
      <c r="U132" s="26" t="inlineStr">
        <is>
          <t>Oct</t>
        </is>
      </c>
      <c r="V132" s="1" t="n"/>
      <c r="W132" s="1" t="n"/>
      <c r="X132" s="1" t="n"/>
      <c r="Y132" s="1" t="n"/>
      <c r="Z132" s="1" t="n"/>
      <c r="AA132" s="47">
        <f>BDP($B$132,"TRAIL_12M_OPER_INC")</f>
        <v/>
      </c>
      <c r="AB132" s="43">
        <f>BDP($B$132,"SHORT_AND_LONG_TERM_DEBT")</f>
        <v/>
      </c>
      <c r="AC132" s="43">
        <f>BDP($B$132,"TOTAL_EQUITY")</f>
        <v/>
      </c>
      <c r="AD132" s="43">
        <f>BDP($B$132,"BS_CASH_NEAR_CASH_ITEM")</f>
        <v/>
      </c>
      <c r="AE132" s="43">
        <f>BDP($B$132,"BS_LT_INVEST")</f>
        <v/>
      </c>
      <c r="AF132" s="31">
        <f>AB132+AC132</f>
        <v/>
      </c>
      <c r="AG132" s="43">
        <f>BDP($B$132,"RETURN_ON_INV_CAPITAL")/100</f>
        <v/>
      </c>
      <c r="AH132" s="49" t="n"/>
      <c r="AI132" s="48">
        <f>BDP($B$132,"BEST_EPS","BEST_FPERIOD_OVERRIDE","24Y")</f>
        <v/>
      </c>
      <c r="AJ132" s="43">
        <f>BDP($B$132,"BEST_EPS","BEST_FPERIOD_OVERRIDE","25Y")</f>
        <v/>
      </c>
      <c r="AK132" s="43">
        <f>BDP($B$132,"BEST_EPS","BEST_FPERIOD_OVERRIDE","26Y")</f>
        <v/>
      </c>
      <c r="AL132" s="43">
        <f>BDP($B$132,"BEST_EPS","BEST_FPERIOD_OVERRIDE","27Y")</f>
        <v/>
      </c>
      <c r="AM132" s="43">
        <f>BDP($B$132,"BEST_EPS","BEST_FPERIOD_OVERRIDE","28Y")</f>
        <v/>
      </c>
      <c r="AN132" s="31" t="n"/>
      <c r="AO132" s="43">
        <f>BDP($B$132,"BEST_SALES","BEST_FPERIOD_OVERRIDE","24Y")</f>
        <v/>
      </c>
      <c r="AP132" s="43">
        <f>BDP($B$132,"BEST_SALES","BEST_FPERIOD_OVERRIDE","25Y")</f>
        <v/>
      </c>
      <c r="AQ132" s="43">
        <f>BDP($B$132,"BEST_SALES","BEST_FPERIOD_OVERRIDE","26Y")</f>
        <v/>
      </c>
      <c r="AR132" s="43">
        <f>BDP($B$132,"BEST_SALES","BEST_FPERIOD_OVERRIDE","27Y")</f>
        <v/>
      </c>
      <c r="AS132" s="43">
        <f>BDP($B$132,"BEST_SALES","BEST_FPERIOD_OVERRIDE","28Y")</f>
        <v/>
      </c>
      <c r="AT132" s="31" t="n"/>
      <c r="AU132" s="48">
        <f>BDP($B$132,"BEST_EBIT","BEST_FPERIOD_OVERRIDE","24Y")</f>
        <v/>
      </c>
      <c r="AV132" s="43">
        <f>BDP($B$132,"BEST_EBIT","BEST_FPERIOD_OVERRIDE","25Y")</f>
        <v/>
      </c>
      <c r="AW132" s="43">
        <f>BDP($B$132,"BEST_EBIT","BEST_FPERIOD_OVERRIDE","26Y")</f>
        <v/>
      </c>
      <c r="AX132" s="43">
        <f>BDP($B$132,"BEST_EBIT","BEST_FPERIOD_OVERRIDE","27Y")</f>
        <v/>
      </c>
      <c r="AY132" s="43">
        <f>BDP($B$132,"BEST_EBIT","BEST_FPERIOD_OVERRIDE","28Y")</f>
        <v/>
      </c>
      <c r="AZ132" s="31" t="n"/>
      <c r="BA132" s="1">
        <f>C132+BD132</f>
        <v/>
      </c>
      <c r="BB132" s="42">
        <f>AB132-AD132</f>
        <v/>
      </c>
      <c r="BC132" s="42">
        <f>C132</f>
        <v/>
      </c>
      <c r="BD132" s="43">
        <f>BDP($B$132,"TRAIL_12M_EBITDA")</f>
        <v/>
      </c>
      <c r="BE132" s="43">
        <f>_xll.BDP("AMAT UW Equity","TRAIL_12M_EBITDA")</f>
        <v/>
      </c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</row>
    <row r="133">
      <c r="A133" s="1" t="inlineStr">
        <is>
          <t>KLAC</t>
        </is>
      </c>
      <c r="B133" s="1" t="inlineStr">
        <is>
          <t>KLAC UW Equity</t>
        </is>
      </c>
      <c r="C133" s="43">
        <f>BDP($B$133,"CUR_MKT_CAP")/1000000000</f>
        <v/>
      </c>
      <c r="D133" s="44">
        <f>BDP($B$133,"PX_LAST")</f>
        <v/>
      </c>
      <c r="E133" s="45">
        <f>IF(BDP($B$133,"BEST_EPS","BEST_FPERIOD_OVERRIDE","26Y")&lt;&gt;0,$D$133/BDP($B$133,"BEST_EPS","BEST_FPERIOD_OVERRIDE","26Y"),"")</f>
        <v/>
      </c>
      <c r="F133" s="45">
        <f>IF(BDP($B$133,"BEST_EPS","BEST_FPERIOD_OVERRIDE","27Y")&lt;&gt;0,$D$133/BDP($B$133,"BEST_EPS","BEST_FPERIOD_OVERRIDE","27Y"),"")</f>
        <v/>
      </c>
      <c r="G133" s="45">
        <f>IF(BDP($B$133,"BEST_EPS","BEST_FPERIOD_OVERRIDE","28Y")&lt;&gt;0,$D$133/BDP($B$133,"BEST_EPS","BEST_FPERIOD_OVERRIDE","28Y"),"")</f>
        <v/>
      </c>
      <c r="H133" s="46">
        <f>BDP($B$133,"NET_DEBT_TO_EBITDA")</f>
        <v/>
      </c>
      <c r="I133" s="43">
        <f>BDP($B$133,"BEST_SALES","BEST_FPERIOD_OVERRIDE","26Y")/1000</f>
        <v/>
      </c>
      <c r="J133" s="47">
        <f>IF(BDP($B$133,"BEST_SALES","BEST_FPERIOD_OVERRIDE","26Y")&lt;&gt;0,BDP($B$133,"BEST_EBIT","BEST_FPERIOD_OVERRIDE","26Y")/BDP($B$133,"BEST_SALES","BEST_FPERIOD_OVERRIDE","26Y"),"")</f>
        <v/>
      </c>
      <c r="K133" s="47">
        <f>BDP($B$133,"RETURN_ON_INV_CAPITAL")/100</f>
        <v/>
      </c>
      <c r="L133" s="47">
        <f>IF(AND(BDP($B$133,"BEST_SALES","BEST_FPERIOD_OVERRIDE","25Y")&gt;0,BDP($B$133,"BEST_SALES","BEST_FPERIOD_OVERRIDE","28Y")&gt;0),(BDP($B$133,"BEST_SALES","BEST_FPERIOD_OVERRIDE","28Y")/BDP($B$133,"BEST_SALES","BEST_FPERIOD_OVERRIDE","25Y"))^(1/3)-1,"")</f>
        <v/>
      </c>
      <c r="M133" s="47">
        <f>IF(AND(BDP($B$133,"BEST_EBIT","BEST_FPERIOD_OVERRIDE","25Y")&gt;0,BDP($B$133,"BEST_EBIT","BEST_FPERIOD_OVERRIDE","28Y")&gt;0),(BDP($B$133,"BEST_EBIT","BEST_FPERIOD_OVERRIDE","28Y")/BDP($B$133,"BEST_EBIT","BEST_FPERIOD_OVERRIDE","25Y"))^(1/3)-1,"")</f>
        <v/>
      </c>
      <c r="N133" s="47">
        <f>IF(AND(BDP($B$133,"BEST_EPS","BEST_FPERIOD_OVERRIDE","25Y")&gt;0,BDP($B$133,"BEST_EPS","BEST_FPERIOD_OVERRIDE","28Y")&gt;0),(BDP($B$133,"BEST_EPS","BEST_FPERIOD_OVERRIDE","28Y")/BDP($B$133,"BEST_EPS","BEST_FPERIOD_OVERRIDE","25Y"))^(1/3)-1,"")</f>
        <v/>
      </c>
      <c r="O133" s="1" t="n"/>
      <c r="P133" s="47">
        <f>BDP($B$133,"CHG_PCT_YTD")/100</f>
        <v/>
      </c>
      <c r="Q133" s="1" t="n"/>
      <c r="R133" s="1" t="n"/>
      <c r="S133" s="42">
        <f>IF(AND(E133&lt;&gt;"",N133&lt;&gt;"",N133&lt;&gt;0),E133/(N133*100),"")</f>
        <v/>
      </c>
      <c r="T133" s="1" t="n"/>
      <c r="U133" s="26" t="inlineStr">
        <is>
          <t>Jun</t>
        </is>
      </c>
      <c r="V133" s="1" t="n"/>
      <c r="W133" s="1" t="n"/>
      <c r="X133" s="1" t="n"/>
      <c r="Y133" s="1" t="n"/>
      <c r="Z133" s="1" t="n"/>
      <c r="AA133" s="47">
        <f>BDP($B$133,"TRAIL_12M_OPER_INC")</f>
        <v/>
      </c>
      <c r="AB133" s="43">
        <f>BDP($B$133,"SHORT_AND_LONG_TERM_DEBT")</f>
        <v/>
      </c>
      <c r="AC133" s="43">
        <f>BDP($B$133,"TOTAL_EQUITY")</f>
        <v/>
      </c>
      <c r="AD133" s="43">
        <f>BDP($B$133,"BS_CASH_NEAR_CASH_ITEM")</f>
        <v/>
      </c>
      <c r="AE133" s="43">
        <f>BDP($B$133,"BS_LT_INVEST")</f>
        <v/>
      </c>
      <c r="AF133" s="31">
        <f>AB133+AC133</f>
        <v/>
      </c>
      <c r="AG133" s="43">
        <f>BDP($B$133,"RETURN_ON_INV_CAPITAL")/100</f>
        <v/>
      </c>
      <c r="AH133" s="49" t="n"/>
      <c r="AI133" s="48">
        <f>BDP($B$133,"BEST_EPS","BEST_FPERIOD_OVERRIDE","24Y")</f>
        <v/>
      </c>
      <c r="AJ133" s="43">
        <f>BDP($B$133,"BEST_EPS","BEST_FPERIOD_OVERRIDE","25Y")</f>
        <v/>
      </c>
      <c r="AK133" s="43">
        <f>BDP($B$133,"BEST_EPS","BEST_FPERIOD_OVERRIDE","26Y")</f>
        <v/>
      </c>
      <c r="AL133" s="43">
        <f>BDP($B$133,"BEST_EPS","BEST_FPERIOD_OVERRIDE","27Y")</f>
        <v/>
      </c>
      <c r="AM133" s="43">
        <f>BDP($B$133,"BEST_EPS","BEST_FPERIOD_OVERRIDE","28Y")</f>
        <v/>
      </c>
      <c r="AN133" s="31" t="n"/>
      <c r="AO133" s="43">
        <f>BDP($B$133,"BEST_SALES","BEST_FPERIOD_OVERRIDE","24Y")</f>
        <v/>
      </c>
      <c r="AP133" s="43">
        <f>BDP($B$133,"BEST_SALES","BEST_FPERIOD_OVERRIDE","25Y")</f>
        <v/>
      </c>
      <c r="AQ133" s="43">
        <f>BDP($B$133,"BEST_SALES","BEST_FPERIOD_OVERRIDE","26Y")</f>
        <v/>
      </c>
      <c r="AR133" s="43">
        <f>BDP($B$133,"BEST_SALES","BEST_FPERIOD_OVERRIDE","27Y")</f>
        <v/>
      </c>
      <c r="AS133" s="43">
        <f>BDP($B$133,"BEST_SALES","BEST_FPERIOD_OVERRIDE","28Y")</f>
        <v/>
      </c>
      <c r="AT133" s="31" t="n"/>
      <c r="AU133" s="48">
        <f>BDP($B$133,"BEST_EBIT","BEST_FPERIOD_OVERRIDE","24Y")</f>
        <v/>
      </c>
      <c r="AV133" s="43">
        <f>BDP($B$133,"BEST_EBIT","BEST_FPERIOD_OVERRIDE","25Y")</f>
        <v/>
      </c>
      <c r="AW133" s="43">
        <f>BDP($B$133,"BEST_EBIT","BEST_FPERIOD_OVERRIDE","26Y")</f>
        <v/>
      </c>
      <c r="AX133" s="43">
        <f>BDP($B$133,"BEST_EBIT","BEST_FPERIOD_OVERRIDE","27Y")</f>
        <v/>
      </c>
      <c r="AY133" s="43">
        <f>BDP($B$133,"BEST_EBIT","BEST_FPERIOD_OVERRIDE","28Y")</f>
        <v/>
      </c>
      <c r="AZ133" s="31" t="n"/>
      <c r="BA133" s="1">
        <f>C133+BD133</f>
        <v/>
      </c>
      <c r="BB133" s="42">
        <f>AB133-AD133</f>
        <v/>
      </c>
      <c r="BC133" s="42">
        <f>C133</f>
        <v/>
      </c>
      <c r="BD133" s="43">
        <f>BDP($B$133,"TRAIL_12M_EBITDA")</f>
        <v/>
      </c>
      <c r="BE133" s="43">
        <f>_xll.BDP("KLAC UW Equity","TRAIL_12M_EBITDA")</f>
        <v/>
      </c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</row>
    <row r="134">
      <c r="A134" s="1" t="inlineStr">
        <is>
          <t>LRCX</t>
        </is>
      </c>
      <c r="B134" s="1" t="inlineStr">
        <is>
          <t>LRCX UW Equity</t>
        </is>
      </c>
      <c r="C134" s="43">
        <f>BDP($B$134,"CUR_MKT_CAP")/1000000000</f>
        <v/>
      </c>
      <c r="D134" s="44">
        <f>BDP($B$134,"PX_LAST")</f>
        <v/>
      </c>
      <c r="E134" s="45">
        <f>IF(BDP($B$134,"BEST_EPS","BEST_FPERIOD_OVERRIDE","26Y")&lt;&gt;0,$D$134/BDP($B$134,"BEST_EPS","BEST_FPERIOD_OVERRIDE","26Y"),"")</f>
        <v/>
      </c>
      <c r="F134" s="45">
        <f>IF(BDP($B$134,"BEST_EPS","BEST_FPERIOD_OVERRIDE","27Y")&lt;&gt;0,$D$134/BDP($B$134,"BEST_EPS","BEST_FPERIOD_OVERRIDE","27Y"),"")</f>
        <v/>
      </c>
      <c r="G134" s="45">
        <f>IF(BDP($B$134,"BEST_EPS","BEST_FPERIOD_OVERRIDE","28Y")&lt;&gt;0,$D$134/BDP($B$134,"BEST_EPS","BEST_FPERIOD_OVERRIDE","28Y"),"")</f>
        <v/>
      </c>
      <c r="H134" s="46">
        <f>BDP($B$134,"NET_DEBT_TO_EBITDA")</f>
        <v/>
      </c>
      <c r="I134" s="43">
        <f>BDP($B$134,"BEST_SALES","BEST_FPERIOD_OVERRIDE","26Y")/1000</f>
        <v/>
      </c>
      <c r="J134" s="47">
        <f>IF(BDP($B$134,"BEST_SALES","BEST_FPERIOD_OVERRIDE","26Y")&lt;&gt;0,BDP($B$134,"BEST_EBIT","BEST_FPERIOD_OVERRIDE","26Y")/BDP($B$134,"BEST_SALES","BEST_FPERIOD_OVERRIDE","26Y"),"")</f>
        <v/>
      </c>
      <c r="K134" s="47">
        <f>BDP($B$134,"RETURN_ON_INV_CAPITAL")/100</f>
        <v/>
      </c>
      <c r="L134" s="47">
        <f>IF(AND(BDP($B$134,"BEST_SALES","BEST_FPERIOD_OVERRIDE","25Y")&gt;0,BDP($B$134,"BEST_SALES","BEST_FPERIOD_OVERRIDE","28Y")&gt;0),(BDP($B$134,"BEST_SALES","BEST_FPERIOD_OVERRIDE","28Y")/BDP($B$134,"BEST_SALES","BEST_FPERIOD_OVERRIDE","25Y"))^(1/3)-1,"")</f>
        <v/>
      </c>
      <c r="M134" s="47">
        <f>IF(AND(BDP($B$134,"BEST_EBIT","BEST_FPERIOD_OVERRIDE","25Y")&gt;0,BDP($B$134,"BEST_EBIT","BEST_FPERIOD_OVERRIDE","28Y")&gt;0),(BDP($B$134,"BEST_EBIT","BEST_FPERIOD_OVERRIDE","28Y")/BDP($B$134,"BEST_EBIT","BEST_FPERIOD_OVERRIDE","25Y"))^(1/3)-1,"")</f>
        <v/>
      </c>
      <c r="N134" s="47">
        <f>IF(AND(BDP($B$134,"BEST_EPS","BEST_FPERIOD_OVERRIDE","25Y")&gt;0,BDP($B$134,"BEST_EPS","BEST_FPERIOD_OVERRIDE","28Y")&gt;0),(BDP($B$134,"BEST_EPS","BEST_FPERIOD_OVERRIDE","28Y")/BDP($B$134,"BEST_EPS","BEST_FPERIOD_OVERRIDE","25Y"))^(1/3)-1,"")</f>
        <v/>
      </c>
      <c r="O134" s="1" t="n"/>
      <c r="P134" s="47">
        <f>BDP($B$134,"CHG_PCT_YTD")/100</f>
        <v/>
      </c>
      <c r="Q134" s="1" t="n"/>
      <c r="R134" s="1" t="n"/>
      <c r="S134" s="42">
        <f>IF(AND(E134&lt;&gt;"",N134&lt;&gt;"",N134&lt;&gt;0),E134/(N134*100),"")</f>
        <v/>
      </c>
      <c r="T134" s="1" t="n"/>
      <c r="U134" s="26" t="inlineStr">
        <is>
          <t>Jun</t>
        </is>
      </c>
      <c r="V134" s="1" t="n"/>
      <c r="W134" s="1" t="n"/>
      <c r="X134" s="1" t="n"/>
      <c r="Y134" s="1" t="n"/>
      <c r="Z134" s="1" t="n"/>
      <c r="AA134" s="47">
        <f>BDP($B$134,"TRAIL_12M_OPER_INC")</f>
        <v/>
      </c>
      <c r="AB134" s="43">
        <f>BDP($B$134,"SHORT_AND_LONG_TERM_DEBT")</f>
        <v/>
      </c>
      <c r="AC134" s="43">
        <f>BDP($B$134,"TOTAL_EQUITY")</f>
        <v/>
      </c>
      <c r="AD134" s="43">
        <f>BDP($B$134,"BS_CASH_NEAR_CASH_ITEM")</f>
        <v/>
      </c>
      <c r="AE134" s="43">
        <f>BDP($B$134,"BS_LT_INVEST")</f>
        <v/>
      </c>
      <c r="AF134" s="31">
        <f>AB134+AC134</f>
        <v/>
      </c>
      <c r="AG134" s="43">
        <f>BDP($B$134,"RETURN_ON_INV_CAPITAL")/100</f>
        <v/>
      </c>
      <c r="AH134" s="49" t="n"/>
      <c r="AI134" s="48">
        <f>BDP($B$134,"BEST_EPS","BEST_FPERIOD_OVERRIDE","24Y")</f>
        <v/>
      </c>
      <c r="AJ134" s="43">
        <f>BDP($B$134,"BEST_EPS","BEST_FPERIOD_OVERRIDE","25Y")</f>
        <v/>
      </c>
      <c r="AK134" s="43">
        <f>BDP($B$134,"BEST_EPS","BEST_FPERIOD_OVERRIDE","26Y")</f>
        <v/>
      </c>
      <c r="AL134" s="43">
        <f>BDP($B$134,"BEST_EPS","BEST_FPERIOD_OVERRIDE","27Y")</f>
        <v/>
      </c>
      <c r="AM134" s="43">
        <f>BDP($B$134,"BEST_EPS","BEST_FPERIOD_OVERRIDE","28Y")</f>
        <v/>
      </c>
      <c r="AN134" s="31" t="n"/>
      <c r="AO134" s="43">
        <f>BDP($B$134,"BEST_SALES","BEST_FPERIOD_OVERRIDE","24Y")</f>
        <v/>
      </c>
      <c r="AP134" s="43">
        <f>BDP($B$134,"BEST_SALES","BEST_FPERIOD_OVERRIDE","25Y")</f>
        <v/>
      </c>
      <c r="AQ134" s="43">
        <f>BDP($B$134,"BEST_SALES","BEST_FPERIOD_OVERRIDE","26Y")</f>
        <v/>
      </c>
      <c r="AR134" s="43">
        <f>BDP($B$134,"BEST_SALES","BEST_FPERIOD_OVERRIDE","27Y")</f>
        <v/>
      </c>
      <c r="AS134" s="43">
        <f>BDP($B$134,"BEST_SALES","BEST_FPERIOD_OVERRIDE","28Y")</f>
        <v/>
      </c>
      <c r="AT134" s="31" t="n"/>
      <c r="AU134" s="48">
        <f>BDP($B$134,"BEST_EBIT","BEST_FPERIOD_OVERRIDE","24Y")</f>
        <v/>
      </c>
      <c r="AV134" s="43">
        <f>BDP($B$134,"BEST_EBIT","BEST_FPERIOD_OVERRIDE","25Y")</f>
        <v/>
      </c>
      <c r="AW134" s="43">
        <f>BDP($B$134,"BEST_EBIT","BEST_FPERIOD_OVERRIDE","26Y")</f>
        <v/>
      </c>
      <c r="AX134" s="43">
        <f>BDP($B$134,"BEST_EBIT","BEST_FPERIOD_OVERRIDE","27Y")</f>
        <v/>
      </c>
      <c r="AY134" s="43">
        <f>BDP($B$134,"BEST_EBIT","BEST_FPERIOD_OVERRIDE","28Y")</f>
        <v/>
      </c>
      <c r="AZ134" s="31" t="n"/>
      <c r="BA134" s="1">
        <f>C134+BD134</f>
        <v/>
      </c>
      <c r="BB134" s="42">
        <f>AB134-AD134</f>
        <v/>
      </c>
      <c r="BC134" s="42">
        <f>C134</f>
        <v/>
      </c>
      <c r="BD134" s="43">
        <f>BDP($B$134,"TRAIL_12M_EBITDA")</f>
        <v/>
      </c>
      <c r="BE134" s="43">
        <f>_xll.BDP("LRCX UW Equity","TRAIL_12M_EBITDA")</f>
        <v/>
      </c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</row>
    <row r="135">
      <c r="A135" s="1" t="inlineStr">
        <is>
          <t>ONTO</t>
        </is>
      </c>
      <c r="B135" s="1" t="inlineStr">
        <is>
          <t>ONTO UN Equity</t>
        </is>
      </c>
      <c r="C135" s="43">
        <f>BDP($B$135,"CUR_MKT_CAP")/1000000000</f>
        <v/>
      </c>
      <c r="D135" s="44">
        <f>BDP($B$135,"PX_LAST")</f>
        <v/>
      </c>
      <c r="E135" s="45">
        <f>IF(BDP($B$135,"BEST_EPS","BEST_FPERIOD_OVERRIDE","26Y")&lt;&gt;0,$D$135/BDP($B$135,"BEST_EPS","BEST_FPERIOD_OVERRIDE","26Y"),"")</f>
        <v/>
      </c>
      <c r="F135" s="45">
        <f>IF(BDP($B$135,"BEST_EPS","BEST_FPERIOD_OVERRIDE","27Y")&lt;&gt;0,$D$135/BDP($B$135,"BEST_EPS","BEST_FPERIOD_OVERRIDE","27Y"),"")</f>
        <v/>
      </c>
      <c r="G135" s="45">
        <f>IF(BDP($B$135,"BEST_EPS","BEST_FPERIOD_OVERRIDE","28Y")&lt;&gt;0,$D$135/BDP($B$135,"BEST_EPS","BEST_FPERIOD_OVERRIDE","28Y"),"")</f>
        <v/>
      </c>
      <c r="H135" s="46">
        <f>BDP($B$135,"NET_DEBT_TO_EBITDA")</f>
        <v/>
      </c>
      <c r="I135" s="43">
        <f>BDP($B$135,"BEST_SALES","BEST_FPERIOD_OVERRIDE","26Y")/1000</f>
        <v/>
      </c>
      <c r="J135" s="47">
        <f>IF(BDP($B$135,"BEST_SALES","BEST_FPERIOD_OVERRIDE","26Y")&lt;&gt;0,BDP($B$135,"BEST_EBIT","BEST_FPERIOD_OVERRIDE","26Y")/BDP($B$135,"BEST_SALES","BEST_FPERIOD_OVERRIDE","26Y"),"")</f>
        <v/>
      </c>
      <c r="K135" s="47">
        <f>BDP($B$135,"RETURN_ON_INV_CAPITAL")/100</f>
        <v/>
      </c>
      <c r="L135" s="47">
        <f>IF(AND(BDP($B$135,"BEST_SALES","BEST_FPERIOD_OVERRIDE","25Y")&gt;0,BDP($B$135,"BEST_SALES","BEST_FPERIOD_OVERRIDE","28Y")&gt;0),(BDP($B$135,"BEST_SALES","BEST_FPERIOD_OVERRIDE","28Y")/BDP($B$135,"BEST_SALES","BEST_FPERIOD_OVERRIDE","25Y"))^(1/3)-1,"")</f>
        <v/>
      </c>
      <c r="M135" s="47">
        <f>IF(AND(BDP($B$135,"BEST_EBIT","BEST_FPERIOD_OVERRIDE","25Y")&gt;0,BDP($B$135,"BEST_EBIT","BEST_FPERIOD_OVERRIDE","28Y")&gt;0),(BDP($B$135,"BEST_EBIT","BEST_FPERIOD_OVERRIDE","28Y")/BDP($B$135,"BEST_EBIT","BEST_FPERIOD_OVERRIDE","25Y"))^(1/3)-1,"")</f>
        <v/>
      </c>
      <c r="N135" s="47">
        <f>IF(AND(BDP($B$135,"BEST_EPS","BEST_FPERIOD_OVERRIDE","25Y")&gt;0,BDP($B$135,"BEST_EPS","BEST_FPERIOD_OVERRIDE","28Y")&gt;0),(BDP($B$135,"BEST_EPS","BEST_FPERIOD_OVERRIDE","28Y")/BDP($B$135,"BEST_EPS","BEST_FPERIOD_OVERRIDE","25Y"))^(1/3)-1,"")</f>
        <v/>
      </c>
      <c r="O135" s="1" t="n"/>
      <c r="P135" s="47">
        <f>BDP($B$135,"CHG_PCT_YTD")/100</f>
        <v/>
      </c>
      <c r="Q135" s="1" t="n"/>
      <c r="R135" s="1" t="n"/>
      <c r="S135" s="42">
        <f>IF(AND(E135&lt;&gt;"",N135&lt;&gt;"",N135&lt;&gt;0),E135/(N135*100),"")</f>
        <v/>
      </c>
      <c r="T135" s="1" t="n"/>
      <c r="U135" s="26" t="inlineStr">
        <is>
          <t>Dec</t>
        </is>
      </c>
      <c r="V135" s="1" t="n"/>
      <c r="W135" s="1" t="n"/>
      <c r="X135" s="1" t="n"/>
      <c r="Y135" s="1" t="n"/>
      <c r="Z135" s="1" t="n"/>
      <c r="AA135" s="47">
        <f>BDP($B$135,"TRAIL_12M_OPER_INC")</f>
        <v/>
      </c>
      <c r="AB135" s="43">
        <f>BDP($B$135,"SHORT_AND_LONG_TERM_DEBT")</f>
        <v/>
      </c>
      <c r="AC135" s="43">
        <f>BDP($B$135,"TOTAL_EQUITY")</f>
        <v/>
      </c>
      <c r="AD135" s="43">
        <f>BDP($B$135,"BS_CASH_NEAR_CASH_ITEM")</f>
        <v/>
      </c>
      <c r="AE135" s="43">
        <f>BDP($B$135,"BS_LT_INVEST")</f>
        <v/>
      </c>
      <c r="AF135" s="31">
        <f>AB135+AC135</f>
        <v/>
      </c>
      <c r="AG135" s="43">
        <f>BDP($B$135,"RETURN_ON_INV_CAPITAL")/100</f>
        <v/>
      </c>
      <c r="AH135" s="49" t="n"/>
      <c r="AI135" s="48">
        <f>BDP($B$135,"BEST_EPS","BEST_FPERIOD_OVERRIDE","24Y")</f>
        <v/>
      </c>
      <c r="AJ135" s="43">
        <f>BDP($B$135,"BEST_EPS","BEST_FPERIOD_OVERRIDE","25Y")</f>
        <v/>
      </c>
      <c r="AK135" s="43">
        <f>BDP($B$135,"BEST_EPS","BEST_FPERIOD_OVERRIDE","26Y")</f>
        <v/>
      </c>
      <c r="AL135" s="43">
        <f>BDP($B$135,"BEST_EPS","BEST_FPERIOD_OVERRIDE","27Y")</f>
        <v/>
      </c>
      <c r="AM135" s="43">
        <f>BDP($B$135,"BEST_EPS","BEST_FPERIOD_OVERRIDE","28Y")</f>
        <v/>
      </c>
      <c r="AN135" s="31" t="n"/>
      <c r="AO135" s="43">
        <f>BDP($B$135,"BEST_SALES","BEST_FPERIOD_OVERRIDE","24Y")</f>
        <v/>
      </c>
      <c r="AP135" s="43">
        <f>BDP($B$135,"BEST_SALES","BEST_FPERIOD_OVERRIDE","25Y")</f>
        <v/>
      </c>
      <c r="AQ135" s="43">
        <f>BDP($B$135,"BEST_SALES","BEST_FPERIOD_OVERRIDE","26Y")</f>
        <v/>
      </c>
      <c r="AR135" s="43">
        <f>BDP($B$135,"BEST_SALES","BEST_FPERIOD_OVERRIDE","27Y")</f>
        <v/>
      </c>
      <c r="AS135" s="43">
        <f>BDP($B$135,"BEST_SALES","BEST_FPERIOD_OVERRIDE","28Y")</f>
        <v/>
      </c>
      <c r="AT135" s="31" t="n"/>
      <c r="AU135" s="48">
        <f>BDP($B$135,"BEST_EBIT","BEST_FPERIOD_OVERRIDE","24Y")</f>
        <v/>
      </c>
      <c r="AV135" s="43">
        <f>BDP($B$135,"BEST_EBIT","BEST_FPERIOD_OVERRIDE","25Y")</f>
        <v/>
      </c>
      <c r="AW135" s="43">
        <f>BDP($B$135,"BEST_EBIT","BEST_FPERIOD_OVERRIDE","26Y")</f>
        <v/>
      </c>
      <c r="AX135" s="43">
        <f>BDP($B$135,"BEST_EBIT","BEST_FPERIOD_OVERRIDE","27Y")</f>
        <v/>
      </c>
      <c r="AY135" s="43">
        <f>BDP($B$135,"BEST_EBIT","BEST_FPERIOD_OVERRIDE","28Y")</f>
        <v/>
      </c>
      <c r="AZ135" s="31" t="n"/>
      <c r="BA135" s="1">
        <f>C135+BD135</f>
        <v/>
      </c>
      <c r="BB135" s="42">
        <f>AB135-AD135</f>
        <v/>
      </c>
      <c r="BC135" s="42">
        <f>C135</f>
        <v/>
      </c>
      <c r="BD135" s="43">
        <f>BDP($B$135,"TRAIL_12M_EBITDA")</f>
        <v/>
      </c>
      <c r="BE135" s="43">
        <f>_xll.BDP("ONTO UN Equity","TRAIL_12M_EBITDA")</f>
        <v/>
      </c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24" t="n"/>
      <c r="V136" s="1" t="n"/>
      <c r="W136" s="1" t="n"/>
      <c r="X136" s="1" t="n"/>
      <c r="Y136" s="1" t="n"/>
      <c r="Z136" s="1" t="n"/>
      <c r="AA136" s="4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  <c r="BA136" s="1" t="n"/>
      <c r="BB136" s="1" t="n"/>
      <c r="BC136" s="1" t="n"/>
      <c r="BD136" s="1" t="n"/>
      <c r="BE136" s="1" t="n"/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</row>
    <row r="137">
      <c r="A137" s="3" t="inlineStr">
        <is>
          <t>Analog</t>
        </is>
      </c>
      <c r="B137" s="1" t="n"/>
      <c r="C137" s="48" t="n"/>
      <c r="D137" s="48" t="n"/>
      <c r="E137" s="48" t="n"/>
      <c r="F137" s="48" t="n"/>
      <c r="G137" s="48" t="n"/>
      <c r="H137" s="48" t="n"/>
      <c r="I137" s="48" t="n"/>
      <c r="J137" s="48" t="n"/>
      <c r="K137" s="48" t="n"/>
      <c r="L137" s="48" t="n"/>
      <c r="M137" s="48" t="n"/>
      <c r="N137" s="48" t="n"/>
      <c r="O137" s="1" t="n"/>
      <c r="P137" s="48" t="n"/>
      <c r="Q137" s="1" t="n"/>
      <c r="R137" s="1" t="n"/>
      <c r="S137" s="1">
        <f>IF(AND(E137&lt;&gt;"",N137&lt;&gt;"",N137&lt;&gt;0),E137/(N137*100),"")</f>
        <v/>
      </c>
      <c r="T137" s="1" t="n"/>
      <c r="U137" s="24" t="inlineStr">
        <is>
          <t>Dec</t>
        </is>
      </c>
      <c r="V137" s="1" t="n"/>
      <c r="W137" s="1" t="n"/>
      <c r="X137" s="1" t="n"/>
      <c r="Y137" s="1" t="n"/>
      <c r="Z137" s="1" t="n"/>
      <c r="AA137" s="47" t="n"/>
      <c r="AB137" s="48" t="n"/>
      <c r="AC137" s="48" t="n"/>
      <c r="AD137" s="48" t="n"/>
      <c r="AE137" s="48" t="n"/>
      <c r="AF137" s="1">
        <f>AB137+AC137</f>
        <v/>
      </c>
      <c r="AG137" s="48" t="n"/>
      <c r="AH137" s="1" t="n"/>
      <c r="AI137" s="48" t="n"/>
      <c r="AJ137" s="48" t="n"/>
      <c r="AK137" s="48" t="n"/>
      <c r="AL137" s="48" t="n"/>
      <c r="AM137" s="48" t="n"/>
      <c r="AN137" s="1" t="n"/>
      <c r="AO137" s="48" t="n"/>
      <c r="AP137" s="48" t="n"/>
      <c r="AQ137" s="48" t="n"/>
      <c r="AR137" s="48" t="n"/>
      <c r="AS137" s="48" t="n"/>
      <c r="AT137" s="1" t="n"/>
      <c r="AU137" s="48" t="n"/>
      <c r="AV137" s="48" t="n"/>
      <c r="AW137" s="48" t="n"/>
      <c r="AX137" s="48" t="n"/>
      <c r="AY137" s="48" t="n"/>
      <c r="AZ137" s="1" t="n"/>
      <c r="BA137" s="1">
        <f>C137+BD137</f>
        <v/>
      </c>
      <c r="BB137" s="1">
        <f>AB137-AD137</f>
        <v/>
      </c>
      <c r="BC137" s="1">
        <f>C137</f>
        <v/>
      </c>
      <c r="BD137" s="48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</row>
    <row r="138">
      <c r="A138" s="1" t="inlineStr">
        <is>
          <t>TXN</t>
        </is>
      </c>
      <c r="B138" s="1" t="inlineStr">
        <is>
          <t>TXN UW Equity</t>
        </is>
      </c>
      <c r="C138" s="43">
        <f>BDP($B$138,"CUR_MKT_CAP")/1000000000</f>
        <v/>
      </c>
      <c r="D138" s="44">
        <f>BDP($B$138,"PX_LAST")</f>
        <v/>
      </c>
      <c r="E138" s="45">
        <f>IF(BDP($B$138,"BEST_EPS","BEST_FPERIOD_OVERRIDE","26Y")&lt;&gt;0,$D$138/BDP($B$138,"BEST_EPS","BEST_FPERIOD_OVERRIDE","26Y"),"")</f>
        <v/>
      </c>
      <c r="F138" s="45">
        <f>IF(BDP($B$138,"BEST_EPS","BEST_FPERIOD_OVERRIDE","27Y")&lt;&gt;0,$D$138/BDP($B$138,"BEST_EPS","BEST_FPERIOD_OVERRIDE","27Y"),"")</f>
        <v/>
      </c>
      <c r="G138" s="45">
        <f>IF(BDP($B$138,"BEST_EPS","BEST_FPERIOD_OVERRIDE","28Y")&lt;&gt;0,$D$138/BDP($B$138,"BEST_EPS","BEST_FPERIOD_OVERRIDE","28Y"),"")</f>
        <v/>
      </c>
      <c r="H138" s="46">
        <f>BDP($B$138,"NET_DEBT_TO_EBITDA")</f>
        <v/>
      </c>
      <c r="I138" s="43">
        <f>BDP($B$138,"BEST_SALES","BEST_FPERIOD_OVERRIDE","26Y")/1000</f>
        <v/>
      </c>
      <c r="J138" s="47">
        <f>IF(BDP($B$138,"BEST_SALES","BEST_FPERIOD_OVERRIDE","26Y")&lt;&gt;0,BDP($B$138,"BEST_EBIT","BEST_FPERIOD_OVERRIDE","26Y")/BDP($B$138,"BEST_SALES","BEST_FPERIOD_OVERRIDE","26Y"),"")</f>
        <v/>
      </c>
      <c r="K138" s="47">
        <f>BDP($B$138,"RETURN_ON_INV_CAPITAL")/100</f>
        <v/>
      </c>
      <c r="L138" s="47">
        <f>IF(AND(BDP($B$138,"BEST_SALES","BEST_FPERIOD_OVERRIDE","25Y")&gt;0,BDP($B$138,"BEST_SALES","BEST_FPERIOD_OVERRIDE","28Y")&gt;0),(BDP($B$138,"BEST_SALES","BEST_FPERIOD_OVERRIDE","28Y")/BDP($B$138,"BEST_SALES","BEST_FPERIOD_OVERRIDE","25Y"))^(1/3)-1,"")</f>
        <v/>
      </c>
      <c r="M138" s="47">
        <f>IF(AND(BDP($B$138,"BEST_EBIT","BEST_FPERIOD_OVERRIDE","25Y")&gt;0,BDP($B$138,"BEST_EBIT","BEST_FPERIOD_OVERRIDE","28Y")&gt;0),(BDP($B$138,"BEST_EBIT","BEST_FPERIOD_OVERRIDE","28Y")/BDP($B$138,"BEST_EBIT","BEST_FPERIOD_OVERRIDE","25Y"))^(1/3)-1,"")</f>
        <v/>
      </c>
      <c r="N138" s="47">
        <f>IF(AND(BDP($B$138,"BEST_EPS","BEST_FPERIOD_OVERRIDE","25Y")&gt;0,BDP($B$138,"BEST_EPS","BEST_FPERIOD_OVERRIDE","28Y")&gt;0),(BDP($B$138,"BEST_EPS","BEST_FPERIOD_OVERRIDE","28Y")/BDP($B$138,"BEST_EPS","BEST_FPERIOD_OVERRIDE","25Y"))^(1/3)-1,"")</f>
        <v/>
      </c>
      <c r="O138" s="1" t="n"/>
      <c r="P138" s="47">
        <f>BDP($B$138,"CHG_PCT_YTD")/100</f>
        <v/>
      </c>
      <c r="Q138" s="1" t="n"/>
      <c r="R138" s="1" t="n"/>
      <c r="S138" s="42">
        <f>IF(AND(E138&lt;&gt;"",N138&lt;&gt;"",N138&lt;&gt;0),E138/(N138*100),"")</f>
        <v/>
      </c>
      <c r="T138" s="1" t="n"/>
      <c r="U138" s="26" t="inlineStr">
        <is>
          <t>Dec</t>
        </is>
      </c>
      <c r="V138" s="1" t="n"/>
      <c r="W138" s="1" t="n"/>
      <c r="X138" s="1" t="n"/>
      <c r="Y138" s="1" t="n"/>
      <c r="Z138" s="1" t="n"/>
      <c r="AA138" s="47">
        <f>BDP($B$138,"TRAIL_12M_OPER_INC")</f>
        <v/>
      </c>
      <c r="AB138" s="43">
        <f>BDP($B$138,"SHORT_AND_LONG_TERM_DEBT")</f>
        <v/>
      </c>
      <c r="AC138" s="43">
        <f>BDP($B$138,"TOTAL_EQUITY")</f>
        <v/>
      </c>
      <c r="AD138" s="43">
        <f>BDP($B$138,"BS_CASH_NEAR_CASH_ITEM")</f>
        <v/>
      </c>
      <c r="AE138" s="43">
        <f>BDP($B$138,"BS_LT_INVEST")</f>
        <v/>
      </c>
      <c r="AF138" s="31">
        <f>AB138+AC138</f>
        <v/>
      </c>
      <c r="AG138" s="43">
        <f>BDP($B$138,"RETURN_ON_INV_CAPITAL")/100</f>
        <v/>
      </c>
      <c r="AH138" s="49" t="n"/>
      <c r="AI138" s="48">
        <f>BDP($B$138,"BEST_EPS","BEST_FPERIOD_OVERRIDE","24Y")</f>
        <v/>
      </c>
      <c r="AJ138" s="43">
        <f>BDP($B$138,"BEST_EPS","BEST_FPERIOD_OVERRIDE","25Y")</f>
        <v/>
      </c>
      <c r="AK138" s="43">
        <f>BDP($B$138,"BEST_EPS","BEST_FPERIOD_OVERRIDE","26Y")</f>
        <v/>
      </c>
      <c r="AL138" s="43">
        <f>BDP($B$138,"BEST_EPS","BEST_FPERIOD_OVERRIDE","27Y")</f>
        <v/>
      </c>
      <c r="AM138" s="43">
        <f>BDP($B$138,"BEST_EPS","BEST_FPERIOD_OVERRIDE","28Y")</f>
        <v/>
      </c>
      <c r="AN138" s="31" t="n"/>
      <c r="AO138" s="43">
        <f>BDP($B$138,"BEST_SALES","BEST_FPERIOD_OVERRIDE","24Y")</f>
        <v/>
      </c>
      <c r="AP138" s="43">
        <f>BDP($B$138,"BEST_SALES","BEST_FPERIOD_OVERRIDE","25Y")</f>
        <v/>
      </c>
      <c r="AQ138" s="43">
        <f>BDP($B$138,"BEST_SALES","BEST_FPERIOD_OVERRIDE","26Y")</f>
        <v/>
      </c>
      <c r="AR138" s="43">
        <f>BDP($B$138,"BEST_SALES","BEST_FPERIOD_OVERRIDE","27Y")</f>
        <v/>
      </c>
      <c r="AS138" s="43">
        <f>BDP($B$138,"BEST_SALES","BEST_FPERIOD_OVERRIDE","28Y")</f>
        <v/>
      </c>
      <c r="AT138" s="31" t="n"/>
      <c r="AU138" s="48">
        <f>BDP($B$138,"BEST_EBIT","BEST_FPERIOD_OVERRIDE","24Y")</f>
        <v/>
      </c>
      <c r="AV138" s="43">
        <f>BDP($B$138,"BEST_EBIT","BEST_FPERIOD_OVERRIDE","25Y")</f>
        <v/>
      </c>
      <c r="AW138" s="43">
        <f>BDP($B$138,"BEST_EBIT","BEST_FPERIOD_OVERRIDE","26Y")</f>
        <v/>
      </c>
      <c r="AX138" s="43">
        <f>BDP($B$138,"BEST_EBIT","BEST_FPERIOD_OVERRIDE","27Y")</f>
        <v/>
      </c>
      <c r="AY138" s="43">
        <f>BDP($B$138,"BEST_EBIT","BEST_FPERIOD_OVERRIDE","28Y")</f>
        <v/>
      </c>
      <c r="AZ138" s="31" t="n"/>
      <c r="BA138" s="1">
        <f>C138+BD138</f>
        <v/>
      </c>
      <c r="BB138" s="42">
        <f>AB138-AD138</f>
        <v/>
      </c>
      <c r="BC138" s="42">
        <f>C138</f>
        <v/>
      </c>
      <c r="BD138" s="43">
        <f>BDP($B$138,"TRAIL_12M_EBITDA")</f>
        <v/>
      </c>
      <c r="BE138" s="43">
        <f>_xll.BDP("TXN UW Equity","TRAIL_12M_EBITDA")</f>
        <v/>
      </c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</row>
    <row r="139">
      <c r="A139" s="1" t="inlineStr">
        <is>
          <t>ADI</t>
        </is>
      </c>
      <c r="B139" s="1" t="inlineStr">
        <is>
          <t>ADI UW Equity</t>
        </is>
      </c>
      <c r="C139" s="43">
        <f>BDP($B$139,"CUR_MKT_CAP")/1000000000</f>
        <v/>
      </c>
      <c r="D139" s="44">
        <f>BDP($B$139,"PX_LAST")</f>
        <v/>
      </c>
      <c r="E139" s="45">
        <f>IF(BDP($B$139,"BEST_EPS","BEST_FPERIOD_OVERRIDE","26Y")&lt;&gt;0,$D$139/BDP($B$139,"BEST_EPS","BEST_FPERIOD_OVERRIDE","26Y"),"")</f>
        <v/>
      </c>
      <c r="F139" s="45">
        <f>IF(BDP($B$139,"BEST_EPS","BEST_FPERIOD_OVERRIDE","27Y")&lt;&gt;0,$D$139/BDP($B$139,"BEST_EPS","BEST_FPERIOD_OVERRIDE","27Y"),"")</f>
        <v/>
      </c>
      <c r="G139" s="45">
        <f>IF(BDP($B$139,"BEST_EPS","BEST_FPERIOD_OVERRIDE","28Y")&lt;&gt;0,$D$139/BDP($B$139,"BEST_EPS","BEST_FPERIOD_OVERRIDE","28Y"),"")</f>
        <v/>
      </c>
      <c r="H139" s="46">
        <f>BDP($B$139,"NET_DEBT_TO_EBITDA")</f>
        <v/>
      </c>
      <c r="I139" s="43">
        <f>BDP($B$139,"BEST_SALES","BEST_FPERIOD_OVERRIDE","26Y")/1000</f>
        <v/>
      </c>
      <c r="J139" s="47">
        <f>IF(BDP($B$139,"BEST_SALES","BEST_FPERIOD_OVERRIDE","26Y")&lt;&gt;0,BDP($B$139,"BEST_EBIT","BEST_FPERIOD_OVERRIDE","26Y")/BDP($B$139,"BEST_SALES","BEST_FPERIOD_OVERRIDE","26Y"),"")</f>
        <v/>
      </c>
      <c r="K139" s="47">
        <f>BDP($B$139,"RETURN_ON_INV_CAPITAL")/100</f>
        <v/>
      </c>
      <c r="L139" s="47">
        <f>IF(AND(BDP($B$139,"BEST_SALES","BEST_FPERIOD_OVERRIDE","25Y")&gt;0,BDP($B$139,"BEST_SALES","BEST_FPERIOD_OVERRIDE","28Y")&gt;0),(BDP($B$139,"BEST_SALES","BEST_FPERIOD_OVERRIDE","28Y")/BDP($B$139,"BEST_SALES","BEST_FPERIOD_OVERRIDE","25Y"))^(1/3)-1,"")</f>
        <v/>
      </c>
      <c r="M139" s="47">
        <f>IF(AND(BDP($B$139,"BEST_EBIT","BEST_FPERIOD_OVERRIDE","25Y")&gt;0,BDP($B$139,"BEST_EBIT","BEST_FPERIOD_OVERRIDE","28Y")&gt;0),(BDP($B$139,"BEST_EBIT","BEST_FPERIOD_OVERRIDE","28Y")/BDP($B$139,"BEST_EBIT","BEST_FPERIOD_OVERRIDE","25Y"))^(1/3)-1,"")</f>
        <v/>
      </c>
      <c r="N139" s="47">
        <f>IF(AND(BDP($B$139,"BEST_EPS","BEST_FPERIOD_OVERRIDE","25Y")&gt;0,BDP($B$139,"BEST_EPS","BEST_FPERIOD_OVERRIDE","28Y")&gt;0),(BDP($B$139,"BEST_EPS","BEST_FPERIOD_OVERRIDE","28Y")/BDP($B$139,"BEST_EPS","BEST_FPERIOD_OVERRIDE","25Y"))^(1/3)-1,"")</f>
        <v/>
      </c>
      <c r="O139" s="1" t="n"/>
      <c r="P139" s="47">
        <f>BDP($B$139,"CHG_PCT_YTD")/100</f>
        <v/>
      </c>
      <c r="Q139" s="1" t="n"/>
      <c r="R139" s="1" t="n"/>
      <c r="S139" s="42">
        <f>IF(AND(E139&lt;&gt;"",N139&lt;&gt;"",N139&lt;&gt;0),E139/(N139*100),"")</f>
        <v/>
      </c>
      <c r="T139" s="1" t="n"/>
      <c r="U139" s="26" t="inlineStr">
        <is>
          <t>Oct</t>
        </is>
      </c>
      <c r="V139" s="1" t="n"/>
      <c r="W139" s="1" t="n"/>
      <c r="X139" s="1" t="n"/>
      <c r="Y139" s="1" t="n"/>
      <c r="Z139" s="1" t="n"/>
      <c r="AA139" s="47">
        <f>BDP($B$139,"TRAIL_12M_OPER_INC")</f>
        <v/>
      </c>
      <c r="AB139" s="43">
        <f>BDP($B$139,"SHORT_AND_LONG_TERM_DEBT")</f>
        <v/>
      </c>
      <c r="AC139" s="43">
        <f>BDP($B$139,"TOTAL_EQUITY")</f>
        <v/>
      </c>
      <c r="AD139" s="43">
        <f>BDP($B$139,"BS_CASH_NEAR_CASH_ITEM")</f>
        <v/>
      </c>
      <c r="AE139" s="43">
        <f>BDP($B$139,"BS_LT_INVEST")</f>
        <v/>
      </c>
      <c r="AF139" s="31">
        <f>AB139+AC139</f>
        <v/>
      </c>
      <c r="AG139" s="43">
        <f>BDP($B$139,"RETURN_ON_INV_CAPITAL")/100</f>
        <v/>
      </c>
      <c r="AH139" s="49" t="n"/>
      <c r="AI139" s="48">
        <f>BDP($B$139,"BEST_EPS","BEST_FPERIOD_OVERRIDE","24Y")</f>
        <v/>
      </c>
      <c r="AJ139" s="43">
        <f>BDP($B$139,"BEST_EPS","BEST_FPERIOD_OVERRIDE","25Y")</f>
        <v/>
      </c>
      <c r="AK139" s="43">
        <f>BDP($B$139,"BEST_EPS","BEST_FPERIOD_OVERRIDE","26Y")</f>
        <v/>
      </c>
      <c r="AL139" s="43">
        <f>BDP($B$139,"BEST_EPS","BEST_FPERIOD_OVERRIDE","27Y")</f>
        <v/>
      </c>
      <c r="AM139" s="43">
        <f>BDP($B$139,"BEST_EPS","BEST_FPERIOD_OVERRIDE","28Y")</f>
        <v/>
      </c>
      <c r="AN139" s="31" t="n"/>
      <c r="AO139" s="43">
        <f>BDP($B$139,"BEST_SALES","BEST_FPERIOD_OVERRIDE","24Y")</f>
        <v/>
      </c>
      <c r="AP139" s="43">
        <f>BDP($B$139,"BEST_SALES","BEST_FPERIOD_OVERRIDE","25Y")</f>
        <v/>
      </c>
      <c r="AQ139" s="43">
        <f>BDP($B$139,"BEST_SALES","BEST_FPERIOD_OVERRIDE","26Y")</f>
        <v/>
      </c>
      <c r="AR139" s="43">
        <f>BDP($B$139,"BEST_SALES","BEST_FPERIOD_OVERRIDE","27Y")</f>
        <v/>
      </c>
      <c r="AS139" s="43">
        <f>BDP($B$139,"BEST_SALES","BEST_FPERIOD_OVERRIDE","28Y")</f>
        <v/>
      </c>
      <c r="AT139" s="31" t="n"/>
      <c r="AU139" s="48">
        <f>BDP($B$139,"BEST_EBIT","BEST_FPERIOD_OVERRIDE","24Y")</f>
        <v/>
      </c>
      <c r="AV139" s="43">
        <f>BDP($B$139,"BEST_EBIT","BEST_FPERIOD_OVERRIDE","25Y")</f>
        <v/>
      </c>
      <c r="AW139" s="43">
        <f>BDP($B$139,"BEST_EBIT","BEST_FPERIOD_OVERRIDE","26Y")</f>
        <v/>
      </c>
      <c r="AX139" s="43">
        <f>BDP($B$139,"BEST_EBIT","BEST_FPERIOD_OVERRIDE","27Y")</f>
        <v/>
      </c>
      <c r="AY139" s="43">
        <f>BDP($B$139,"BEST_EBIT","BEST_FPERIOD_OVERRIDE","28Y")</f>
        <v/>
      </c>
      <c r="AZ139" s="31" t="n"/>
      <c r="BA139" s="1">
        <f>C139+BD139</f>
        <v/>
      </c>
      <c r="BB139" s="42">
        <f>AB139-AD139</f>
        <v/>
      </c>
      <c r="BC139" s="42">
        <f>C139</f>
        <v/>
      </c>
      <c r="BD139" s="43">
        <f>BDP($B$139,"TRAIL_12M_EBITDA")</f>
        <v/>
      </c>
      <c r="BE139" s="43">
        <f>_xll.BDP("ADI UW Equity","TRAIL_12M_EBITDA")</f>
        <v/>
      </c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</row>
    <row r="140">
      <c r="A140" s="1" t="inlineStr">
        <is>
          <t>MPWR</t>
        </is>
      </c>
      <c r="B140" s="1" t="inlineStr">
        <is>
          <t>MPWR UW Equity</t>
        </is>
      </c>
      <c r="C140" s="43">
        <f>BDP($B$140,"CUR_MKT_CAP")/1000000000</f>
        <v/>
      </c>
      <c r="D140" s="44">
        <f>BDP($B$140,"PX_LAST")</f>
        <v/>
      </c>
      <c r="E140" s="45">
        <f>IF(BDP($B$140,"BEST_EPS","BEST_FPERIOD_OVERRIDE","26Y")&lt;&gt;0,$D$140/BDP($B$140,"BEST_EPS","BEST_FPERIOD_OVERRIDE","26Y"),"")</f>
        <v/>
      </c>
      <c r="F140" s="45">
        <f>IF(BDP($B$140,"BEST_EPS","BEST_FPERIOD_OVERRIDE","27Y")&lt;&gt;0,$D$140/BDP($B$140,"BEST_EPS","BEST_FPERIOD_OVERRIDE","27Y"),"")</f>
        <v/>
      </c>
      <c r="G140" s="45">
        <f>IF(BDP($B$140,"BEST_EPS","BEST_FPERIOD_OVERRIDE","28Y")&lt;&gt;0,$D$140/BDP($B$140,"BEST_EPS","BEST_FPERIOD_OVERRIDE","28Y"),"")</f>
        <v/>
      </c>
      <c r="H140" s="46">
        <f>BDP($B$140,"NET_DEBT_TO_EBITDA")</f>
        <v/>
      </c>
      <c r="I140" s="43">
        <f>BDP($B$140,"BEST_SALES","BEST_FPERIOD_OVERRIDE","26Y")/1000</f>
        <v/>
      </c>
      <c r="J140" s="47">
        <f>IF(BDP($B$140,"BEST_SALES","BEST_FPERIOD_OVERRIDE","26Y")&lt;&gt;0,BDP($B$140,"BEST_EBIT","BEST_FPERIOD_OVERRIDE","26Y")/BDP($B$140,"BEST_SALES","BEST_FPERIOD_OVERRIDE","26Y"),"")</f>
        <v/>
      </c>
      <c r="K140" s="47">
        <f>BDP($B$140,"RETURN_ON_INV_CAPITAL")/100</f>
        <v/>
      </c>
      <c r="L140" s="47">
        <f>IF(AND(BDP($B$140,"BEST_SALES","BEST_FPERIOD_OVERRIDE","25Y")&gt;0,BDP($B$140,"BEST_SALES","BEST_FPERIOD_OVERRIDE","28Y")&gt;0),(BDP($B$140,"BEST_SALES","BEST_FPERIOD_OVERRIDE","28Y")/BDP($B$140,"BEST_SALES","BEST_FPERIOD_OVERRIDE","25Y"))^(1/3)-1,"")</f>
        <v/>
      </c>
      <c r="M140" s="47">
        <f>IF(AND(BDP($B$140,"BEST_EBIT","BEST_FPERIOD_OVERRIDE","25Y")&gt;0,BDP($B$140,"BEST_EBIT","BEST_FPERIOD_OVERRIDE","28Y")&gt;0),(BDP($B$140,"BEST_EBIT","BEST_FPERIOD_OVERRIDE","28Y")/BDP($B$140,"BEST_EBIT","BEST_FPERIOD_OVERRIDE","25Y"))^(1/3)-1,"")</f>
        <v/>
      </c>
      <c r="N140" s="47">
        <f>IF(AND(BDP($B$140,"BEST_EPS","BEST_FPERIOD_OVERRIDE","25Y")&gt;0,BDP($B$140,"BEST_EPS","BEST_FPERIOD_OVERRIDE","28Y")&gt;0),(BDP($B$140,"BEST_EPS","BEST_FPERIOD_OVERRIDE","28Y")/BDP($B$140,"BEST_EPS","BEST_FPERIOD_OVERRIDE","25Y"))^(1/3)-1,"")</f>
        <v/>
      </c>
      <c r="O140" s="1" t="n"/>
      <c r="P140" s="47">
        <f>BDP($B$140,"CHG_PCT_YTD")/100</f>
        <v/>
      </c>
      <c r="Q140" s="1" t="n"/>
      <c r="R140" s="1" t="n"/>
      <c r="S140" s="42">
        <f>IF(AND(E140&lt;&gt;"",N140&lt;&gt;"",N140&lt;&gt;0),E140/(N140*100),"")</f>
        <v/>
      </c>
      <c r="T140" s="1" t="n"/>
      <c r="U140" s="26" t="inlineStr">
        <is>
          <t>Dec</t>
        </is>
      </c>
      <c r="V140" s="1" t="n"/>
      <c r="W140" s="1" t="n"/>
      <c r="X140" s="1" t="n"/>
      <c r="Y140" s="1" t="n"/>
      <c r="Z140" s="1" t="n"/>
      <c r="AA140" s="47">
        <f>BDP($B$140,"TRAIL_12M_OPER_INC")</f>
        <v/>
      </c>
      <c r="AB140" s="43">
        <f>BDP($B$140,"SHORT_AND_LONG_TERM_DEBT")</f>
        <v/>
      </c>
      <c r="AC140" s="43">
        <f>BDP($B$140,"TOTAL_EQUITY")</f>
        <v/>
      </c>
      <c r="AD140" s="43">
        <f>BDP($B$140,"BS_CASH_NEAR_CASH_ITEM")</f>
        <v/>
      </c>
      <c r="AE140" s="43">
        <f>BDP($B$140,"BS_LT_INVEST")</f>
        <v/>
      </c>
      <c r="AF140" s="31">
        <f>AB140+AC140</f>
        <v/>
      </c>
      <c r="AG140" s="43">
        <f>BDP($B$140,"RETURN_ON_INV_CAPITAL")/100</f>
        <v/>
      </c>
      <c r="AH140" s="49" t="n"/>
      <c r="AI140" s="48">
        <f>BDP($B$140,"BEST_EPS","BEST_FPERIOD_OVERRIDE","24Y")</f>
        <v/>
      </c>
      <c r="AJ140" s="43">
        <f>BDP($B$140,"BEST_EPS","BEST_FPERIOD_OVERRIDE","25Y")</f>
        <v/>
      </c>
      <c r="AK140" s="43">
        <f>BDP($B$140,"BEST_EPS","BEST_FPERIOD_OVERRIDE","26Y")</f>
        <v/>
      </c>
      <c r="AL140" s="43">
        <f>BDP($B$140,"BEST_EPS","BEST_FPERIOD_OVERRIDE","27Y")</f>
        <v/>
      </c>
      <c r="AM140" s="43">
        <f>BDP($B$140,"BEST_EPS","BEST_FPERIOD_OVERRIDE","28Y")</f>
        <v/>
      </c>
      <c r="AN140" s="31" t="n"/>
      <c r="AO140" s="43">
        <f>BDP($B$140,"BEST_SALES","BEST_FPERIOD_OVERRIDE","24Y")</f>
        <v/>
      </c>
      <c r="AP140" s="43">
        <f>BDP($B$140,"BEST_SALES","BEST_FPERIOD_OVERRIDE","25Y")</f>
        <v/>
      </c>
      <c r="AQ140" s="43">
        <f>BDP($B$140,"BEST_SALES","BEST_FPERIOD_OVERRIDE","26Y")</f>
        <v/>
      </c>
      <c r="AR140" s="43">
        <f>BDP($B$140,"BEST_SALES","BEST_FPERIOD_OVERRIDE","27Y")</f>
        <v/>
      </c>
      <c r="AS140" s="43">
        <f>BDP($B$140,"BEST_SALES","BEST_FPERIOD_OVERRIDE","28Y")</f>
        <v/>
      </c>
      <c r="AT140" s="31" t="n"/>
      <c r="AU140" s="48">
        <f>BDP($B$140,"BEST_EBIT","BEST_FPERIOD_OVERRIDE","24Y")</f>
        <v/>
      </c>
      <c r="AV140" s="43">
        <f>BDP($B$140,"BEST_EBIT","BEST_FPERIOD_OVERRIDE","25Y")</f>
        <v/>
      </c>
      <c r="AW140" s="43">
        <f>BDP($B$140,"BEST_EBIT","BEST_FPERIOD_OVERRIDE","26Y")</f>
        <v/>
      </c>
      <c r="AX140" s="43">
        <f>BDP($B$140,"BEST_EBIT","BEST_FPERIOD_OVERRIDE","27Y")</f>
        <v/>
      </c>
      <c r="AY140" s="43">
        <f>BDP($B$140,"BEST_EBIT","BEST_FPERIOD_OVERRIDE","28Y")</f>
        <v/>
      </c>
      <c r="AZ140" s="31" t="n"/>
      <c r="BA140" s="1">
        <f>C140+BD140</f>
        <v/>
      </c>
      <c r="BB140" s="42">
        <f>AB140-AD140</f>
        <v/>
      </c>
      <c r="BC140" s="42">
        <f>C140</f>
        <v/>
      </c>
      <c r="BD140" s="43">
        <f>BDP($B$140,"TRAIL_12M_EBITDA")</f>
        <v/>
      </c>
      <c r="BE140" s="43">
        <f>_xll.BDP("MPWR UW Equity","TRAIL_12M_EBITDA")</f>
        <v/>
      </c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</row>
    <row r="141">
      <c r="A141" s="1" t="n"/>
      <c r="B141" s="1" t="n"/>
      <c r="C141" s="4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24" t="n"/>
      <c r="V141" s="1" t="n"/>
      <c r="W141" s="1" t="n"/>
      <c r="X141" s="1" t="n"/>
      <c r="Y141" s="1" t="n"/>
      <c r="Z141" s="1" t="n"/>
      <c r="AA141" s="4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</row>
    <row r="142">
      <c r="A142" s="3" t="inlineStr">
        <is>
          <t>Memory</t>
        </is>
      </c>
      <c r="B142" s="1" t="n"/>
      <c r="C142" s="43" t="n"/>
      <c r="D142" s="44" t="n"/>
      <c r="E142" s="45" t="n"/>
      <c r="F142" s="45" t="n"/>
      <c r="G142" s="45" t="n"/>
      <c r="H142" s="46" t="n"/>
      <c r="I142" s="43" t="n"/>
      <c r="J142" s="47" t="n"/>
      <c r="K142" s="47" t="n"/>
      <c r="L142" s="47" t="n"/>
      <c r="M142" s="47" t="n"/>
      <c r="N142" s="47" t="n"/>
      <c r="O142" s="1" t="n"/>
      <c r="P142" s="48" t="n"/>
      <c r="Q142" s="1" t="n"/>
      <c r="R142" s="1" t="n"/>
      <c r="S142" s="42">
        <f>IF(AND(E142&lt;&gt;"",N142&lt;&gt;"",N142&lt;&gt;0),E142/(N142*100),"")</f>
        <v/>
      </c>
      <c r="T142" s="1" t="n"/>
      <c r="U142" s="26" t="inlineStr">
        <is>
          <t>Dec</t>
        </is>
      </c>
      <c r="V142" s="1" t="n"/>
      <c r="W142" s="1" t="n"/>
      <c r="X142" s="1" t="n"/>
      <c r="Y142" s="1" t="n"/>
      <c r="Z142" s="1" t="n"/>
      <c r="AA142" s="47" t="n"/>
      <c r="AB142" s="43" t="n"/>
      <c r="AC142" s="43" t="n"/>
      <c r="AD142" s="43" t="n"/>
      <c r="AE142" s="43" t="n"/>
      <c r="AF142" s="4">
        <f>AB142+AC142</f>
        <v/>
      </c>
      <c r="AG142" s="43" t="n"/>
      <c r="AH142" s="41" t="n"/>
      <c r="AI142" s="48" t="n"/>
      <c r="AJ142" s="43" t="n"/>
      <c r="AK142" s="43" t="n"/>
      <c r="AL142" s="43" t="n"/>
      <c r="AM142" s="43" t="n"/>
      <c r="AN142" s="4" t="n"/>
      <c r="AO142" s="43" t="n"/>
      <c r="AP142" s="43" t="n"/>
      <c r="AQ142" s="43" t="n"/>
      <c r="AR142" s="43" t="n"/>
      <c r="AS142" s="43" t="n"/>
      <c r="AT142" s="4" t="n"/>
      <c r="AU142" s="48" t="n"/>
      <c r="AV142" s="43" t="n"/>
      <c r="AW142" s="43" t="n"/>
      <c r="AX142" s="43" t="n"/>
      <c r="AY142" s="43" t="n"/>
      <c r="AZ142" s="4" t="n"/>
      <c r="BA142" s="1">
        <f>C142+BD142</f>
        <v/>
      </c>
      <c r="BB142" s="42">
        <f>AB142-AD142</f>
        <v/>
      </c>
      <c r="BC142" s="42">
        <f>C142</f>
        <v/>
      </c>
      <c r="BD142" s="43" t="n"/>
      <c r="BE142" s="4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</row>
    <row r="143">
      <c r="A143" s="1" t="inlineStr">
        <is>
          <t>MU</t>
        </is>
      </c>
      <c r="B143" s="1" t="inlineStr">
        <is>
          <t>MU UW Equity</t>
        </is>
      </c>
      <c r="C143" s="43">
        <f>BDP($B$143,"CUR_MKT_CAP")/1000000000</f>
        <v/>
      </c>
      <c r="D143" s="44">
        <f>BDP($B$143,"PX_LAST")</f>
        <v/>
      </c>
      <c r="E143" s="45">
        <f>IF(BDP($B$143,"BEST_EPS","BEST_FPERIOD_OVERRIDE","26Y")&lt;&gt;0,$D$143/BDP($B$143,"BEST_EPS","BEST_FPERIOD_OVERRIDE","26Y"),"")</f>
        <v/>
      </c>
      <c r="F143" s="45">
        <f>IF(BDP($B$143,"BEST_EPS","BEST_FPERIOD_OVERRIDE","27Y")&lt;&gt;0,$D$143/BDP($B$143,"BEST_EPS","BEST_FPERIOD_OVERRIDE","27Y"),"")</f>
        <v/>
      </c>
      <c r="G143" s="45">
        <f>IF(BDP($B$143,"BEST_EPS","BEST_FPERIOD_OVERRIDE","28Y")&lt;&gt;0,$D$143/BDP($B$143,"BEST_EPS","BEST_FPERIOD_OVERRIDE","28Y"),"")</f>
        <v/>
      </c>
      <c r="H143" s="46">
        <f>BDP($B$143,"NET_DEBT_TO_EBITDA")</f>
        <v/>
      </c>
      <c r="I143" s="43">
        <f>BDP($B$143,"BEST_SALES","BEST_FPERIOD_OVERRIDE","26Y")/1000</f>
        <v/>
      </c>
      <c r="J143" s="47">
        <f>IF(BDP($B$143,"BEST_SALES","BEST_FPERIOD_OVERRIDE","26Y")&lt;&gt;0,BDP($B$143,"BEST_EBIT","BEST_FPERIOD_OVERRIDE","26Y")/BDP($B$143,"BEST_SALES","BEST_FPERIOD_OVERRIDE","26Y"),"")</f>
        <v/>
      </c>
      <c r="K143" s="47">
        <f>BDP($B$143,"RETURN_ON_INV_CAPITAL")/100</f>
        <v/>
      </c>
      <c r="L143" s="47">
        <f>IF(AND(BDP($B$143,"BEST_SALES","BEST_FPERIOD_OVERRIDE","25Y")&gt;0,BDP($B$143,"BEST_SALES","BEST_FPERIOD_OVERRIDE","28Y")&gt;0),(BDP($B$143,"BEST_SALES","BEST_FPERIOD_OVERRIDE","28Y")/BDP($B$143,"BEST_SALES","BEST_FPERIOD_OVERRIDE","25Y"))^(1/3)-1,"")</f>
        <v/>
      </c>
      <c r="M143" s="47">
        <f>IF(AND(BDP($B$143,"BEST_EBIT","BEST_FPERIOD_OVERRIDE","25Y")&gt;0,BDP($B$143,"BEST_EBIT","BEST_FPERIOD_OVERRIDE","28Y")&gt;0),(BDP($B$143,"BEST_EBIT","BEST_FPERIOD_OVERRIDE","28Y")/BDP($B$143,"BEST_EBIT","BEST_FPERIOD_OVERRIDE","25Y"))^(1/3)-1,"")</f>
        <v/>
      </c>
      <c r="N143" s="47">
        <f>IF(AND(BDP($B$143,"BEST_EPS","BEST_FPERIOD_OVERRIDE","25Y")&gt;0,BDP($B$143,"BEST_EPS","BEST_FPERIOD_OVERRIDE","28Y")&gt;0),(BDP($B$143,"BEST_EPS","BEST_FPERIOD_OVERRIDE","28Y")/BDP($B$143,"BEST_EPS","BEST_FPERIOD_OVERRIDE","25Y"))^(1/3)-1,"")</f>
        <v/>
      </c>
      <c r="O143" s="1" t="n"/>
      <c r="P143" s="47">
        <f>BDP($B$143,"CHG_PCT_YTD")/100</f>
        <v/>
      </c>
      <c r="Q143" s="1" t="n"/>
      <c r="R143" s="1" t="n"/>
      <c r="S143" s="42">
        <f>IF(AND(E143&lt;&gt;"",N143&lt;&gt;"",N143&lt;&gt;0),E143/(N143*100),"")</f>
        <v/>
      </c>
      <c r="T143" s="1" t="n"/>
      <c r="U143" s="26" t="inlineStr">
        <is>
          <t>Aug</t>
        </is>
      </c>
      <c r="V143" s="1" t="n"/>
      <c r="W143" s="1" t="n"/>
      <c r="X143" s="1" t="n"/>
      <c r="Y143" s="1" t="n"/>
      <c r="Z143" s="1" t="n"/>
      <c r="AA143" s="47">
        <f>BDP($B$143,"TRAIL_12M_OPER_INC")</f>
        <v/>
      </c>
      <c r="AB143" s="43">
        <f>BDP($B$143,"SHORT_AND_LONG_TERM_DEBT")</f>
        <v/>
      </c>
      <c r="AC143" s="43">
        <f>BDP($B$143,"TOTAL_EQUITY")</f>
        <v/>
      </c>
      <c r="AD143" s="43">
        <f>BDP($B$143,"BS_CASH_NEAR_CASH_ITEM")</f>
        <v/>
      </c>
      <c r="AE143" s="43">
        <f>BDP($B$143,"BS_LT_INVEST")</f>
        <v/>
      </c>
      <c r="AF143" s="31">
        <f>AB143+AC143</f>
        <v/>
      </c>
      <c r="AG143" s="43">
        <f>BDP($B$143,"RETURN_ON_INV_CAPITAL")/100</f>
        <v/>
      </c>
      <c r="AH143" s="49" t="n"/>
      <c r="AI143" s="48">
        <f>BDP($B$143,"BEST_EPS","BEST_FPERIOD_OVERRIDE","24Y")</f>
        <v/>
      </c>
      <c r="AJ143" s="43">
        <f>BDP($B$143,"BEST_EPS","BEST_FPERIOD_OVERRIDE","25Y")</f>
        <v/>
      </c>
      <c r="AK143" s="43">
        <f>BDP($B$143,"BEST_EPS","BEST_FPERIOD_OVERRIDE","26Y")</f>
        <v/>
      </c>
      <c r="AL143" s="43">
        <f>BDP($B$143,"BEST_EPS","BEST_FPERIOD_OVERRIDE","27Y")</f>
        <v/>
      </c>
      <c r="AM143" s="43">
        <f>BDP($B$143,"BEST_EPS","BEST_FPERIOD_OVERRIDE","28Y")</f>
        <v/>
      </c>
      <c r="AN143" s="31" t="n"/>
      <c r="AO143" s="43">
        <f>BDP($B$143,"BEST_SALES","BEST_FPERIOD_OVERRIDE","24Y")</f>
        <v/>
      </c>
      <c r="AP143" s="43">
        <f>BDP($B$143,"BEST_SALES","BEST_FPERIOD_OVERRIDE","25Y")</f>
        <v/>
      </c>
      <c r="AQ143" s="43">
        <f>BDP($B$143,"BEST_SALES","BEST_FPERIOD_OVERRIDE","26Y")</f>
        <v/>
      </c>
      <c r="AR143" s="43">
        <f>BDP($B$143,"BEST_SALES","BEST_FPERIOD_OVERRIDE","27Y")</f>
        <v/>
      </c>
      <c r="AS143" s="43">
        <f>BDP($B$143,"BEST_SALES","BEST_FPERIOD_OVERRIDE","28Y")</f>
        <v/>
      </c>
      <c r="AT143" s="31" t="n"/>
      <c r="AU143" s="48">
        <f>BDP($B$143,"BEST_EBIT","BEST_FPERIOD_OVERRIDE","24Y")</f>
        <v/>
      </c>
      <c r="AV143" s="43">
        <f>BDP($B$143,"BEST_EBIT","BEST_FPERIOD_OVERRIDE","25Y")</f>
        <v/>
      </c>
      <c r="AW143" s="43">
        <f>BDP($B$143,"BEST_EBIT","BEST_FPERIOD_OVERRIDE","26Y")</f>
        <v/>
      </c>
      <c r="AX143" s="43">
        <f>BDP($B$143,"BEST_EBIT","BEST_FPERIOD_OVERRIDE","27Y")</f>
        <v/>
      </c>
      <c r="AY143" s="43">
        <f>BDP($B$143,"BEST_EBIT","BEST_FPERIOD_OVERRIDE","28Y")</f>
        <v/>
      </c>
      <c r="AZ143" s="31" t="n"/>
      <c r="BA143" s="1">
        <f>C143+BD143</f>
        <v/>
      </c>
      <c r="BB143" s="42">
        <f>AB143-AD143</f>
        <v/>
      </c>
      <c r="BC143" s="42">
        <f>C143</f>
        <v/>
      </c>
      <c r="BD143" s="43">
        <f>BDP($B$143,"TRAIL_12M_EBITDA")</f>
        <v/>
      </c>
      <c r="BE143" s="43">
        <f>_xll.BDP("MU UW Equity","TRAIL_12M_EBITDA")</f>
        <v/>
      </c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</row>
    <row r="144">
      <c r="A144" t="inlineStr">
        <is>
          <t>000660</t>
        </is>
      </c>
      <c r="B144" t="inlineStr">
        <is>
          <t>000660 KS Equity</t>
        </is>
      </c>
      <c r="C144" s="43">
        <f>BDP($B$144,"CUR_MKT_CAP")/1000000000000</f>
        <v/>
      </c>
      <c r="D144" s="43">
        <f>BDP($B$144,"PX_LAST")</f>
        <v/>
      </c>
      <c r="E144" s="45">
        <f>IF(BDP($B$144,"BEST_EPS","BEST_FPERIOD_OVERRIDE","26Y")&lt;&gt;0,$D$144/BDP($B$144,"BEST_EPS","BEST_FPERIOD_OVERRIDE","26Y"),"")</f>
        <v/>
      </c>
      <c r="F144" s="45">
        <f>IF(BDP($B$144,"BEST_EPS","BEST_FPERIOD_OVERRIDE","27Y")&lt;&gt;0,$D$144/BDP($B$144,"BEST_EPS","BEST_FPERIOD_OVERRIDE","27Y"),"")</f>
        <v/>
      </c>
      <c r="G144" s="45">
        <f>IF(BDP($B$144,"BEST_EPS","BEST_FPERIOD_OVERRIDE","28Y")&lt;&gt;0,$D$144/BDP($B$144,"BEST_EPS","BEST_FPERIOD_OVERRIDE","28Y"),"")</f>
        <v/>
      </c>
      <c r="H144" s="46">
        <f>BDP($B$144,"NET_DEBT_TO_EBITDA")</f>
        <v/>
      </c>
      <c r="I144" s="43">
        <f>BDP($B$144,"BEST_SALES","BEST_FPERIOD_OVERRIDE","26Y")/1000000</f>
        <v/>
      </c>
      <c r="J144" s="47">
        <f>IF(BDP($B$144,"BEST_SALES","BEST_FPERIOD_OVERRIDE","26Y")&lt;&gt;0,BDP($B$144,"BEST_EBIT","BEST_FPERIOD_OVERRIDE","26Y")/BDP($B$144,"BEST_SALES","BEST_FPERIOD_OVERRIDE","26Y"),"")</f>
        <v/>
      </c>
      <c r="K144" s="47">
        <f>BDP($B$144,"RETURN_ON_INV_CAPITAL")/100</f>
        <v/>
      </c>
      <c r="L144" s="47">
        <f>IF(AND(BDP($B$144,"BEST_SALES","BEST_FPERIOD_OVERRIDE","25Y")&gt;0,BDP($B$144,"BEST_SALES","BEST_FPERIOD_OVERRIDE","28Y")&gt;0),(BDP($B$144,"BEST_SALES","BEST_FPERIOD_OVERRIDE","28Y")/BDP($B$144,"BEST_SALES","BEST_FPERIOD_OVERRIDE","25Y"))^(1/3)-1,"")</f>
        <v/>
      </c>
      <c r="M144" s="47">
        <f>IF(AND(BDP($B$144,"BEST_EBIT","BEST_FPERIOD_OVERRIDE","25Y")&gt;0,BDP($B$144,"BEST_EBIT","BEST_FPERIOD_OVERRIDE","28Y")&gt;0),(BDP($B$144,"BEST_EBIT","BEST_FPERIOD_OVERRIDE","28Y")/BDP($B$144,"BEST_EBIT","BEST_FPERIOD_OVERRIDE","25Y"))^(1/3)-1,"")</f>
        <v/>
      </c>
      <c r="N144" s="47">
        <f>IF(AND(BDP($B$144,"BEST_EPS","BEST_FPERIOD_OVERRIDE","25Y")&gt;0,BDP($B$144,"BEST_EPS","BEST_FPERIOD_OVERRIDE","28Y")&gt;0),(BDP($B$144,"BEST_EPS","BEST_FPERIOD_OVERRIDE","28Y")/BDP($B$144,"BEST_EPS","BEST_FPERIOD_OVERRIDE","25Y"))^(1/3)-1,"")</f>
        <v/>
      </c>
      <c r="O144" s="30" t="n"/>
      <c r="P144" s="47">
        <f>BDP($B$144,"CHG_PCT_YTD")/100</f>
        <v/>
      </c>
      <c r="Q144" s="30" t="n"/>
      <c r="R144" s="1" t="n"/>
      <c r="S144" s="42">
        <f>IF(AND(E144&lt;&gt;"",N144&lt;&gt;"",N144&lt;&gt;0),E144/(N144*100),"")</f>
        <v/>
      </c>
      <c r="T144" s="1" t="n"/>
      <c r="U144" s="26" t="inlineStr">
        <is>
          <t>Dec</t>
        </is>
      </c>
      <c r="AA144" s="48">
        <f>BDP($B$144,"TRAIL_12M_OPER_INC")</f>
        <v/>
      </c>
      <c r="AB144" s="48">
        <f>BDP($B$144,"SHORT_AND_LONG_TERM_DEBT")</f>
        <v/>
      </c>
      <c r="AC144" s="48">
        <f>BDP($B$144,"TOTAL_EQUITY")</f>
        <v/>
      </c>
      <c r="AD144" s="48">
        <f>BDP($B$144,"BS_CASH_NEAR_CASH_ITEM")</f>
        <v/>
      </c>
      <c r="AE144" s="48">
        <f>BDP($B$144,"BS_LT_INVEST")</f>
        <v/>
      </c>
      <c r="AF144" s="30">
        <f>AB144+AC144</f>
        <v/>
      </c>
      <c r="AG144" s="48">
        <f>BDP($B$144,"RETURN_ON_INV_CAPITAL")/100</f>
        <v/>
      </c>
      <c r="AH144" s="36" t="n"/>
      <c r="AI144" s="48">
        <f>BDP($B$144,"BEST_EPS","BEST_FPERIOD_OVERRIDE","24Y")</f>
        <v/>
      </c>
      <c r="AJ144" s="48">
        <f>BDP($B$144,"BEST_EPS","BEST_FPERIOD_OVERRIDE","25Y")</f>
        <v/>
      </c>
      <c r="AK144" s="48">
        <f>BDP($B$144,"BEST_EPS","BEST_FPERIOD_OVERRIDE","26Y")</f>
        <v/>
      </c>
      <c r="AL144" s="48">
        <f>BDP($B$144,"BEST_EPS","BEST_FPERIOD_OVERRIDE","27Y")</f>
        <v/>
      </c>
      <c r="AM144" s="48">
        <f>BDP($B$144,"BEST_EPS","BEST_FPERIOD_OVERRIDE","28Y")</f>
        <v/>
      </c>
      <c r="AN144" s="36" t="n"/>
      <c r="AO144" s="48">
        <f>BDP($B$144,"BEST_SALES","BEST_FPERIOD_OVERRIDE","24Y")</f>
        <v/>
      </c>
      <c r="AP144" s="48">
        <f>BDP($B$144,"BEST_SALES","BEST_FPERIOD_OVERRIDE","25Y")</f>
        <v/>
      </c>
      <c r="AQ144" s="48">
        <f>BDP($B$144,"BEST_SALES","BEST_FPERIOD_OVERRIDE","26Y")</f>
        <v/>
      </c>
      <c r="AR144" s="48">
        <f>BDP($B$144,"BEST_SALES","BEST_FPERIOD_OVERRIDE","27Y")</f>
        <v/>
      </c>
      <c r="AS144" s="48">
        <f>BDP($B$144,"BEST_SALES","BEST_FPERIOD_OVERRIDE","28Y")</f>
        <v/>
      </c>
      <c r="AT144" s="36" t="n"/>
      <c r="AU144" s="48">
        <f>BDP($B$144,"BEST_EBIT","BEST_FPERIOD_OVERRIDE","24Y")</f>
        <v/>
      </c>
      <c r="AV144" s="48">
        <f>BDP($B$144,"BEST_EBIT","BEST_FPERIOD_OVERRIDE","25Y")</f>
        <v/>
      </c>
      <c r="AW144" s="48">
        <f>BDP($B$144,"BEST_EBIT","BEST_FPERIOD_OVERRIDE","26Y")</f>
        <v/>
      </c>
      <c r="AX144" s="48">
        <f>BDP($B$144,"BEST_EBIT","BEST_FPERIOD_OVERRIDE","27Y")</f>
        <v/>
      </c>
      <c r="AY144" s="48">
        <f>BDP($B$144,"BEST_EBIT","BEST_FPERIOD_OVERRIDE","28Y")</f>
        <v/>
      </c>
      <c r="AZ144" s="36" t="n"/>
      <c r="BA144">
        <f>C144+BD144</f>
        <v/>
      </c>
      <c r="BB144">
        <f>AB144-AD144</f>
        <v/>
      </c>
      <c r="BC144">
        <f>C144</f>
        <v/>
      </c>
      <c r="BD144" s="48">
        <f>BDP($B$144,"TRAIL_12M_EBITDA")</f>
        <v/>
      </c>
      <c r="BE144" s="48">
        <f>_xll.BDP("000660 KS Equity","TRAIL_12M_EBITDA")</f>
        <v/>
      </c>
    </row>
    <row r="145">
      <c r="A145" t="inlineStr">
        <is>
          <t>005930</t>
        </is>
      </c>
      <c r="B145" t="inlineStr">
        <is>
          <t>005930 KS Equity</t>
        </is>
      </c>
      <c r="C145" s="43">
        <f>BDP($B$145,"CUR_MKT_CAP")/1000000000000</f>
        <v/>
      </c>
      <c r="D145" s="43">
        <f>BDP($B$145,"PX_LAST")</f>
        <v/>
      </c>
      <c r="E145" s="45">
        <f>IF(BDP($B$145,"BEST_EPS","BEST_FPERIOD_OVERRIDE","26Y")&lt;&gt;0,$D$145/BDP($B$145,"BEST_EPS","BEST_FPERIOD_OVERRIDE","26Y"),"")</f>
        <v/>
      </c>
      <c r="F145" s="45">
        <f>IF(BDP($B$145,"BEST_EPS","BEST_FPERIOD_OVERRIDE","27Y")&lt;&gt;0,$D$145/BDP($B$145,"BEST_EPS","BEST_FPERIOD_OVERRIDE","27Y"),"")</f>
        <v/>
      </c>
      <c r="G145" s="45">
        <f>IF(BDP($B$145,"BEST_EPS","BEST_FPERIOD_OVERRIDE","28Y")&lt;&gt;0,$D$145/BDP($B$145,"BEST_EPS","BEST_FPERIOD_OVERRIDE","28Y"),"")</f>
        <v/>
      </c>
      <c r="H145" s="46">
        <f>BDP($B$145,"NET_DEBT_TO_EBITDA")</f>
        <v/>
      </c>
      <c r="I145" s="43">
        <f>BDP($B$145,"BEST_SALES","BEST_FPERIOD_OVERRIDE","26Y")/1000000</f>
        <v/>
      </c>
      <c r="J145" s="47">
        <f>IF(BDP($B$145,"BEST_SALES","BEST_FPERIOD_OVERRIDE","26Y")&lt;&gt;0,BDP($B$145,"BEST_EBIT","BEST_FPERIOD_OVERRIDE","26Y")/BDP($B$145,"BEST_SALES","BEST_FPERIOD_OVERRIDE","26Y"),"")</f>
        <v/>
      </c>
      <c r="K145" s="47">
        <f>BDP($B$145,"RETURN_ON_INV_CAPITAL")/100</f>
        <v/>
      </c>
      <c r="L145" s="47">
        <f>IF(AND(BDP($B$145,"BEST_SALES","BEST_FPERIOD_OVERRIDE","25Y")&gt;0,BDP($B$145,"BEST_SALES","BEST_FPERIOD_OVERRIDE","28Y")&gt;0),(BDP($B$145,"BEST_SALES","BEST_FPERIOD_OVERRIDE","28Y")/BDP($B$145,"BEST_SALES","BEST_FPERIOD_OVERRIDE","25Y"))^(1/3)-1,"")</f>
        <v/>
      </c>
      <c r="M145" s="47">
        <f>IF(AND(BDP($B$145,"BEST_EBIT","BEST_FPERIOD_OVERRIDE","25Y")&gt;0,BDP($B$145,"BEST_EBIT","BEST_FPERIOD_OVERRIDE","28Y")&gt;0),(BDP($B$145,"BEST_EBIT","BEST_FPERIOD_OVERRIDE","28Y")/BDP($B$145,"BEST_EBIT","BEST_FPERIOD_OVERRIDE","25Y"))^(1/3)-1,"")</f>
        <v/>
      </c>
      <c r="N145" s="47">
        <f>IF(AND(BDP($B$145,"BEST_EPS","BEST_FPERIOD_OVERRIDE","25Y")&gt;0,BDP($B$145,"BEST_EPS","BEST_FPERIOD_OVERRIDE","28Y")&gt;0),(BDP($B$145,"BEST_EPS","BEST_FPERIOD_OVERRIDE","28Y")/BDP($B$145,"BEST_EPS","BEST_FPERIOD_OVERRIDE","25Y"))^(1/3)-1,"")</f>
        <v/>
      </c>
      <c r="O145" s="30" t="n"/>
      <c r="P145" s="47">
        <f>BDP($B$145,"CHG_PCT_YTD")/100</f>
        <v/>
      </c>
      <c r="Q145" s="30" t="n"/>
      <c r="R145" s="1" t="n"/>
      <c r="S145" s="42">
        <f>IF(AND(E145&lt;&gt;"",N145&lt;&gt;"",N145&lt;&gt;0),E145/(N145*100),"")</f>
        <v/>
      </c>
      <c r="T145" s="1" t="n"/>
      <c r="U145" s="26" t="inlineStr">
        <is>
          <t>Dec</t>
        </is>
      </c>
      <c r="AA145" s="48">
        <f>BDP($B$145,"TRAIL_12M_OPER_INC")</f>
        <v/>
      </c>
      <c r="AB145" s="48">
        <f>BDP($B$145,"SHORT_AND_LONG_TERM_DEBT")</f>
        <v/>
      </c>
      <c r="AC145" s="48">
        <f>BDP($B$145,"TOTAL_EQUITY")</f>
        <v/>
      </c>
      <c r="AD145" s="48">
        <f>BDP($B$145,"BS_CASH_NEAR_CASH_ITEM")</f>
        <v/>
      </c>
      <c r="AE145" s="48">
        <f>BDP($B$145,"BS_LT_INVEST")</f>
        <v/>
      </c>
      <c r="AF145" s="30">
        <f>AB145+AC145</f>
        <v/>
      </c>
      <c r="AG145" s="48">
        <f>BDP($B$145,"RETURN_ON_INV_CAPITAL")/100</f>
        <v/>
      </c>
      <c r="AH145" s="36" t="n"/>
      <c r="AI145" s="48">
        <f>BDP($B$145,"BEST_EPS","BEST_FPERIOD_OVERRIDE","24Y")</f>
        <v/>
      </c>
      <c r="AJ145" s="48">
        <f>BDP($B$145,"BEST_EPS","BEST_FPERIOD_OVERRIDE","25Y")</f>
        <v/>
      </c>
      <c r="AK145" s="48">
        <f>BDP($B$145,"BEST_EPS","BEST_FPERIOD_OVERRIDE","26Y")</f>
        <v/>
      </c>
      <c r="AL145" s="48">
        <f>BDP($B$145,"BEST_EPS","BEST_FPERIOD_OVERRIDE","27Y")</f>
        <v/>
      </c>
      <c r="AM145" s="48">
        <f>BDP($B$145,"BEST_EPS","BEST_FPERIOD_OVERRIDE","28Y")</f>
        <v/>
      </c>
      <c r="AN145" s="36" t="n"/>
      <c r="AO145" s="48">
        <f>BDP($B$145,"BEST_SALES","BEST_FPERIOD_OVERRIDE","24Y")</f>
        <v/>
      </c>
      <c r="AP145" s="48">
        <f>BDP($B$145,"BEST_SALES","BEST_FPERIOD_OVERRIDE","25Y")</f>
        <v/>
      </c>
      <c r="AQ145" s="48">
        <f>BDP($B$145,"BEST_SALES","BEST_FPERIOD_OVERRIDE","26Y")</f>
        <v/>
      </c>
      <c r="AR145" s="48">
        <f>BDP($B$145,"BEST_SALES","BEST_FPERIOD_OVERRIDE","27Y")</f>
        <v/>
      </c>
      <c r="AS145" s="48">
        <f>BDP($B$145,"BEST_SALES","BEST_FPERIOD_OVERRIDE","28Y")</f>
        <v/>
      </c>
      <c r="AT145" s="36" t="n"/>
      <c r="AU145" s="48">
        <f>BDP($B$145,"BEST_EBIT","BEST_FPERIOD_OVERRIDE","24Y")</f>
        <v/>
      </c>
      <c r="AV145" s="48">
        <f>BDP($B$145,"BEST_EBIT","BEST_FPERIOD_OVERRIDE","25Y")</f>
        <v/>
      </c>
      <c r="AW145" s="48">
        <f>BDP($B$145,"BEST_EBIT","BEST_FPERIOD_OVERRIDE","26Y")</f>
        <v/>
      </c>
      <c r="AX145" s="48">
        <f>BDP($B$145,"BEST_EBIT","BEST_FPERIOD_OVERRIDE","27Y")</f>
        <v/>
      </c>
      <c r="AY145" s="48">
        <f>BDP($B$145,"BEST_EBIT","BEST_FPERIOD_OVERRIDE","28Y")</f>
        <v/>
      </c>
      <c r="AZ145" s="36" t="n"/>
      <c r="BA145">
        <f>C145+BD145</f>
        <v/>
      </c>
      <c r="BB145">
        <f>AB145-AD145</f>
        <v/>
      </c>
      <c r="BC145">
        <f>C145</f>
        <v/>
      </c>
      <c r="BD145" s="48">
        <f>BDP($B$145,"TRAIL_12M_EBITDA")</f>
        <v/>
      </c>
      <c r="BE145" s="48">
        <f>_xll.BDP("005930 KS Equity","TRAIL_12M_EBITDA")</f>
        <v/>
      </c>
    </row>
    <row r="146">
      <c r="A146" s="1" t="n"/>
      <c r="B146" s="1" t="n"/>
      <c r="C146" s="4" t="n"/>
      <c r="D146" s="38" t="n"/>
      <c r="E146" s="39" t="n"/>
      <c r="F146" s="39" t="n"/>
      <c r="G146" s="39" t="n"/>
      <c r="H146" s="40" t="n"/>
      <c r="I146" s="4" t="n"/>
      <c r="J146" s="41" t="n"/>
      <c r="K146" s="41" t="n"/>
      <c r="L146" s="41" t="n"/>
      <c r="M146" s="41" t="n"/>
      <c r="N146" s="41" t="n"/>
      <c r="O146" s="1" t="n"/>
      <c r="P146" s="1" t="n"/>
      <c r="Q146" s="1" t="n"/>
      <c r="R146" s="1" t="n"/>
      <c r="S146" s="42" t="n"/>
      <c r="T146" s="1" t="n"/>
      <c r="U146" s="26" t="n"/>
      <c r="V146" s="1" t="n"/>
      <c r="W146" s="1" t="n"/>
      <c r="X146" s="1" t="n"/>
      <c r="Y146" s="1" t="n"/>
      <c r="Z146" s="1" t="n"/>
      <c r="AA146" s="41" t="n"/>
      <c r="AB146" s="4" t="n"/>
      <c r="AC146" s="4" t="n"/>
      <c r="AD146" s="4" t="n"/>
      <c r="AE146" s="4" t="n"/>
      <c r="AF146" s="4" t="n"/>
      <c r="AG146" s="4" t="n"/>
      <c r="AH146" s="41" t="n"/>
      <c r="AI146" s="1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1" t="n"/>
      <c r="AV146" s="4" t="n"/>
      <c r="AW146" s="4" t="n"/>
      <c r="AX146" s="4" t="n"/>
      <c r="AY146" s="4" t="n"/>
      <c r="AZ146" s="4" t="n"/>
      <c r="BA146" s="1" t="n"/>
      <c r="BB146" s="42" t="n"/>
      <c r="BC146" s="42" t="n"/>
      <c r="BD146" s="4" t="n"/>
      <c r="BE146" s="4" t="n"/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</row>
    <row r="147">
      <c r="A147" s="3" t="inlineStr">
        <is>
          <t>Other</t>
        </is>
      </c>
      <c r="B147" s="1" t="n"/>
      <c r="C147" s="43" t="n"/>
      <c r="D147" s="44" t="n"/>
      <c r="E147" s="45" t="n"/>
      <c r="F147" s="45" t="n"/>
      <c r="G147" s="45" t="n"/>
      <c r="H147" s="46" t="n"/>
      <c r="I147" s="43" t="n"/>
      <c r="J147" s="47" t="n"/>
      <c r="K147" s="47" t="n"/>
      <c r="L147" s="47" t="n"/>
      <c r="M147" s="47" t="n"/>
      <c r="N147" s="47" t="n"/>
      <c r="O147" s="1" t="n"/>
      <c r="P147" s="48" t="n"/>
      <c r="Q147" s="1" t="n"/>
      <c r="R147" s="1" t="n"/>
      <c r="S147" s="42">
        <f>IF(AND(E147&lt;&gt;"",N147&lt;&gt;"",N147&lt;&gt;0),E147/(N147*100),"")</f>
        <v/>
      </c>
      <c r="T147" s="1" t="n"/>
      <c r="U147" s="26" t="inlineStr">
        <is>
          <t>Dec</t>
        </is>
      </c>
      <c r="V147" s="1" t="n"/>
      <c r="W147" s="1" t="n"/>
      <c r="X147" s="1" t="n"/>
      <c r="Y147" s="1" t="n"/>
      <c r="Z147" s="1" t="n"/>
      <c r="AA147" s="47" t="n"/>
      <c r="AB147" s="43" t="n"/>
      <c r="AC147" s="43" t="n"/>
      <c r="AD147" s="43" t="n"/>
      <c r="AE147" s="43" t="n"/>
      <c r="AF147" s="4">
        <f>AB147+AC147</f>
        <v/>
      </c>
      <c r="AG147" s="43" t="n"/>
      <c r="AH147" s="41" t="n"/>
      <c r="AI147" s="48" t="n"/>
      <c r="AJ147" s="43" t="n"/>
      <c r="AK147" s="43" t="n"/>
      <c r="AL147" s="43" t="n"/>
      <c r="AM147" s="43" t="n"/>
      <c r="AN147" s="4" t="n"/>
      <c r="AO147" s="43" t="n"/>
      <c r="AP147" s="43" t="n"/>
      <c r="AQ147" s="43" t="n"/>
      <c r="AR147" s="43" t="n"/>
      <c r="AS147" s="43" t="n"/>
      <c r="AT147" s="4" t="n"/>
      <c r="AU147" s="48" t="n"/>
      <c r="AV147" s="43" t="n"/>
      <c r="AW147" s="43" t="n"/>
      <c r="AX147" s="43" t="n"/>
      <c r="AY147" s="43" t="n"/>
      <c r="AZ147" s="4" t="n"/>
      <c r="BA147" s="1">
        <f>C147+BD147</f>
        <v/>
      </c>
      <c r="BB147" s="42">
        <f>AB147-AD147</f>
        <v/>
      </c>
      <c r="BC147" s="42">
        <f>C147</f>
        <v/>
      </c>
      <c r="BD147" s="43" t="n"/>
      <c r="BE147" s="4" t="n"/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</row>
    <row r="148">
      <c r="A148" s="1" t="inlineStr">
        <is>
          <t>NXPI</t>
        </is>
      </c>
      <c r="B148" s="1" t="inlineStr">
        <is>
          <t>NXPI UW Equity</t>
        </is>
      </c>
      <c r="C148" s="43">
        <f>BDP($B$148,"CUR_MKT_CAP")/1000000000</f>
        <v/>
      </c>
      <c r="D148" s="44">
        <f>BDP($B$148,"PX_LAST")</f>
        <v/>
      </c>
      <c r="E148" s="45">
        <f>IF(BDP($B$148,"BEST_EPS","BEST_FPERIOD_OVERRIDE","26Y")&lt;&gt;0,$D$148/BDP($B$148,"BEST_EPS","BEST_FPERIOD_OVERRIDE","26Y"),"")</f>
        <v/>
      </c>
      <c r="F148" s="45">
        <f>IF(BDP($B$148,"BEST_EPS","BEST_FPERIOD_OVERRIDE","27Y")&lt;&gt;0,$D$148/BDP($B$148,"BEST_EPS","BEST_FPERIOD_OVERRIDE","27Y"),"")</f>
        <v/>
      </c>
      <c r="G148" s="45">
        <f>IF(BDP($B$148,"BEST_EPS","BEST_FPERIOD_OVERRIDE","28Y")&lt;&gt;0,$D$148/BDP($B$148,"BEST_EPS","BEST_FPERIOD_OVERRIDE","28Y"),"")</f>
        <v/>
      </c>
      <c r="H148" s="46">
        <f>BDP($B$148,"NET_DEBT_TO_EBITDA")</f>
        <v/>
      </c>
      <c r="I148" s="43">
        <f>BDP($B$148,"BEST_SALES","BEST_FPERIOD_OVERRIDE","26Y")/1000</f>
        <v/>
      </c>
      <c r="J148" s="47">
        <f>IF(BDP($B$148,"BEST_SALES","BEST_FPERIOD_OVERRIDE","26Y")&lt;&gt;0,BDP($B$148,"BEST_EBIT","BEST_FPERIOD_OVERRIDE","26Y")/BDP($B$148,"BEST_SALES","BEST_FPERIOD_OVERRIDE","26Y"),"")</f>
        <v/>
      </c>
      <c r="K148" s="47">
        <f>BDP($B$148,"RETURN_ON_INV_CAPITAL")/100</f>
        <v/>
      </c>
      <c r="L148" s="47">
        <f>IF(AND(BDP($B$148,"BEST_SALES","BEST_FPERIOD_OVERRIDE","25Y")&gt;0,BDP($B$148,"BEST_SALES","BEST_FPERIOD_OVERRIDE","28Y")&gt;0),(BDP($B$148,"BEST_SALES","BEST_FPERIOD_OVERRIDE","28Y")/BDP($B$148,"BEST_SALES","BEST_FPERIOD_OVERRIDE","25Y"))^(1/3)-1,"")</f>
        <v/>
      </c>
      <c r="M148" s="47">
        <f>IF(AND(BDP($B$148,"BEST_EBIT","BEST_FPERIOD_OVERRIDE","25Y")&gt;0,BDP($B$148,"BEST_EBIT","BEST_FPERIOD_OVERRIDE","28Y")&gt;0),(BDP($B$148,"BEST_EBIT","BEST_FPERIOD_OVERRIDE","28Y")/BDP($B$148,"BEST_EBIT","BEST_FPERIOD_OVERRIDE","25Y"))^(1/3)-1,"")</f>
        <v/>
      </c>
      <c r="N148" s="47">
        <f>IF(AND(BDP($B$148,"BEST_EPS","BEST_FPERIOD_OVERRIDE","25Y")&gt;0,BDP($B$148,"BEST_EPS","BEST_FPERIOD_OVERRIDE","28Y")&gt;0),(BDP($B$148,"BEST_EPS","BEST_FPERIOD_OVERRIDE","28Y")/BDP($B$148,"BEST_EPS","BEST_FPERIOD_OVERRIDE","25Y"))^(1/3)-1,"")</f>
        <v/>
      </c>
      <c r="O148" s="1" t="n"/>
      <c r="P148" s="47">
        <f>BDP($B$148,"CHG_PCT_YTD")/100</f>
        <v/>
      </c>
      <c r="Q148" s="1" t="n"/>
      <c r="R148" s="1" t="n"/>
      <c r="S148" s="42">
        <f>IF(AND(E148&lt;&gt;"",N148&lt;&gt;"",N148&lt;&gt;0),E148/(N148*100),"")</f>
        <v/>
      </c>
      <c r="T148" s="1" t="n"/>
      <c r="U148" s="26" t="inlineStr">
        <is>
          <t>Dec</t>
        </is>
      </c>
      <c r="V148" s="1" t="n"/>
      <c r="W148" s="1" t="n"/>
      <c r="X148" s="1" t="n"/>
      <c r="Y148" s="1" t="n"/>
      <c r="Z148" s="1" t="n"/>
      <c r="AA148" s="47">
        <f>BDP($B$148,"TRAIL_12M_OPER_INC")</f>
        <v/>
      </c>
      <c r="AB148" s="43">
        <f>BDP($B$148,"SHORT_AND_LONG_TERM_DEBT")</f>
        <v/>
      </c>
      <c r="AC148" s="43">
        <f>BDP($B$148,"TOTAL_EQUITY")</f>
        <v/>
      </c>
      <c r="AD148" s="43">
        <f>BDP($B$148,"BS_CASH_NEAR_CASH_ITEM")</f>
        <v/>
      </c>
      <c r="AE148" s="43">
        <f>BDP($B$148,"BS_LT_INVEST")</f>
        <v/>
      </c>
      <c r="AF148" s="31">
        <f>AB148+AC148</f>
        <v/>
      </c>
      <c r="AG148" s="43">
        <f>BDP($B$148,"RETURN_ON_INV_CAPITAL")/100</f>
        <v/>
      </c>
      <c r="AH148" s="49" t="n"/>
      <c r="AI148" s="48">
        <f>BDP($B$148,"BEST_EPS","BEST_FPERIOD_OVERRIDE","24Y")</f>
        <v/>
      </c>
      <c r="AJ148" s="43">
        <f>BDP($B$148,"BEST_EPS","BEST_FPERIOD_OVERRIDE","25Y")</f>
        <v/>
      </c>
      <c r="AK148" s="43">
        <f>BDP($B$148,"BEST_EPS","BEST_FPERIOD_OVERRIDE","26Y")</f>
        <v/>
      </c>
      <c r="AL148" s="43">
        <f>BDP($B$148,"BEST_EPS","BEST_FPERIOD_OVERRIDE","27Y")</f>
        <v/>
      </c>
      <c r="AM148" s="43">
        <f>BDP($B$148,"BEST_EPS","BEST_FPERIOD_OVERRIDE","28Y")</f>
        <v/>
      </c>
      <c r="AN148" s="31" t="n"/>
      <c r="AO148" s="43">
        <f>BDP($B$148,"BEST_SALES","BEST_FPERIOD_OVERRIDE","24Y")</f>
        <v/>
      </c>
      <c r="AP148" s="43">
        <f>BDP($B$148,"BEST_SALES","BEST_FPERIOD_OVERRIDE","25Y")</f>
        <v/>
      </c>
      <c r="AQ148" s="43">
        <f>BDP($B$148,"BEST_SALES","BEST_FPERIOD_OVERRIDE","26Y")</f>
        <v/>
      </c>
      <c r="AR148" s="43">
        <f>BDP($B$148,"BEST_SALES","BEST_FPERIOD_OVERRIDE","27Y")</f>
        <v/>
      </c>
      <c r="AS148" s="43">
        <f>BDP($B$148,"BEST_SALES","BEST_FPERIOD_OVERRIDE","28Y")</f>
        <v/>
      </c>
      <c r="AT148" s="31" t="n"/>
      <c r="AU148" s="48">
        <f>BDP($B$148,"BEST_EBIT","BEST_FPERIOD_OVERRIDE","24Y")</f>
        <v/>
      </c>
      <c r="AV148" s="43">
        <f>BDP($B$148,"BEST_EBIT","BEST_FPERIOD_OVERRIDE","25Y")</f>
        <v/>
      </c>
      <c r="AW148" s="43">
        <f>BDP($B$148,"BEST_EBIT","BEST_FPERIOD_OVERRIDE","26Y")</f>
        <v/>
      </c>
      <c r="AX148" s="43">
        <f>BDP($B$148,"BEST_EBIT","BEST_FPERIOD_OVERRIDE","27Y")</f>
        <v/>
      </c>
      <c r="AY148" s="43">
        <f>BDP($B$148,"BEST_EBIT","BEST_FPERIOD_OVERRIDE","28Y")</f>
        <v/>
      </c>
      <c r="AZ148" s="31" t="n"/>
      <c r="BA148" s="1">
        <f>C148+BD148</f>
        <v/>
      </c>
      <c r="BB148" s="42">
        <f>AB148-AD148</f>
        <v/>
      </c>
      <c r="BC148" s="42">
        <f>C148</f>
        <v/>
      </c>
      <c r="BD148" s="43">
        <f>BDP($B$148,"TRAIL_12M_EBITDA")</f>
        <v/>
      </c>
      <c r="BE148" s="43">
        <f>_xll.BDP("NXPI UW Equity","TRAIL_12M_EBITDA")</f>
        <v/>
      </c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</row>
    <row r="149">
      <c r="A149" s="1" t="inlineStr">
        <is>
          <t>ON</t>
        </is>
      </c>
      <c r="B149" s="1" t="inlineStr">
        <is>
          <t>ON UW Equity</t>
        </is>
      </c>
      <c r="C149" s="43">
        <f>BDP($B$149,"CUR_MKT_CAP")/1000000000</f>
        <v/>
      </c>
      <c r="D149" s="44">
        <f>BDP($B$149,"PX_LAST")</f>
        <v/>
      </c>
      <c r="E149" s="45">
        <f>IF(BDP($B$149,"BEST_EPS","BEST_FPERIOD_OVERRIDE","26Y")&lt;&gt;0,$D$149/BDP($B$149,"BEST_EPS","BEST_FPERIOD_OVERRIDE","26Y"),"")</f>
        <v/>
      </c>
      <c r="F149" s="45">
        <f>IF(BDP($B$149,"BEST_EPS","BEST_FPERIOD_OVERRIDE","27Y")&lt;&gt;0,$D$149/BDP($B$149,"BEST_EPS","BEST_FPERIOD_OVERRIDE","27Y"),"")</f>
        <v/>
      </c>
      <c r="G149" s="45">
        <f>IF(BDP($B$149,"BEST_EPS","BEST_FPERIOD_OVERRIDE","28Y")&lt;&gt;0,$D$149/BDP($B$149,"BEST_EPS","BEST_FPERIOD_OVERRIDE","28Y"),"")</f>
        <v/>
      </c>
      <c r="H149" s="46">
        <f>BDP($B$149,"NET_DEBT_TO_EBITDA")</f>
        <v/>
      </c>
      <c r="I149" s="43">
        <f>BDP($B$149,"BEST_SALES","BEST_FPERIOD_OVERRIDE","26Y")/1000</f>
        <v/>
      </c>
      <c r="J149" s="47">
        <f>IF(BDP($B$149,"BEST_SALES","BEST_FPERIOD_OVERRIDE","26Y")&lt;&gt;0,BDP($B$149,"BEST_EBIT","BEST_FPERIOD_OVERRIDE","26Y")/BDP($B$149,"BEST_SALES","BEST_FPERIOD_OVERRIDE","26Y"),"")</f>
        <v/>
      </c>
      <c r="K149" s="47">
        <f>BDP($B$149,"RETURN_ON_INV_CAPITAL")/100</f>
        <v/>
      </c>
      <c r="L149" s="47">
        <f>IF(AND(BDP($B$149,"BEST_SALES","BEST_FPERIOD_OVERRIDE","25Y")&gt;0,BDP($B$149,"BEST_SALES","BEST_FPERIOD_OVERRIDE","28Y")&gt;0),(BDP($B$149,"BEST_SALES","BEST_FPERIOD_OVERRIDE","28Y")/BDP($B$149,"BEST_SALES","BEST_FPERIOD_OVERRIDE","25Y"))^(1/3)-1,"")</f>
        <v/>
      </c>
      <c r="M149" s="47">
        <f>IF(AND(BDP($B$149,"BEST_EBIT","BEST_FPERIOD_OVERRIDE","25Y")&gt;0,BDP($B$149,"BEST_EBIT","BEST_FPERIOD_OVERRIDE","28Y")&gt;0),(BDP($B$149,"BEST_EBIT","BEST_FPERIOD_OVERRIDE","28Y")/BDP($B$149,"BEST_EBIT","BEST_FPERIOD_OVERRIDE","25Y"))^(1/3)-1,"")</f>
        <v/>
      </c>
      <c r="N149" s="47">
        <f>IF(AND(BDP($B$149,"BEST_EPS","BEST_FPERIOD_OVERRIDE","25Y")&gt;0,BDP($B$149,"BEST_EPS","BEST_FPERIOD_OVERRIDE","28Y")&gt;0),(BDP($B$149,"BEST_EPS","BEST_FPERIOD_OVERRIDE","28Y")/BDP($B$149,"BEST_EPS","BEST_FPERIOD_OVERRIDE","25Y"))^(1/3)-1,"")</f>
        <v/>
      </c>
      <c r="O149" s="1" t="n"/>
      <c r="P149" s="47">
        <f>BDP($B$149,"CHG_PCT_YTD")/100</f>
        <v/>
      </c>
      <c r="Q149" s="1" t="n"/>
      <c r="R149" s="1" t="n"/>
      <c r="S149" s="42">
        <f>IF(AND(E149&lt;&gt;"",N149&lt;&gt;"",N149&lt;&gt;0),E149/(N149*100),"")</f>
        <v/>
      </c>
      <c r="T149" s="1" t="n"/>
      <c r="U149" s="26" t="inlineStr">
        <is>
          <t>Dec</t>
        </is>
      </c>
      <c r="V149" s="1" t="n"/>
      <c r="W149" s="1" t="n"/>
      <c r="X149" s="1" t="n"/>
      <c r="Y149" s="1" t="n"/>
      <c r="Z149" s="1" t="n"/>
      <c r="AA149" s="47">
        <f>BDP($B$149,"TRAIL_12M_OPER_INC")</f>
        <v/>
      </c>
      <c r="AB149" s="43">
        <f>BDP($B$149,"SHORT_AND_LONG_TERM_DEBT")</f>
        <v/>
      </c>
      <c r="AC149" s="43">
        <f>BDP($B$149,"TOTAL_EQUITY")</f>
        <v/>
      </c>
      <c r="AD149" s="43">
        <f>BDP($B$149,"BS_CASH_NEAR_CASH_ITEM")</f>
        <v/>
      </c>
      <c r="AE149" s="43">
        <f>BDP($B$149,"BS_LT_INVEST")</f>
        <v/>
      </c>
      <c r="AF149" s="31">
        <f>AB149+AC149</f>
        <v/>
      </c>
      <c r="AG149" s="43">
        <f>BDP($B$149,"RETURN_ON_INV_CAPITAL")/100</f>
        <v/>
      </c>
      <c r="AH149" s="49" t="n"/>
      <c r="AI149" s="48">
        <f>BDP($B$149,"BEST_EPS","BEST_FPERIOD_OVERRIDE","24Y")</f>
        <v/>
      </c>
      <c r="AJ149" s="43">
        <f>BDP($B$149,"BEST_EPS","BEST_FPERIOD_OVERRIDE","25Y")</f>
        <v/>
      </c>
      <c r="AK149" s="43">
        <f>BDP($B$149,"BEST_EPS","BEST_FPERIOD_OVERRIDE","26Y")</f>
        <v/>
      </c>
      <c r="AL149" s="43">
        <f>BDP($B$149,"BEST_EPS","BEST_FPERIOD_OVERRIDE","27Y")</f>
        <v/>
      </c>
      <c r="AM149" s="43">
        <f>BDP($B$149,"BEST_EPS","BEST_FPERIOD_OVERRIDE","28Y")</f>
        <v/>
      </c>
      <c r="AN149" s="31" t="n"/>
      <c r="AO149" s="43">
        <f>BDP($B$149,"BEST_SALES","BEST_FPERIOD_OVERRIDE","24Y")</f>
        <v/>
      </c>
      <c r="AP149" s="43">
        <f>BDP($B$149,"BEST_SALES","BEST_FPERIOD_OVERRIDE","25Y")</f>
        <v/>
      </c>
      <c r="AQ149" s="43">
        <f>BDP($B$149,"BEST_SALES","BEST_FPERIOD_OVERRIDE","26Y")</f>
        <v/>
      </c>
      <c r="AR149" s="43">
        <f>BDP($B$149,"BEST_SALES","BEST_FPERIOD_OVERRIDE","27Y")</f>
        <v/>
      </c>
      <c r="AS149" s="43">
        <f>BDP($B$149,"BEST_SALES","BEST_FPERIOD_OVERRIDE","28Y")</f>
        <v/>
      </c>
      <c r="AT149" s="31" t="n"/>
      <c r="AU149" s="48">
        <f>BDP($B$149,"BEST_EBIT","BEST_FPERIOD_OVERRIDE","24Y")</f>
        <v/>
      </c>
      <c r="AV149" s="43">
        <f>BDP($B$149,"BEST_EBIT","BEST_FPERIOD_OVERRIDE","25Y")</f>
        <v/>
      </c>
      <c r="AW149" s="43">
        <f>BDP($B$149,"BEST_EBIT","BEST_FPERIOD_OVERRIDE","26Y")</f>
        <v/>
      </c>
      <c r="AX149" s="43">
        <f>BDP($B$149,"BEST_EBIT","BEST_FPERIOD_OVERRIDE","27Y")</f>
        <v/>
      </c>
      <c r="AY149" s="43">
        <f>BDP($B$149,"BEST_EBIT","BEST_FPERIOD_OVERRIDE","28Y")</f>
        <v/>
      </c>
      <c r="AZ149" s="31" t="n"/>
      <c r="BA149" s="1">
        <f>C149+BD149</f>
        <v/>
      </c>
      <c r="BB149" s="42">
        <f>AB149-AD149</f>
        <v/>
      </c>
      <c r="BC149" s="42">
        <f>C149</f>
        <v/>
      </c>
      <c r="BD149" s="43">
        <f>BDP($B$149,"TRAIL_12M_EBITDA")</f>
        <v/>
      </c>
      <c r="BE149" s="43">
        <f>_xll.BDP("ON UW Equity","TRAIL_12M_EBITDA")</f>
        <v/>
      </c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</row>
    <row r="150">
      <c r="A150" s="1" t="inlineStr">
        <is>
          <t>QRVO</t>
        </is>
      </c>
      <c r="B150" s="1" t="inlineStr">
        <is>
          <t>QRVO UW Equity</t>
        </is>
      </c>
      <c r="C150" s="43">
        <f>BDP($B$150,"CUR_MKT_CAP")/1000000000</f>
        <v/>
      </c>
      <c r="D150" s="44">
        <f>BDP($B$150,"PX_LAST")</f>
        <v/>
      </c>
      <c r="E150" s="45">
        <f>IF(BDP($B$150,"BEST_EPS","BEST_FPERIOD_OVERRIDE","27Y")&lt;&gt;0,$D$150/BDP($B$150,"BEST_EPS","BEST_FPERIOD_OVERRIDE","27Y"),"")</f>
        <v/>
      </c>
      <c r="F150" s="45">
        <f>IF(BDP($B$150,"BEST_EPS","BEST_FPERIOD_OVERRIDE","28Y")&lt;&gt;0,$D$150/BDP($B$150,"BEST_EPS","BEST_FPERIOD_OVERRIDE","28Y"),"")</f>
        <v/>
      </c>
      <c r="G150" s="45">
        <f>IF(BDP($B$150,"BEST_EPS","BEST_FPERIOD_OVERRIDE","29Y")&lt;&gt;0,$D$150/BDP($B$150,"BEST_EPS","BEST_FPERIOD_OVERRIDE","29Y"),"")</f>
        <v/>
      </c>
      <c r="H150" s="46">
        <f>BDP($B$150,"NET_DEBT_TO_EBITDA")</f>
        <v/>
      </c>
      <c r="I150" s="43">
        <f>BDP($B$150,"BEST_SALES","BEST_FPERIOD_OVERRIDE","27Y")/1000</f>
        <v/>
      </c>
      <c r="J150" s="47">
        <f>IF(BDP($B$150,"BEST_SALES","BEST_FPERIOD_OVERRIDE","27Y")&lt;&gt;0,BDP($B$150,"BEST_EBIT","BEST_FPERIOD_OVERRIDE","27Y")/BDP($B$150,"BEST_SALES","BEST_FPERIOD_OVERRIDE","27Y"),"")</f>
        <v/>
      </c>
      <c r="K150" s="47">
        <f>BDP($B$150,"RETURN_ON_INV_CAPITAL")/100</f>
        <v/>
      </c>
      <c r="L150" s="47">
        <f>IF(AND(BDP($B$150,"BEST_SALES","BEST_FPERIOD_OVERRIDE","26Y")&gt;0,BDP($B$150,"BEST_SALES","BEST_FPERIOD_OVERRIDE","29Y")&gt;0),(BDP($B$150,"BEST_SALES","BEST_FPERIOD_OVERRIDE","29Y")/BDP($B$150,"BEST_SALES","BEST_FPERIOD_OVERRIDE","26Y"))^(1/3)-1,"")</f>
        <v/>
      </c>
      <c r="M150" s="47">
        <f>IF(AND(BDP($B$150,"BEST_EBIT","BEST_FPERIOD_OVERRIDE","26Y")&gt;0,BDP($B$150,"BEST_EBIT","BEST_FPERIOD_OVERRIDE","29Y")&gt;0),(BDP($B$150,"BEST_EBIT","BEST_FPERIOD_OVERRIDE","29Y")/BDP($B$150,"BEST_EBIT","BEST_FPERIOD_OVERRIDE","26Y"))^(1/3)-1,"")</f>
        <v/>
      </c>
      <c r="N150" s="47">
        <f>IF(AND(BDP($B$150,"BEST_EPS","BEST_FPERIOD_OVERRIDE","26Y")&gt;0,BDP($B$150,"BEST_EPS","BEST_FPERIOD_OVERRIDE","29Y")&gt;0),(BDP($B$150,"BEST_EPS","BEST_FPERIOD_OVERRIDE","29Y")/BDP($B$150,"BEST_EPS","BEST_FPERIOD_OVERRIDE","26Y"))^(1/3)-1,"")</f>
        <v/>
      </c>
      <c r="O150" s="1" t="n"/>
      <c r="P150" s="47">
        <f>BDP($B$150,"CHG_PCT_YTD")/100</f>
        <v/>
      </c>
      <c r="Q150" s="1" t="n"/>
      <c r="R150" s="1" t="n"/>
      <c r="S150" s="42">
        <f>IF(AND(E150&lt;&gt;"",N150&lt;&gt;"",N150&lt;&gt;0),E150/(N150*100),"")</f>
        <v/>
      </c>
      <c r="T150" s="1" t="n"/>
      <c r="U150" s="26" t="inlineStr">
        <is>
          <t>Mar</t>
        </is>
      </c>
      <c r="V150" s="1" t="n"/>
      <c r="W150" s="1" t="n"/>
      <c r="X150" s="1" t="n"/>
      <c r="Y150" s="1" t="n"/>
      <c r="Z150" s="1" t="n"/>
      <c r="AA150" s="47">
        <f>BDP($B$150,"TRAIL_12M_OPER_INC")</f>
        <v/>
      </c>
      <c r="AB150" s="43">
        <f>BDP($B$150,"SHORT_AND_LONG_TERM_DEBT")</f>
        <v/>
      </c>
      <c r="AC150" s="43">
        <f>BDP($B$150,"TOTAL_EQUITY")</f>
        <v/>
      </c>
      <c r="AD150" s="43">
        <f>BDP($B$150,"BS_CASH_NEAR_CASH_ITEM")</f>
        <v/>
      </c>
      <c r="AE150" s="43">
        <f>BDP($B$150,"BS_LT_INVEST")</f>
        <v/>
      </c>
      <c r="AF150" s="31">
        <f>AB150+AC150</f>
        <v/>
      </c>
      <c r="AG150" s="43">
        <f>BDP($B$150,"RETURN_ON_INV_CAPITAL")/100</f>
        <v/>
      </c>
      <c r="AH150" s="49" t="n"/>
      <c r="AI150" s="48">
        <f>BDP($B$150,"BEST_EPS","BEST_FPERIOD_OVERRIDE","25Y")</f>
        <v/>
      </c>
      <c r="AJ150" s="43">
        <f>BDP($B$150,"BEST_EPS","BEST_FPERIOD_OVERRIDE","26Y")</f>
        <v/>
      </c>
      <c r="AK150" s="43">
        <f>BDP($B$150,"BEST_EPS","BEST_FPERIOD_OVERRIDE","27Y")</f>
        <v/>
      </c>
      <c r="AL150" s="43">
        <f>BDP($B$150,"BEST_EPS","BEST_FPERIOD_OVERRIDE","28Y")</f>
        <v/>
      </c>
      <c r="AM150" s="43">
        <f>BDP($B$150,"BEST_EPS","BEST_FPERIOD_OVERRIDE","29Y")</f>
        <v/>
      </c>
      <c r="AN150" s="31" t="n"/>
      <c r="AO150" s="43">
        <f>BDP($B$150,"BEST_SALES","BEST_FPERIOD_OVERRIDE","25Y")</f>
        <v/>
      </c>
      <c r="AP150" s="43">
        <f>BDP($B$150,"BEST_SALES","BEST_FPERIOD_OVERRIDE","26Y")</f>
        <v/>
      </c>
      <c r="AQ150" s="43">
        <f>BDP($B$150,"BEST_SALES","BEST_FPERIOD_OVERRIDE","27Y")</f>
        <v/>
      </c>
      <c r="AR150" s="43">
        <f>BDP($B$150,"BEST_SALES","BEST_FPERIOD_OVERRIDE","28Y")</f>
        <v/>
      </c>
      <c r="AS150" s="43">
        <f>BDP($B$150,"BEST_SALES","BEST_FPERIOD_OVERRIDE","29Y")</f>
        <v/>
      </c>
      <c r="AT150" s="31" t="n"/>
      <c r="AU150" s="48">
        <f>BDP($B$150,"BEST_EBIT","BEST_FPERIOD_OVERRIDE","25Y")</f>
        <v/>
      </c>
      <c r="AV150" s="43">
        <f>BDP($B$150,"BEST_EBIT","BEST_FPERIOD_OVERRIDE","26Y")</f>
        <v/>
      </c>
      <c r="AW150" s="43">
        <f>BDP($B$150,"BEST_EBIT","BEST_FPERIOD_OVERRIDE","27Y")</f>
        <v/>
      </c>
      <c r="AX150" s="43">
        <f>BDP($B$150,"BEST_EBIT","BEST_FPERIOD_OVERRIDE","28Y")</f>
        <v/>
      </c>
      <c r="AY150" s="43">
        <f>BDP($B$150,"BEST_EBIT","BEST_FPERIOD_OVERRIDE","29Y")</f>
        <v/>
      </c>
      <c r="AZ150" s="31" t="n"/>
      <c r="BA150" s="1">
        <f>C150+BD150</f>
        <v/>
      </c>
      <c r="BB150" s="42">
        <f>AB150-AD150</f>
        <v/>
      </c>
      <c r="BC150" s="42">
        <f>C150</f>
        <v/>
      </c>
      <c r="BD150" s="43">
        <f>BDP($B$150,"TRAIL_12M_EBITDA")</f>
        <v/>
      </c>
      <c r="BE150" s="43">
        <f>_xll.BDP("QRVO UW Equity","TRAIL_12M_EBITDA")</f>
        <v/>
      </c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</row>
    <row r="151">
      <c r="A151" s="1" t="inlineStr">
        <is>
          <t>SWKS</t>
        </is>
      </c>
      <c r="B151" s="1" t="inlineStr">
        <is>
          <t>SWKS UW Equity</t>
        </is>
      </c>
      <c r="C151" s="43">
        <f>BDP($B$151,"CUR_MKT_CAP")/1000000000</f>
        <v/>
      </c>
      <c r="D151" s="44">
        <f>BDP($B$151,"PX_LAST")</f>
        <v/>
      </c>
      <c r="E151" s="45">
        <f>IF(BDP($B$151,"BEST_EPS","BEST_FPERIOD_OVERRIDE","26Y")&lt;&gt;0,$D$151/BDP($B$151,"BEST_EPS","BEST_FPERIOD_OVERRIDE","26Y"),"")</f>
        <v/>
      </c>
      <c r="F151" s="45">
        <f>IF(BDP($B$151,"BEST_EPS","BEST_FPERIOD_OVERRIDE","27Y")&lt;&gt;0,$D$151/BDP($B$151,"BEST_EPS","BEST_FPERIOD_OVERRIDE","27Y"),"")</f>
        <v/>
      </c>
      <c r="G151" s="45">
        <f>IF(BDP($B$151,"BEST_EPS","BEST_FPERIOD_OVERRIDE","28Y")&lt;&gt;0,$D$151/BDP($B$151,"BEST_EPS","BEST_FPERIOD_OVERRIDE","28Y"),"")</f>
        <v/>
      </c>
      <c r="H151" s="46">
        <f>BDP($B$151,"NET_DEBT_TO_EBITDA")</f>
        <v/>
      </c>
      <c r="I151" s="43">
        <f>BDP($B$151,"BEST_SALES","BEST_FPERIOD_OVERRIDE","26Y")/1000</f>
        <v/>
      </c>
      <c r="J151" s="47">
        <f>IF(BDP($B$151,"BEST_SALES","BEST_FPERIOD_OVERRIDE","26Y")&lt;&gt;0,BDP($B$151,"BEST_EBIT","BEST_FPERIOD_OVERRIDE","26Y")/BDP($B$151,"BEST_SALES","BEST_FPERIOD_OVERRIDE","26Y"),"")</f>
        <v/>
      </c>
      <c r="K151" s="47">
        <f>BDP($B$151,"RETURN_ON_INV_CAPITAL")/100</f>
        <v/>
      </c>
      <c r="L151" s="47">
        <f>IF(AND(BDP($B$151,"BEST_SALES","BEST_FPERIOD_OVERRIDE","25Y")&gt;0,BDP($B$151,"BEST_SALES","BEST_FPERIOD_OVERRIDE","28Y")&gt;0),(BDP($B$151,"BEST_SALES","BEST_FPERIOD_OVERRIDE","28Y")/BDP($B$151,"BEST_SALES","BEST_FPERIOD_OVERRIDE","25Y"))^(1/3)-1,"")</f>
        <v/>
      </c>
      <c r="M151" s="47">
        <f>IF(AND(BDP($B$151,"BEST_EBIT","BEST_FPERIOD_OVERRIDE","25Y")&gt;0,BDP($B$151,"BEST_EBIT","BEST_FPERIOD_OVERRIDE","28Y")&gt;0),(BDP($B$151,"BEST_EBIT","BEST_FPERIOD_OVERRIDE","28Y")/BDP($B$151,"BEST_EBIT","BEST_FPERIOD_OVERRIDE","25Y"))^(1/3)-1,"")</f>
        <v/>
      </c>
      <c r="N151" s="47">
        <f>IF(AND(BDP($B$151,"BEST_EPS","BEST_FPERIOD_OVERRIDE","25Y")&gt;0,BDP($B$151,"BEST_EPS","BEST_FPERIOD_OVERRIDE","28Y")&gt;0),(BDP($B$151,"BEST_EPS","BEST_FPERIOD_OVERRIDE","28Y")/BDP($B$151,"BEST_EPS","BEST_FPERIOD_OVERRIDE","25Y"))^(1/3)-1,"")</f>
        <v/>
      </c>
      <c r="O151" s="1" t="n"/>
      <c r="P151" s="47">
        <f>BDP($B$151,"CHG_PCT_YTD")/100</f>
        <v/>
      </c>
      <c r="Q151" s="1" t="n"/>
      <c r="R151" s="1" t="n"/>
      <c r="S151" s="42">
        <f>IF(AND(E151&lt;&gt;"",N151&lt;&gt;"",N151&lt;&gt;0),E151/(N151*100),"")</f>
        <v/>
      </c>
      <c r="T151" s="1" t="n"/>
      <c r="U151" s="26" t="inlineStr">
        <is>
          <t>Sep</t>
        </is>
      </c>
      <c r="V151" s="1" t="n"/>
      <c r="W151" s="1" t="n"/>
      <c r="X151" s="1" t="n"/>
      <c r="Y151" s="1" t="n"/>
      <c r="Z151" s="1" t="n"/>
      <c r="AA151" s="47">
        <f>BDP($B$151,"TRAIL_12M_OPER_INC")</f>
        <v/>
      </c>
      <c r="AB151" s="43">
        <f>BDP($B$151,"SHORT_AND_LONG_TERM_DEBT")</f>
        <v/>
      </c>
      <c r="AC151" s="43">
        <f>BDP($B$151,"TOTAL_EQUITY")</f>
        <v/>
      </c>
      <c r="AD151" s="43">
        <f>BDP($B$151,"BS_CASH_NEAR_CASH_ITEM")</f>
        <v/>
      </c>
      <c r="AE151" s="43">
        <f>BDP($B$151,"BS_LT_INVEST")</f>
        <v/>
      </c>
      <c r="AF151" s="31">
        <f>AB151+AC151</f>
        <v/>
      </c>
      <c r="AG151" s="43">
        <f>BDP($B$151,"RETURN_ON_INV_CAPITAL")/100</f>
        <v/>
      </c>
      <c r="AH151" s="49" t="n"/>
      <c r="AI151" s="48">
        <f>BDP($B$151,"BEST_EPS","BEST_FPERIOD_OVERRIDE","24Y")</f>
        <v/>
      </c>
      <c r="AJ151" s="43">
        <f>BDP($B$151,"BEST_EPS","BEST_FPERIOD_OVERRIDE","25Y")</f>
        <v/>
      </c>
      <c r="AK151" s="43">
        <f>BDP($B$151,"BEST_EPS","BEST_FPERIOD_OVERRIDE","26Y")</f>
        <v/>
      </c>
      <c r="AL151" s="43">
        <f>BDP($B$151,"BEST_EPS","BEST_FPERIOD_OVERRIDE","27Y")</f>
        <v/>
      </c>
      <c r="AM151" s="43">
        <f>BDP($B$151,"BEST_EPS","BEST_FPERIOD_OVERRIDE","28Y")</f>
        <v/>
      </c>
      <c r="AN151" s="31" t="n"/>
      <c r="AO151" s="43">
        <f>BDP($B$151,"BEST_SALES","BEST_FPERIOD_OVERRIDE","24Y")</f>
        <v/>
      </c>
      <c r="AP151" s="43">
        <f>BDP($B$151,"BEST_SALES","BEST_FPERIOD_OVERRIDE","25Y")</f>
        <v/>
      </c>
      <c r="AQ151" s="43">
        <f>BDP($B$151,"BEST_SALES","BEST_FPERIOD_OVERRIDE","26Y")</f>
        <v/>
      </c>
      <c r="AR151" s="43">
        <f>BDP($B$151,"BEST_SALES","BEST_FPERIOD_OVERRIDE","27Y")</f>
        <v/>
      </c>
      <c r="AS151" s="43">
        <f>BDP($B$151,"BEST_SALES","BEST_FPERIOD_OVERRIDE","28Y")</f>
        <v/>
      </c>
      <c r="AT151" s="31" t="n"/>
      <c r="AU151" s="48">
        <f>BDP($B$151,"BEST_EBIT","BEST_FPERIOD_OVERRIDE","24Y")</f>
        <v/>
      </c>
      <c r="AV151" s="43">
        <f>BDP($B$151,"BEST_EBIT","BEST_FPERIOD_OVERRIDE","25Y")</f>
        <v/>
      </c>
      <c r="AW151" s="43">
        <f>BDP($B$151,"BEST_EBIT","BEST_FPERIOD_OVERRIDE","26Y")</f>
        <v/>
      </c>
      <c r="AX151" s="43">
        <f>BDP($B$151,"BEST_EBIT","BEST_FPERIOD_OVERRIDE","27Y")</f>
        <v/>
      </c>
      <c r="AY151" s="43">
        <f>BDP($B$151,"BEST_EBIT","BEST_FPERIOD_OVERRIDE","28Y")</f>
        <v/>
      </c>
      <c r="AZ151" s="31" t="n"/>
      <c r="BA151" s="1">
        <f>C151+BD151</f>
        <v/>
      </c>
      <c r="BB151" s="42">
        <f>AB151-AD151</f>
        <v/>
      </c>
      <c r="BC151" s="42">
        <f>C151</f>
        <v/>
      </c>
      <c r="BD151" s="43">
        <f>BDP($B$151,"TRAIL_12M_EBITDA")</f>
        <v/>
      </c>
      <c r="BE151" s="43">
        <f>_xll.BDP("SWKS UW Equity","TRAIL_12M_EBITDA")</f>
        <v/>
      </c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</row>
    <row r="152">
      <c r="A152" s="1" t="inlineStr">
        <is>
          <t>MTSI</t>
        </is>
      </c>
      <c r="B152" s="1" t="inlineStr">
        <is>
          <t>MTSI UW Equity</t>
        </is>
      </c>
      <c r="C152" s="43">
        <f>BDP($B$152,"CUR_MKT_CAP")/1000000000</f>
        <v/>
      </c>
      <c r="D152" s="44">
        <f>BDP($B$152,"PX_LAST")</f>
        <v/>
      </c>
      <c r="E152" s="45">
        <f>IF(BDP($B$152,"BEST_EPS","BEST_FPERIOD_OVERRIDE","26Y")&lt;&gt;0,$D$152/BDP($B$152,"BEST_EPS","BEST_FPERIOD_OVERRIDE","26Y"),"")</f>
        <v/>
      </c>
      <c r="F152" s="45">
        <f>IF(BDP($B$152,"BEST_EPS","BEST_FPERIOD_OVERRIDE","27Y")&lt;&gt;0,$D$152/BDP($B$152,"BEST_EPS","BEST_FPERIOD_OVERRIDE","27Y"),"")</f>
        <v/>
      </c>
      <c r="G152" s="45">
        <f>IF(BDP($B$152,"BEST_EPS","BEST_FPERIOD_OVERRIDE","28Y")&lt;&gt;0,$D$152/BDP($B$152,"BEST_EPS","BEST_FPERIOD_OVERRIDE","28Y"),"")</f>
        <v/>
      </c>
      <c r="H152" s="46">
        <f>BDP($B$152,"NET_DEBT_TO_EBITDA")</f>
        <v/>
      </c>
      <c r="I152" s="43">
        <f>BDP($B$152,"BEST_SALES","BEST_FPERIOD_OVERRIDE","26Y")/1000</f>
        <v/>
      </c>
      <c r="J152" s="47">
        <f>IF(BDP($B$152,"BEST_SALES","BEST_FPERIOD_OVERRIDE","26Y")&lt;&gt;0,BDP($B$152,"BEST_EBIT","BEST_FPERIOD_OVERRIDE","26Y")/BDP($B$152,"BEST_SALES","BEST_FPERIOD_OVERRIDE","26Y"),"")</f>
        <v/>
      </c>
      <c r="K152" s="47">
        <f>BDP($B$152,"RETURN_ON_INV_CAPITAL")/100</f>
        <v/>
      </c>
      <c r="L152" s="47">
        <f>IF(AND(BDP($B$152,"BEST_SALES","BEST_FPERIOD_OVERRIDE","25Y")&gt;0,BDP($B$152,"BEST_SALES","BEST_FPERIOD_OVERRIDE","28Y")&gt;0),(BDP($B$152,"BEST_SALES","BEST_FPERIOD_OVERRIDE","28Y")/BDP($B$152,"BEST_SALES","BEST_FPERIOD_OVERRIDE","25Y"))^(1/3)-1,"")</f>
        <v/>
      </c>
      <c r="M152" s="47">
        <f>IF(AND(BDP($B$152,"BEST_EBIT","BEST_FPERIOD_OVERRIDE","25Y")&gt;0,BDP($B$152,"BEST_EBIT","BEST_FPERIOD_OVERRIDE","28Y")&gt;0),(BDP($B$152,"BEST_EBIT","BEST_FPERIOD_OVERRIDE","28Y")/BDP($B$152,"BEST_EBIT","BEST_FPERIOD_OVERRIDE","25Y"))^(1/3)-1,"")</f>
        <v/>
      </c>
      <c r="N152" s="47">
        <f>IF(AND(BDP($B$152,"BEST_EPS","BEST_FPERIOD_OVERRIDE","25Y")&gt;0,BDP($B$152,"BEST_EPS","BEST_FPERIOD_OVERRIDE","28Y")&gt;0),(BDP($B$152,"BEST_EPS","BEST_FPERIOD_OVERRIDE","28Y")/BDP($B$152,"BEST_EPS","BEST_FPERIOD_OVERRIDE","25Y"))^(1/3)-1,"")</f>
        <v/>
      </c>
      <c r="O152" s="1" t="n"/>
      <c r="P152" s="47">
        <f>BDP($B$152,"CHG_PCT_YTD")/100</f>
        <v/>
      </c>
      <c r="Q152" s="1" t="n"/>
      <c r="R152" s="1" t="n"/>
      <c r="S152" s="42">
        <f>IF(AND(E152&lt;&gt;"",N152&lt;&gt;"",N152&lt;&gt;0),E152/(N152*100),"")</f>
        <v/>
      </c>
      <c r="T152" s="1" t="n"/>
      <c r="U152" s="26" t="inlineStr">
        <is>
          <t>Sep</t>
        </is>
      </c>
      <c r="V152" s="1" t="n"/>
      <c r="W152" s="1" t="n"/>
      <c r="X152" s="1" t="n"/>
      <c r="Y152" s="1" t="n"/>
      <c r="Z152" s="1" t="n"/>
      <c r="AA152" s="47">
        <f>BDP($B$152,"TRAIL_12M_OPER_INC")</f>
        <v/>
      </c>
      <c r="AB152" s="43">
        <f>BDP($B$152,"SHORT_AND_LONG_TERM_DEBT")</f>
        <v/>
      </c>
      <c r="AC152" s="43">
        <f>BDP($B$152,"TOTAL_EQUITY")</f>
        <v/>
      </c>
      <c r="AD152" s="43">
        <f>BDP($B$152,"BS_CASH_NEAR_CASH_ITEM")</f>
        <v/>
      </c>
      <c r="AE152" s="43">
        <f>BDP($B$152,"BS_LT_INVEST")</f>
        <v/>
      </c>
      <c r="AF152" s="31">
        <f>AB152+AC152</f>
        <v/>
      </c>
      <c r="AG152" s="43">
        <f>BDP($B$152,"RETURN_ON_INV_CAPITAL")/100</f>
        <v/>
      </c>
      <c r="AH152" s="49" t="n"/>
      <c r="AI152" s="48">
        <f>BDP($B$152,"BEST_EPS","BEST_FPERIOD_OVERRIDE","24Y")</f>
        <v/>
      </c>
      <c r="AJ152" s="43">
        <f>BDP($B$152,"BEST_EPS","BEST_FPERIOD_OVERRIDE","25Y")</f>
        <v/>
      </c>
      <c r="AK152" s="43">
        <f>BDP($B$152,"BEST_EPS","BEST_FPERIOD_OVERRIDE","26Y")</f>
        <v/>
      </c>
      <c r="AL152" s="43">
        <f>BDP($B$152,"BEST_EPS","BEST_FPERIOD_OVERRIDE","27Y")</f>
        <v/>
      </c>
      <c r="AM152" s="43">
        <f>BDP($B$152,"BEST_EPS","BEST_FPERIOD_OVERRIDE","28Y")</f>
        <v/>
      </c>
      <c r="AN152" s="31" t="n"/>
      <c r="AO152" s="43">
        <f>BDP($B$152,"BEST_SALES","BEST_FPERIOD_OVERRIDE","24Y")</f>
        <v/>
      </c>
      <c r="AP152" s="43">
        <f>BDP($B$152,"BEST_SALES","BEST_FPERIOD_OVERRIDE","25Y")</f>
        <v/>
      </c>
      <c r="AQ152" s="43">
        <f>BDP($B$152,"BEST_SALES","BEST_FPERIOD_OVERRIDE","26Y")</f>
        <v/>
      </c>
      <c r="AR152" s="43">
        <f>BDP($B$152,"BEST_SALES","BEST_FPERIOD_OVERRIDE","27Y")</f>
        <v/>
      </c>
      <c r="AS152" s="43">
        <f>BDP($B$152,"BEST_SALES","BEST_FPERIOD_OVERRIDE","28Y")</f>
        <v/>
      </c>
      <c r="AT152" s="31" t="n"/>
      <c r="AU152" s="48">
        <f>BDP($B$152,"BEST_EBIT","BEST_FPERIOD_OVERRIDE","24Y")</f>
        <v/>
      </c>
      <c r="AV152" s="43">
        <f>BDP($B$152,"BEST_EBIT","BEST_FPERIOD_OVERRIDE","25Y")</f>
        <v/>
      </c>
      <c r="AW152" s="43">
        <f>BDP($B$152,"BEST_EBIT","BEST_FPERIOD_OVERRIDE","26Y")</f>
        <v/>
      </c>
      <c r="AX152" s="43">
        <f>BDP($B$152,"BEST_EBIT","BEST_FPERIOD_OVERRIDE","27Y")</f>
        <v/>
      </c>
      <c r="AY152" s="43">
        <f>BDP($B$152,"BEST_EBIT","BEST_FPERIOD_OVERRIDE","28Y")</f>
        <v/>
      </c>
      <c r="AZ152" s="31" t="n"/>
      <c r="BA152" s="1">
        <f>C152+BD152</f>
        <v/>
      </c>
      <c r="BB152" s="42">
        <f>AB152-AD152</f>
        <v/>
      </c>
      <c r="BC152" s="42">
        <f>C152</f>
        <v/>
      </c>
      <c r="BD152" s="43">
        <f>BDP($B$152,"TRAIL_12M_EBITDA")</f>
        <v/>
      </c>
      <c r="BE152" s="43">
        <f>_xll.BDP("MTSI UW Equity","TRAIL_12M_EBITDA")</f>
        <v/>
      </c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</row>
    <row r="153">
      <c r="A153" s="1" t="inlineStr">
        <is>
          <t>COHR</t>
        </is>
      </c>
      <c r="B153" s="1" t="inlineStr">
        <is>
          <t>COHR UN Equity</t>
        </is>
      </c>
      <c r="C153" s="43">
        <f>BDP($B$153,"CUR_MKT_CAP")/1000000000</f>
        <v/>
      </c>
      <c r="D153" s="44">
        <f>BDP($B$153,"PX_LAST")</f>
        <v/>
      </c>
      <c r="E153" s="45">
        <f>IF(BDP($B$153,"BEST_EPS","BEST_FPERIOD_OVERRIDE","26Y")&lt;&gt;0,$D$153/BDP($B$153,"BEST_EPS","BEST_FPERIOD_OVERRIDE","26Y"),"")</f>
        <v/>
      </c>
      <c r="F153" s="45">
        <f>IF(BDP($B$153,"BEST_EPS","BEST_FPERIOD_OVERRIDE","27Y")&lt;&gt;0,$D$153/BDP($B$153,"BEST_EPS","BEST_FPERIOD_OVERRIDE","27Y"),"")</f>
        <v/>
      </c>
      <c r="G153" s="45">
        <f>IF(BDP($B$153,"BEST_EPS","BEST_FPERIOD_OVERRIDE","28Y")&lt;&gt;0,$D$153/BDP($B$153,"BEST_EPS","BEST_FPERIOD_OVERRIDE","28Y"),"")</f>
        <v/>
      </c>
      <c r="H153" s="46">
        <f>BDP($B$153,"NET_DEBT_TO_EBITDA")</f>
        <v/>
      </c>
      <c r="I153" s="43">
        <f>BDP($B$153,"BEST_SALES","BEST_FPERIOD_OVERRIDE","26Y")/1000</f>
        <v/>
      </c>
      <c r="J153" s="47">
        <f>IF(BDP($B$153,"BEST_SALES","BEST_FPERIOD_OVERRIDE","26Y")&lt;&gt;0,BDP($B$153,"BEST_EBIT","BEST_FPERIOD_OVERRIDE","26Y")/BDP($B$153,"BEST_SALES","BEST_FPERIOD_OVERRIDE","26Y"),"")</f>
        <v/>
      </c>
      <c r="K153" s="47">
        <f>BDP($B$153,"RETURN_ON_INV_CAPITAL")/100</f>
        <v/>
      </c>
      <c r="L153" s="47">
        <f>IF(AND(BDP($B$153,"BEST_SALES","BEST_FPERIOD_OVERRIDE","25Y")&gt;0,BDP($B$153,"BEST_SALES","BEST_FPERIOD_OVERRIDE","28Y")&gt;0),(BDP($B$153,"BEST_SALES","BEST_FPERIOD_OVERRIDE","28Y")/BDP($B$153,"BEST_SALES","BEST_FPERIOD_OVERRIDE","25Y"))^(1/3)-1,"")</f>
        <v/>
      </c>
      <c r="M153" s="47">
        <f>IF(AND(BDP($B$153,"BEST_EBIT","BEST_FPERIOD_OVERRIDE","25Y")&gt;0,BDP($B$153,"BEST_EBIT","BEST_FPERIOD_OVERRIDE","28Y")&gt;0),(BDP($B$153,"BEST_EBIT","BEST_FPERIOD_OVERRIDE","28Y")/BDP($B$153,"BEST_EBIT","BEST_FPERIOD_OVERRIDE","25Y"))^(1/3)-1,"")</f>
        <v/>
      </c>
      <c r="N153" s="47">
        <f>IF(AND(BDP($B$153,"BEST_EPS","BEST_FPERIOD_OVERRIDE","25Y")&gt;0,BDP($B$153,"BEST_EPS","BEST_FPERIOD_OVERRIDE","28Y")&gt;0),(BDP($B$153,"BEST_EPS","BEST_FPERIOD_OVERRIDE","28Y")/BDP($B$153,"BEST_EPS","BEST_FPERIOD_OVERRIDE","25Y"))^(1/3)-1,"")</f>
        <v/>
      </c>
      <c r="O153" s="1" t="n"/>
      <c r="P153" s="47">
        <f>BDP($B$153,"CHG_PCT_YTD")/100</f>
        <v/>
      </c>
      <c r="Q153" s="1" t="n"/>
      <c r="R153" s="1" t="n"/>
      <c r="S153" s="42">
        <f>IF(AND(E153&lt;&gt;"",N153&lt;&gt;"",N153&lt;&gt;0),E153/(N153*100),"")</f>
        <v/>
      </c>
      <c r="T153" s="1" t="n"/>
      <c r="U153" s="26" t="inlineStr">
        <is>
          <t>Jun</t>
        </is>
      </c>
      <c r="V153" s="1" t="n"/>
      <c r="W153" s="1" t="n"/>
      <c r="X153" s="1" t="n"/>
      <c r="Y153" s="1" t="n"/>
      <c r="Z153" s="1" t="n"/>
      <c r="AA153" s="47">
        <f>BDP($B$153,"TRAIL_12M_OPER_INC")</f>
        <v/>
      </c>
      <c r="AB153" s="43">
        <f>BDP($B$153,"SHORT_AND_LONG_TERM_DEBT")</f>
        <v/>
      </c>
      <c r="AC153" s="43">
        <f>BDP($B$153,"TOTAL_EQUITY")</f>
        <v/>
      </c>
      <c r="AD153" s="43">
        <f>BDP($B$153,"BS_CASH_NEAR_CASH_ITEM")</f>
        <v/>
      </c>
      <c r="AE153" s="43">
        <f>BDP($B$153,"BS_LT_INVEST")</f>
        <v/>
      </c>
      <c r="AF153" s="31">
        <f>AB153+AC153</f>
        <v/>
      </c>
      <c r="AG153" s="43">
        <f>BDP($B$153,"RETURN_ON_INV_CAPITAL")/100</f>
        <v/>
      </c>
      <c r="AH153" s="49" t="n"/>
      <c r="AI153" s="48">
        <f>BDP($B$153,"BEST_EPS","BEST_FPERIOD_OVERRIDE","24Y")</f>
        <v/>
      </c>
      <c r="AJ153" s="43">
        <f>BDP($B$153,"BEST_EPS","BEST_FPERIOD_OVERRIDE","25Y")</f>
        <v/>
      </c>
      <c r="AK153" s="43">
        <f>BDP($B$153,"BEST_EPS","BEST_FPERIOD_OVERRIDE","26Y")</f>
        <v/>
      </c>
      <c r="AL153" s="43">
        <f>BDP($B$153,"BEST_EPS","BEST_FPERIOD_OVERRIDE","27Y")</f>
        <v/>
      </c>
      <c r="AM153" s="43">
        <f>BDP($B$153,"BEST_EPS","BEST_FPERIOD_OVERRIDE","28Y")</f>
        <v/>
      </c>
      <c r="AN153" s="31" t="n"/>
      <c r="AO153" s="43">
        <f>BDP($B$153,"BEST_SALES","BEST_FPERIOD_OVERRIDE","24Y")</f>
        <v/>
      </c>
      <c r="AP153" s="43">
        <f>BDP($B$153,"BEST_SALES","BEST_FPERIOD_OVERRIDE","25Y")</f>
        <v/>
      </c>
      <c r="AQ153" s="43">
        <f>BDP($B$153,"BEST_SALES","BEST_FPERIOD_OVERRIDE","26Y")</f>
        <v/>
      </c>
      <c r="AR153" s="43">
        <f>BDP($B$153,"BEST_SALES","BEST_FPERIOD_OVERRIDE","27Y")</f>
        <v/>
      </c>
      <c r="AS153" s="43">
        <f>BDP($B$153,"BEST_SALES","BEST_FPERIOD_OVERRIDE","28Y")</f>
        <v/>
      </c>
      <c r="AT153" s="31" t="n"/>
      <c r="AU153" s="48">
        <f>BDP($B$153,"BEST_EBIT","BEST_FPERIOD_OVERRIDE","24Y")</f>
        <v/>
      </c>
      <c r="AV153" s="43">
        <f>BDP($B$153,"BEST_EBIT","BEST_FPERIOD_OVERRIDE","25Y")</f>
        <v/>
      </c>
      <c r="AW153" s="43">
        <f>BDP($B$153,"BEST_EBIT","BEST_FPERIOD_OVERRIDE","26Y")</f>
        <v/>
      </c>
      <c r="AX153" s="43">
        <f>BDP($B$153,"BEST_EBIT","BEST_FPERIOD_OVERRIDE","27Y")</f>
        <v/>
      </c>
      <c r="AY153" s="43">
        <f>BDP($B$153,"BEST_EBIT","BEST_FPERIOD_OVERRIDE","28Y")</f>
        <v/>
      </c>
      <c r="AZ153" s="31" t="n"/>
      <c r="BA153" s="1">
        <f>C153+BD153</f>
        <v/>
      </c>
      <c r="BB153" s="42">
        <f>AB153-AD153</f>
        <v/>
      </c>
      <c r="BC153" s="42">
        <f>C153</f>
        <v/>
      </c>
      <c r="BD153" s="43">
        <f>BDP($B$153,"TRAIL_12M_EBITDA")</f>
        <v/>
      </c>
      <c r="BE153" s="43">
        <f>_xll.BDP("COHR UN Equity","TRAIL_12M_EBITDA")</f>
        <v/>
      </c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</row>
    <row r="154">
      <c r="A154" s="1" t="inlineStr">
        <is>
          <t>ENTG</t>
        </is>
      </c>
      <c r="B154" s="1" t="inlineStr">
        <is>
          <t>ENTG UW Equity</t>
        </is>
      </c>
      <c r="C154" s="43">
        <f>BDP($B$154,"CUR_MKT_CAP")/1000000000</f>
        <v/>
      </c>
      <c r="D154" s="44">
        <f>BDP($B$154,"PX_LAST")</f>
        <v/>
      </c>
      <c r="E154" s="45">
        <f>IF(BDP($B$154,"BEST_EPS","BEST_FPERIOD_OVERRIDE","26Y")&lt;&gt;0,$D$154/BDP($B$154,"BEST_EPS","BEST_FPERIOD_OVERRIDE","26Y"),"")</f>
        <v/>
      </c>
      <c r="F154" s="45">
        <f>IF(BDP($B$154,"BEST_EPS","BEST_FPERIOD_OVERRIDE","27Y")&lt;&gt;0,$D$154/BDP($B$154,"BEST_EPS","BEST_FPERIOD_OVERRIDE","27Y"),"")</f>
        <v/>
      </c>
      <c r="G154" s="45">
        <f>IF(BDP($B$154,"BEST_EPS","BEST_FPERIOD_OVERRIDE","28Y")&lt;&gt;0,$D$154/BDP($B$154,"BEST_EPS","BEST_FPERIOD_OVERRIDE","28Y"),"")</f>
        <v/>
      </c>
      <c r="H154" s="46">
        <f>BDP($B$154,"NET_DEBT_TO_EBITDA")</f>
        <v/>
      </c>
      <c r="I154" s="43">
        <f>BDP($B$154,"BEST_SALES","BEST_FPERIOD_OVERRIDE","26Y")/1000</f>
        <v/>
      </c>
      <c r="J154" s="47">
        <f>IF(BDP($B$154,"BEST_SALES","BEST_FPERIOD_OVERRIDE","26Y")&lt;&gt;0,BDP($B$154,"BEST_EBIT","BEST_FPERIOD_OVERRIDE","26Y")/BDP($B$154,"BEST_SALES","BEST_FPERIOD_OVERRIDE","26Y"),"")</f>
        <v/>
      </c>
      <c r="K154" s="47">
        <f>BDP($B$154,"RETURN_ON_INV_CAPITAL")/100</f>
        <v/>
      </c>
      <c r="L154" s="47">
        <f>IF(AND(BDP($B$154,"BEST_SALES","BEST_FPERIOD_OVERRIDE","25Y")&gt;0,BDP($B$154,"BEST_SALES","BEST_FPERIOD_OVERRIDE","28Y")&gt;0),(BDP($B$154,"BEST_SALES","BEST_FPERIOD_OVERRIDE","28Y")/BDP($B$154,"BEST_SALES","BEST_FPERIOD_OVERRIDE","25Y"))^(1/3)-1,"")</f>
        <v/>
      </c>
      <c r="M154" s="47">
        <f>IF(AND(BDP($B$154,"BEST_EBIT","BEST_FPERIOD_OVERRIDE","25Y")&gt;0,BDP($B$154,"BEST_EBIT","BEST_FPERIOD_OVERRIDE","28Y")&gt;0),(BDP($B$154,"BEST_EBIT","BEST_FPERIOD_OVERRIDE","28Y")/BDP($B$154,"BEST_EBIT","BEST_FPERIOD_OVERRIDE","25Y"))^(1/3)-1,"")</f>
        <v/>
      </c>
      <c r="N154" s="47">
        <f>IF(AND(BDP($B$154,"BEST_EPS","BEST_FPERIOD_OVERRIDE","25Y")&gt;0,BDP($B$154,"BEST_EPS","BEST_FPERIOD_OVERRIDE","28Y")&gt;0),(BDP($B$154,"BEST_EPS","BEST_FPERIOD_OVERRIDE","28Y")/BDP($B$154,"BEST_EPS","BEST_FPERIOD_OVERRIDE","25Y"))^(1/3)-1,"")</f>
        <v/>
      </c>
      <c r="O154" s="1" t="n"/>
      <c r="P154" s="47">
        <f>BDP($B$154,"CHG_PCT_YTD")/100</f>
        <v/>
      </c>
      <c r="Q154" s="1" t="n"/>
      <c r="R154" s="1" t="n"/>
      <c r="S154" s="42">
        <f>IF(AND(E154&lt;&gt;"",N154&lt;&gt;"",N154&lt;&gt;0),E154/(N154*100),"")</f>
        <v/>
      </c>
      <c r="T154" s="1" t="n"/>
      <c r="U154" s="26" t="inlineStr">
        <is>
          <t>Dec</t>
        </is>
      </c>
      <c r="V154" s="1" t="n"/>
      <c r="W154" s="1" t="n"/>
      <c r="X154" s="1" t="n"/>
      <c r="Y154" s="1" t="n"/>
      <c r="Z154" s="1" t="n"/>
      <c r="AA154" s="47">
        <f>BDP($B$154,"TRAIL_12M_OPER_INC")</f>
        <v/>
      </c>
      <c r="AB154" s="43">
        <f>BDP($B$154,"SHORT_AND_LONG_TERM_DEBT")</f>
        <v/>
      </c>
      <c r="AC154" s="43">
        <f>BDP($B$154,"TOTAL_EQUITY")</f>
        <v/>
      </c>
      <c r="AD154" s="43">
        <f>BDP($B$154,"BS_CASH_NEAR_CASH_ITEM")</f>
        <v/>
      </c>
      <c r="AE154" s="43">
        <f>BDP($B$154,"BS_LT_INVEST")</f>
        <v/>
      </c>
      <c r="AF154" s="31">
        <f>AB154+AC154</f>
        <v/>
      </c>
      <c r="AG154" s="43">
        <f>BDP($B$154,"RETURN_ON_INV_CAPITAL")/100</f>
        <v/>
      </c>
      <c r="AH154" s="49" t="n"/>
      <c r="AI154" s="48">
        <f>BDP($B$154,"BEST_EPS","BEST_FPERIOD_OVERRIDE","24Y")</f>
        <v/>
      </c>
      <c r="AJ154" s="43">
        <f>BDP($B$154,"BEST_EPS","BEST_FPERIOD_OVERRIDE","25Y")</f>
        <v/>
      </c>
      <c r="AK154" s="43">
        <f>BDP($B$154,"BEST_EPS","BEST_FPERIOD_OVERRIDE","26Y")</f>
        <v/>
      </c>
      <c r="AL154" s="43">
        <f>BDP($B$154,"BEST_EPS","BEST_FPERIOD_OVERRIDE","27Y")</f>
        <v/>
      </c>
      <c r="AM154" s="43">
        <f>BDP($B$154,"BEST_EPS","BEST_FPERIOD_OVERRIDE","28Y")</f>
        <v/>
      </c>
      <c r="AN154" s="31" t="n"/>
      <c r="AO154" s="43">
        <f>BDP($B$154,"BEST_SALES","BEST_FPERIOD_OVERRIDE","24Y")</f>
        <v/>
      </c>
      <c r="AP154" s="43">
        <f>BDP($B$154,"BEST_SALES","BEST_FPERIOD_OVERRIDE","25Y")</f>
        <v/>
      </c>
      <c r="AQ154" s="43">
        <f>BDP($B$154,"BEST_SALES","BEST_FPERIOD_OVERRIDE","26Y")</f>
        <v/>
      </c>
      <c r="AR154" s="43">
        <f>BDP($B$154,"BEST_SALES","BEST_FPERIOD_OVERRIDE","27Y")</f>
        <v/>
      </c>
      <c r="AS154" s="43">
        <f>BDP($B$154,"BEST_SALES","BEST_FPERIOD_OVERRIDE","28Y")</f>
        <v/>
      </c>
      <c r="AT154" s="31" t="n"/>
      <c r="AU154" s="48">
        <f>BDP($B$154,"BEST_EBIT","BEST_FPERIOD_OVERRIDE","24Y")</f>
        <v/>
      </c>
      <c r="AV154" s="43">
        <f>BDP($B$154,"BEST_EBIT","BEST_FPERIOD_OVERRIDE","25Y")</f>
        <v/>
      </c>
      <c r="AW154" s="43">
        <f>BDP($B$154,"BEST_EBIT","BEST_FPERIOD_OVERRIDE","26Y")</f>
        <v/>
      </c>
      <c r="AX154" s="43">
        <f>BDP($B$154,"BEST_EBIT","BEST_FPERIOD_OVERRIDE","27Y")</f>
        <v/>
      </c>
      <c r="AY154" s="43">
        <f>BDP($B$154,"BEST_EBIT","BEST_FPERIOD_OVERRIDE","28Y")</f>
        <v/>
      </c>
      <c r="AZ154" s="31" t="n"/>
      <c r="BA154" s="1">
        <f>C154+BD154</f>
        <v/>
      </c>
      <c r="BB154" s="42">
        <f>AB154-AD154</f>
        <v/>
      </c>
      <c r="BC154" s="42">
        <f>C154</f>
        <v/>
      </c>
      <c r="BD154" s="43">
        <f>BDP($B$154,"TRAIL_12M_EBITDA")</f>
        <v/>
      </c>
      <c r="BE154" s="43">
        <f>_xll.BDP("ENTG UW Equity","TRAIL_12M_EBITDA")</f>
        <v/>
      </c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</row>
    <row r="155">
      <c r="A155" s="1" t="inlineStr">
        <is>
          <t>LSCC</t>
        </is>
      </c>
      <c r="B155" s="1" t="inlineStr">
        <is>
          <t>LSCC UW Equity</t>
        </is>
      </c>
      <c r="C155" s="43">
        <f>BDP($B$155,"CUR_MKT_CAP")/1000000000</f>
        <v/>
      </c>
      <c r="D155" s="44">
        <f>BDP($B$155,"PX_LAST")</f>
        <v/>
      </c>
      <c r="E155" s="45">
        <f>IF(BDP($B$155,"BEST_EPS","BEST_FPERIOD_OVERRIDE","26Y")&lt;&gt;0,$D$155/BDP($B$155,"BEST_EPS","BEST_FPERIOD_OVERRIDE","26Y"),"")</f>
        <v/>
      </c>
      <c r="F155" s="45">
        <f>IF(BDP($B$155,"BEST_EPS","BEST_FPERIOD_OVERRIDE","27Y")&lt;&gt;0,$D$155/BDP($B$155,"BEST_EPS","BEST_FPERIOD_OVERRIDE","27Y"),"")</f>
        <v/>
      </c>
      <c r="G155" s="45">
        <f>IF(BDP($B$155,"BEST_EPS","BEST_FPERIOD_OVERRIDE","28Y")&lt;&gt;0,$D$155/BDP($B$155,"BEST_EPS","BEST_FPERIOD_OVERRIDE","28Y"),"")</f>
        <v/>
      </c>
      <c r="H155" s="46">
        <f>BDP($B$155,"NET_DEBT_TO_EBITDA")</f>
        <v/>
      </c>
      <c r="I155" s="43">
        <f>BDP($B$155,"BEST_SALES","BEST_FPERIOD_OVERRIDE","26Y")/1000</f>
        <v/>
      </c>
      <c r="J155" s="47">
        <f>IF(BDP($B$155,"BEST_SALES","BEST_FPERIOD_OVERRIDE","26Y")&lt;&gt;0,BDP($B$155,"BEST_EBIT","BEST_FPERIOD_OVERRIDE","26Y")/BDP($B$155,"BEST_SALES","BEST_FPERIOD_OVERRIDE","26Y"),"")</f>
        <v/>
      </c>
      <c r="K155" s="47">
        <f>BDP($B$155,"RETURN_ON_INV_CAPITAL")/100</f>
        <v/>
      </c>
      <c r="L155" s="47">
        <f>IF(AND(BDP($B$155,"BEST_SALES","BEST_FPERIOD_OVERRIDE","25Y")&gt;0,BDP($B$155,"BEST_SALES","BEST_FPERIOD_OVERRIDE","28Y")&gt;0),(BDP($B$155,"BEST_SALES","BEST_FPERIOD_OVERRIDE","28Y")/BDP($B$155,"BEST_SALES","BEST_FPERIOD_OVERRIDE","25Y"))^(1/3)-1,"")</f>
        <v/>
      </c>
      <c r="M155" s="47">
        <f>IF(AND(BDP($B$155,"BEST_EBIT","BEST_FPERIOD_OVERRIDE","25Y")&gt;0,BDP($B$155,"BEST_EBIT","BEST_FPERIOD_OVERRIDE","28Y")&gt;0),(BDP($B$155,"BEST_EBIT","BEST_FPERIOD_OVERRIDE","28Y")/BDP($B$155,"BEST_EBIT","BEST_FPERIOD_OVERRIDE","25Y"))^(1/3)-1,"")</f>
        <v/>
      </c>
      <c r="N155" s="47">
        <f>IF(AND(BDP($B$155,"BEST_EPS","BEST_FPERIOD_OVERRIDE","25Y")&gt;0,BDP($B$155,"BEST_EPS","BEST_FPERIOD_OVERRIDE","28Y")&gt;0),(BDP($B$155,"BEST_EPS","BEST_FPERIOD_OVERRIDE","28Y")/BDP($B$155,"BEST_EPS","BEST_FPERIOD_OVERRIDE","25Y"))^(1/3)-1,"")</f>
        <v/>
      </c>
      <c r="O155" s="1" t="n"/>
      <c r="P155" s="47">
        <f>BDP($B$155,"CHG_PCT_YTD")/100</f>
        <v/>
      </c>
      <c r="Q155" s="1" t="n"/>
      <c r="R155" s="1" t="n"/>
      <c r="S155" s="42">
        <f>IF(AND(E155&lt;&gt;"",N155&lt;&gt;"",N155&lt;&gt;0),E155/(N155*100),"")</f>
        <v/>
      </c>
      <c r="T155" s="1" t="n"/>
      <c r="U155" s="26" t="inlineStr">
        <is>
          <t>Dec</t>
        </is>
      </c>
      <c r="V155" s="1" t="n"/>
      <c r="W155" s="1" t="n"/>
      <c r="X155" s="1" t="n"/>
      <c r="Y155" s="1" t="n"/>
      <c r="Z155" s="1" t="n"/>
      <c r="AA155" s="47">
        <f>BDP($B$155,"TRAIL_12M_OPER_INC")</f>
        <v/>
      </c>
      <c r="AB155" s="43">
        <f>BDP($B$155,"SHORT_AND_LONG_TERM_DEBT")</f>
        <v/>
      </c>
      <c r="AC155" s="43">
        <f>BDP($B$155,"TOTAL_EQUITY")</f>
        <v/>
      </c>
      <c r="AD155" s="43">
        <f>BDP($B$155,"BS_CASH_NEAR_CASH_ITEM")</f>
        <v/>
      </c>
      <c r="AE155" s="43">
        <f>BDP($B$155,"BS_LT_INVEST")</f>
        <v/>
      </c>
      <c r="AF155" s="31">
        <f>AB155+AC155</f>
        <v/>
      </c>
      <c r="AG155" s="43">
        <f>BDP($B$155,"RETURN_ON_INV_CAPITAL")/100</f>
        <v/>
      </c>
      <c r="AH155" s="49" t="n"/>
      <c r="AI155" s="48">
        <f>BDP($B$155,"BEST_EPS","BEST_FPERIOD_OVERRIDE","24Y")</f>
        <v/>
      </c>
      <c r="AJ155" s="43">
        <f>BDP($B$155,"BEST_EPS","BEST_FPERIOD_OVERRIDE","25Y")</f>
        <v/>
      </c>
      <c r="AK155" s="43">
        <f>BDP($B$155,"BEST_EPS","BEST_FPERIOD_OVERRIDE","26Y")</f>
        <v/>
      </c>
      <c r="AL155" s="43">
        <f>BDP($B$155,"BEST_EPS","BEST_FPERIOD_OVERRIDE","27Y")</f>
        <v/>
      </c>
      <c r="AM155" s="43">
        <f>BDP($B$155,"BEST_EPS","BEST_FPERIOD_OVERRIDE","28Y")</f>
        <v/>
      </c>
      <c r="AN155" s="31" t="n"/>
      <c r="AO155" s="43">
        <f>BDP($B$155,"BEST_SALES","BEST_FPERIOD_OVERRIDE","24Y")</f>
        <v/>
      </c>
      <c r="AP155" s="43">
        <f>BDP($B$155,"BEST_SALES","BEST_FPERIOD_OVERRIDE","25Y")</f>
        <v/>
      </c>
      <c r="AQ155" s="43">
        <f>BDP($B$155,"BEST_SALES","BEST_FPERIOD_OVERRIDE","26Y")</f>
        <v/>
      </c>
      <c r="AR155" s="43">
        <f>BDP($B$155,"BEST_SALES","BEST_FPERIOD_OVERRIDE","27Y")</f>
        <v/>
      </c>
      <c r="AS155" s="43">
        <f>BDP($B$155,"BEST_SALES","BEST_FPERIOD_OVERRIDE","28Y")</f>
        <v/>
      </c>
      <c r="AT155" s="31" t="n"/>
      <c r="AU155" s="48">
        <f>BDP($B$155,"BEST_EBIT","BEST_FPERIOD_OVERRIDE","24Y")</f>
        <v/>
      </c>
      <c r="AV155" s="43">
        <f>BDP($B$155,"BEST_EBIT","BEST_FPERIOD_OVERRIDE","25Y")</f>
        <v/>
      </c>
      <c r="AW155" s="43">
        <f>BDP($B$155,"BEST_EBIT","BEST_FPERIOD_OVERRIDE","26Y")</f>
        <v/>
      </c>
      <c r="AX155" s="43">
        <f>BDP($B$155,"BEST_EBIT","BEST_FPERIOD_OVERRIDE","27Y")</f>
        <v/>
      </c>
      <c r="AY155" s="43">
        <f>BDP($B$155,"BEST_EBIT","BEST_FPERIOD_OVERRIDE","28Y")</f>
        <v/>
      </c>
      <c r="AZ155" s="31" t="n"/>
      <c r="BA155" s="1">
        <f>C155+BD155</f>
        <v/>
      </c>
      <c r="BB155" s="42">
        <f>AB155-AD155</f>
        <v/>
      </c>
      <c r="BC155" s="42">
        <f>C155</f>
        <v/>
      </c>
      <c r="BD155" s="43">
        <f>BDP($B$155,"TRAIL_12M_EBITDA")</f>
        <v/>
      </c>
      <c r="BE155" s="43">
        <f>_xll.BDP("LSCC UW Equity","TRAIL_12M_EBITDA")</f>
        <v/>
      </c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</row>
    <row r="156">
      <c r="A156" s="1" t="inlineStr">
        <is>
          <t>MCHP</t>
        </is>
      </c>
      <c r="B156" s="1" t="inlineStr">
        <is>
          <t>MCHP UW Equity</t>
        </is>
      </c>
      <c r="C156" s="43">
        <f>BDP($B$156,"CUR_MKT_CAP")/1000000000</f>
        <v/>
      </c>
      <c r="D156" s="44">
        <f>BDP($B$156,"PX_LAST")</f>
        <v/>
      </c>
      <c r="E156" s="45">
        <f>IF(BDP($B$156,"BEST_EPS","BEST_FPERIOD_OVERRIDE","27Y")&lt;&gt;0,$D$156/BDP($B$156,"BEST_EPS","BEST_FPERIOD_OVERRIDE","27Y"),"")</f>
        <v/>
      </c>
      <c r="F156" s="45">
        <f>IF(BDP($B$156,"BEST_EPS","BEST_FPERIOD_OVERRIDE","28Y")&lt;&gt;0,$D$156/BDP($B$156,"BEST_EPS","BEST_FPERIOD_OVERRIDE","28Y"),"")</f>
        <v/>
      </c>
      <c r="G156" s="45">
        <f>IF(BDP($B$156,"BEST_EPS","BEST_FPERIOD_OVERRIDE","29Y")&lt;&gt;0,$D$156/BDP($B$156,"BEST_EPS","BEST_FPERIOD_OVERRIDE","29Y"),"")</f>
        <v/>
      </c>
      <c r="H156" s="46">
        <f>BDP($B$156,"NET_DEBT_TO_EBITDA")</f>
        <v/>
      </c>
      <c r="I156" s="43">
        <f>BDP($B$156,"BEST_SALES","BEST_FPERIOD_OVERRIDE","27Y")/1000</f>
        <v/>
      </c>
      <c r="J156" s="47">
        <f>IF(BDP($B$156,"BEST_SALES","BEST_FPERIOD_OVERRIDE","27Y")&lt;&gt;0,BDP($B$156,"BEST_EBIT","BEST_FPERIOD_OVERRIDE","27Y")/BDP($B$156,"BEST_SALES","BEST_FPERIOD_OVERRIDE","27Y"),"")</f>
        <v/>
      </c>
      <c r="K156" s="47">
        <f>BDP($B$156,"RETURN_ON_INV_CAPITAL")/100</f>
        <v/>
      </c>
      <c r="L156" s="47">
        <f>IF(AND(BDP($B$156,"BEST_SALES","BEST_FPERIOD_OVERRIDE","26Y")&gt;0,BDP($B$156,"BEST_SALES","BEST_FPERIOD_OVERRIDE","29Y")&gt;0),(BDP($B$156,"BEST_SALES","BEST_FPERIOD_OVERRIDE","29Y")/BDP($B$156,"BEST_SALES","BEST_FPERIOD_OVERRIDE","26Y"))^(1/3)-1,"")</f>
        <v/>
      </c>
      <c r="M156" s="47">
        <f>IF(AND(BDP($B$156,"BEST_EBIT","BEST_FPERIOD_OVERRIDE","26Y")&gt;0,BDP($B$156,"BEST_EBIT","BEST_FPERIOD_OVERRIDE","29Y")&gt;0),(BDP($B$156,"BEST_EBIT","BEST_FPERIOD_OVERRIDE","29Y")/BDP($B$156,"BEST_EBIT","BEST_FPERIOD_OVERRIDE","26Y"))^(1/3)-1,"")</f>
        <v/>
      </c>
      <c r="N156" s="47">
        <f>IF(AND(BDP($B$156,"BEST_EPS","BEST_FPERIOD_OVERRIDE","26Y")&gt;0,BDP($B$156,"BEST_EPS","BEST_FPERIOD_OVERRIDE","29Y")&gt;0),(BDP($B$156,"BEST_EPS","BEST_FPERIOD_OVERRIDE","29Y")/BDP($B$156,"BEST_EPS","BEST_FPERIOD_OVERRIDE","26Y"))^(1/3)-1,"")</f>
        <v/>
      </c>
      <c r="O156" s="1" t="n"/>
      <c r="P156" s="47">
        <f>BDP($B$156,"CHG_PCT_YTD")/100</f>
        <v/>
      </c>
      <c r="Q156" s="1" t="n"/>
      <c r="R156" s="1" t="n"/>
      <c r="S156" s="4">
        <f>IF(AND(E156&lt;&gt;"",N156&lt;&gt;"",N156&lt;&gt;0),E156/(N156*100),"")</f>
        <v/>
      </c>
      <c r="T156" s="1" t="n"/>
      <c r="U156" s="26" t="inlineStr">
        <is>
          <t>Mar</t>
        </is>
      </c>
      <c r="V156" s="1" t="n"/>
      <c r="W156" s="1" t="n"/>
      <c r="X156" s="1" t="n"/>
      <c r="Y156" s="1" t="n"/>
      <c r="Z156" s="1" t="n"/>
      <c r="AA156" s="47">
        <f>BDP($B$156,"TRAIL_12M_OPER_INC")</f>
        <v/>
      </c>
      <c r="AB156" s="43">
        <f>BDP($B$156,"SHORT_AND_LONG_TERM_DEBT")</f>
        <v/>
      </c>
      <c r="AC156" s="43">
        <f>BDP($B$156,"TOTAL_EQUITY")</f>
        <v/>
      </c>
      <c r="AD156" s="43">
        <f>BDP($B$156,"BS_CASH_NEAR_CASH_ITEM")</f>
        <v/>
      </c>
      <c r="AE156" s="43">
        <f>BDP($B$156,"BS_LT_INVEST")</f>
        <v/>
      </c>
      <c r="AF156" s="31">
        <f>AB156+AC156</f>
        <v/>
      </c>
      <c r="AG156" s="43">
        <f>BDP($B$156,"RETURN_ON_INV_CAPITAL")/100</f>
        <v/>
      </c>
      <c r="AH156" s="49" t="n"/>
      <c r="AI156" s="48">
        <f>BDP($B$156,"BEST_EPS","BEST_FPERIOD_OVERRIDE","25Y")</f>
        <v/>
      </c>
      <c r="AJ156" s="43">
        <f>BDP($B$156,"BEST_EPS","BEST_FPERIOD_OVERRIDE","26Y")</f>
        <v/>
      </c>
      <c r="AK156" s="43">
        <f>BDP($B$156,"BEST_EPS","BEST_FPERIOD_OVERRIDE","27Y")</f>
        <v/>
      </c>
      <c r="AL156" s="43">
        <f>BDP($B$156,"BEST_EPS","BEST_FPERIOD_OVERRIDE","28Y")</f>
        <v/>
      </c>
      <c r="AM156" s="43">
        <f>BDP($B$156,"BEST_EPS","BEST_FPERIOD_OVERRIDE","29Y")</f>
        <v/>
      </c>
      <c r="AN156" s="31" t="n"/>
      <c r="AO156" s="43">
        <f>BDP($B$156,"BEST_SALES","BEST_FPERIOD_OVERRIDE","25Y")</f>
        <v/>
      </c>
      <c r="AP156" s="43">
        <f>BDP($B$156,"BEST_SALES","BEST_FPERIOD_OVERRIDE","26Y")</f>
        <v/>
      </c>
      <c r="AQ156" s="43">
        <f>BDP($B$156,"BEST_SALES","BEST_FPERIOD_OVERRIDE","27Y")</f>
        <v/>
      </c>
      <c r="AR156" s="43">
        <f>BDP($B$156,"BEST_SALES","BEST_FPERIOD_OVERRIDE","28Y")</f>
        <v/>
      </c>
      <c r="AS156" s="43">
        <f>BDP($B$156,"BEST_SALES","BEST_FPERIOD_OVERRIDE","29Y")</f>
        <v/>
      </c>
      <c r="AT156" s="31" t="n"/>
      <c r="AU156" s="48">
        <f>BDP($B$156,"BEST_EBIT","BEST_FPERIOD_OVERRIDE","25Y")</f>
        <v/>
      </c>
      <c r="AV156" s="43">
        <f>BDP($B$156,"BEST_EBIT","BEST_FPERIOD_OVERRIDE","26Y")</f>
        <v/>
      </c>
      <c r="AW156" s="43">
        <f>BDP($B$156,"BEST_EBIT","BEST_FPERIOD_OVERRIDE","27Y")</f>
        <v/>
      </c>
      <c r="AX156" s="43">
        <f>BDP($B$156,"BEST_EBIT","BEST_FPERIOD_OVERRIDE","28Y")</f>
        <v/>
      </c>
      <c r="AY156" s="43">
        <f>BDP($B$156,"BEST_EBIT","BEST_FPERIOD_OVERRIDE","29Y")</f>
        <v/>
      </c>
      <c r="AZ156" s="31" t="n"/>
      <c r="BA156" s="1">
        <f>C156+BD156</f>
        <v/>
      </c>
      <c r="BB156" s="42">
        <f>AB156-AD156</f>
        <v/>
      </c>
      <c r="BC156" s="42">
        <f>C156</f>
        <v/>
      </c>
      <c r="BD156" s="43">
        <f>BDP($B$156,"TRAIL_12M_EBITDA")</f>
        <v/>
      </c>
      <c r="BE156" s="43">
        <f>_xll.BDP("MCHP UW Equity","TRAIL_12M_EBITDA")</f>
        <v/>
      </c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</row>
    <row r="157">
      <c r="A157" s="1" t="inlineStr">
        <is>
          <t>AMKR</t>
        </is>
      </c>
      <c r="B157" s="1" t="inlineStr">
        <is>
          <t>AMKR UW Equity</t>
        </is>
      </c>
      <c r="C157" s="43">
        <f>BDP($B$157,"CUR_MKT_CAP")/1000000000</f>
        <v/>
      </c>
      <c r="D157" s="44">
        <f>BDP($B$157,"PX_LAST")</f>
        <v/>
      </c>
      <c r="E157" s="45">
        <f>IF(BDP($B$157,"BEST_EPS","BEST_FPERIOD_OVERRIDE","26Y")&lt;&gt;0,$D$157/BDP($B$157,"BEST_EPS","BEST_FPERIOD_OVERRIDE","26Y"),"")</f>
        <v/>
      </c>
      <c r="F157" s="45">
        <f>IF(BDP($B$157,"BEST_EPS","BEST_FPERIOD_OVERRIDE","27Y")&lt;&gt;0,$D$157/BDP($B$157,"BEST_EPS","BEST_FPERIOD_OVERRIDE","27Y"),"")</f>
        <v/>
      </c>
      <c r="G157" s="45">
        <f>IF(BDP($B$157,"BEST_EPS","BEST_FPERIOD_OVERRIDE","28Y")&lt;&gt;0,$D$157/BDP($B$157,"BEST_EPS","BEST_FPERIOD_OVERRIDE","28Y"),"")</f>
        <v/>
      </c>
      <c r="H157" s="46">
        <f>BDP($B$157,"NET_DEBT_TO_EBITDA")</f>
        <v/>
      </c>
      <c r="I157" s="43">
        <f>BDP($B$157,"BEST_SALES","BEST_FPERIOD_OVERRIDE","26Y")/1000</f>
        <v/>
      </c>
      <c r="J157" s="47">
        <f>IF(BDP($B$157,"BEST_SALES","BEST_FPERIOD_OVERRIDE","26Y")&lt;&gt;0,BDP($B$157,"BEST_EBIT","BEST_FPERIOD_OVERRIDE","26Y")/BDP($B$157,"BEST_SALES","BEST_FPERIOD_OVERRIDE","26Y"),"")</f>
        <v/>
      </c>
      <c r="K157" s="47">
        <f>BDP($B$157,"RETURN_ON_INV_CAPITAL")/100</f>
        <v/>
      </c>
      <c r="L157" s="47">
        <f>IF(AND(BDP($B$157,"BEST_SALES","BEST_FPERIOD_OVERRIDE","25Y")&gt;0,BDP($B$157,"BEST_SALES","BEST_FPERIOD_OVERRIDE","28Y")&gt;0),(BDP($B$157,"BEST_SALES","BEST_FPERIOD_OVERRIDE","28Y")/BDP($B$157,"BEST_SALES","BEST_FPERIOD_OVERRIDE","25Y"))^(1/3)-1,"")</f>
        <v/>
      </c>
      <c r="M157" s="47">
        <f>IF(AND(BDP($B$157,"BEST_EBIT","BEST_FPERIOD_OVERRIDE","25Y")&gt;0,BDP($B$157,"BEST_EBIT","BEST_FPERIOD_OVERRIDE","28Y")&gt;0),(BDP($B$157,"BEST_EBIT","BEST_FPERIOD_OVERRIDE","28Y")/BDP($B$157,"BEST_EBIT","BEST_FPERIOD_OVERRIDE","25Y"))^(1/3)-1,"")</f>
        <v/>
      </c>
      <c r="N157" s="47">
        <f>IF(AND(BDP($B$157,"BEST_EPS","BEST_FPERIOD_OVERRIDE","25Y")&gt;0,BDP($B$157,"BEST_EPS","BEST_FPERIOD_OVERRIDE","28Y")&gt;0),(BDP($B$157,"BEST_EPS","BEST_FPERIOD_OVERRIDE","28Y")/BDP($B$157,"BEST_EPS","BEST_FPERIOD_OVERRIDE","25Y"))^(1/3)-1,"")</f>
        <v/>
      </c>
      <c r="O157" s="1" t="n"/>
      <c r="P157" s="47">
        <f>BDP($B$157,"CHG_PCT_YTD")/100</f>
        <v/>
      </c>
      <c r="Q157" s="1" t="n"/>
      <c r="R157" s="1" t="n"/>
      <c r="S157" s="42">
        <f>IF(AND(E157&lt;&gt;"",N157&lt;&gt;"",N157&lt;&gt;0),E157/(N157*100),"")</f>
        <v/>
      </c>
      <c r="T157" s="1" t="n"/>
      <c r="U157" s="26" t="inlineStr">
        <is>
          <t>Dec</t>
        </is>
      </c>
      <c r="V157" s="1" t="n"/>
      <c r="W157" s="1" t="n"/>
      <c r="X157" s="1" t="n"/>
      <c r="Y157" s="1" t="n"/>
      <c r="Z157" s="1" t="n"/>
      <c r="AA157" s="47">
        <f>BDP($B$157,"TRAIL_12M_OPER_INC")</f>
        <v/>
      </c>
      <c r="AB157" s="43">
        <f>BDP($B$157,"SHORT_AND_LONG_TERM_DEBT")</f>
        <v/>
      </c>
      <c r="AC157" s="43">
        <f>BDP($B$157,"TOTAL_EQUITY")</f>
        <v/>
      </c>
      <c r="AD157" s="43">
        <f>BDP($B$157,"BS_CASH_NEAR_CASH_ITEM")</f>
        <v/>
      </c>
      <c r="AE157" s="43">
        <f>BDP($B$157,"BS_LT_INVEST")</f>
        <v/>
      </c>
      <c r="AF157" s="31">
        <f>AB157+AC157</f>
        <v/>
      </c>
      <c r="AG157" s="43">
        <f>BDP($B$157,"RETURN_ON_INV_CAPITAL")/100</f>
        <v/>
      </c>
      <c r="AH157" s="49" t="n"/>
      <c r="AI157" s="48">
        <f>BDP($B$157,"BEST_EPS","BEST_FPERIOD_OVERRIDE","24Y")</f>
        <v/>
      </c>
      <c r="AJ157" s="43">
        <f>BDP($B$157,"BEST_EPS","BEST_FPERIOD_OVERRIDE","25Y")</f>
        <v/>
      </c>
      <c r="AK157" s="43">
        <f>BDP($B$157,"BEST_EPS","BEST_FPERIOD_OVERRIDE","26Y")</f>
        <v/>
      </c>
      <c r="AL157" s="43">
        <f>BDP($B$157,"BEST_EPS","BEST_FPERIOD_OVERRIDE","27Y")</f>
        <v/>
      </c>
      <c r="AM157" s="43">
        <f>BDP($B$157,"BEST_EPS","BEST_FPERIOD_OVERRIDE","28Y")</f>
        <v/>
      </c>
      <c r="AN157" s="31" t="n"/>
      <c r="AO157" s="43">
        <f>BDP($B$157,"BEST_SALES","BEST_FPERIOD_OVERRIDE","24Y")</f>
        <v/>
      </c>
      <c r="AP157" s="43">
        <f>BDP($B$157,"BEST_SALES","BEST_FPERIOD_OVERRIDE","25Y")</f>
        <v/>
      </c>
      <c r="AQ157" s="43">
        <f>BDP($B$157,"BEST_SALES","BEST_FPERIOD_OVERRIDE","26Y")</f>
        <v/>
      </c>
      <c r="AR157" s="43">
        <f>BDP($B$157,"BEST_SALES","BEST_FPERIOD_OVERRIDE","27Y")</f>
        <v/>
      </c>
      <c r="AS157" s="43">
        <f>BDP($B$157,"BEST_SALES","BEST_FPERIOD_OVERRIDE","28Y")</f>
        <v/>
      </c>
      <c r="AT157" s="31" t="n"/>
      <c r="AU157" s="48">
        <f>BDP($B$157,"BEST_EBIT","BEST_FPERIOD_OVERRIDE","24Y")</f>
        <v/>
      </c>
      <c r="AV157" s="43">
        <f>BDP($B$157,"BEST_EBIT","BEST_FPERIOD_OVERRIDE","25Y")</f>
        <v/>
      </c>
      <c r="AW157" s="43">
        <f>BDP($B$157,"BEST_EBIT","BEST_FPERIOD_OVERRIDE","26Y")</f>
        <v/>
      </c>
      <c r="AX157" s="43">
        <f>BDP($B$157,"BEST_EBIT","BEST_FPERIOD_OVERRIDE","27Y")</f>
        <v/>
      </c>
      <c r="AY157" s="43">
        <f>BDP($B$157,"BEST_EBIT","BEST_FPERIOD_OVERRIDE","28Y")</f>
        <v/>
      </c>
      <c r="AZ157" s="31" t="n"/>
      <c r="BA157" s="1">
        <f>C157+BD157</f>
        <v/>
      </c>
      <c r="BB157" s="42">
        <f>AB157-AD157</f>
        <v/>
      </c>
      <c r="BC157" s="42">
        <f>C157</f>
        <v/>
      </c>
      <c r="BD157" s="43">
        <f>BDP($B$157,"TRAIL_12M_EBITDA")</f>
        <v/>
      </c>
      <c r="BE157" s="43">
        <f>_xll.BDP("AMKR UW Equity","TRAIL_12M_EBITDA")</f>
        <v/>
      </c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</row>
    <row r="158">
      <c r="A158" s="1" t="inlineStr">
        <is>
          <t>TER</t>
        </is>
      </c>
      <c r="B158" s="1" t="inlineStr">
        <is>
          <t>TER UW Equity</t>
        </is>
      </c>
      <c r="C158" s="43">
        <f>BDP($B$158,"CUR_MKT_CAP")/1000000000</f>
        <v/>
      </c>
      <c r="D158" s="44">
        <f>BDP($B$158,"PX_LAST")</f>
        <v/>
      </c>
      <c r="E158" s="45">
        <f>IF(BDP($B$158,"BEST_EPS","BEST_FPERIOD_OVERRIDE","26Y")&lt;&gt;0,$D$158/BDP($B$158,"BEST_EPS","BEST_FPERIOD_OVERRIDE","26Y"),"")</f>
        <v/>
      </c>
      <c r="F158" s="45">
        <f>IF(BDP($B$158,"BEST_EPS","BEST_FPERIOD_OVERRIDE","27Y")&lt;&gt;0,$D$158/BDP($B$158,"BEST_EPS","BEST_FPERIOD_OVERRIDE","27Y"),"")</f>
        <v/>
      </c>
      <c r="G158" s="45">
        <f>IF(BDP($B$158,"BEST_EPS","BEST_FPERIOD_OVERRIDE","28Y")&lt;&gt;0,$D$158/BDP($B$158,"BEST_EPS","BEST_FPERIOD_OVERRIDE","28Y"),"")</f>
        <v/>
      </c>
      <c r="H158" s="46">
        <f>BDP($B$158,"NET_DEBT_TO_EBITDA")</f>
        <v/>
      </c>
      <c r="I158" s="43">
        <f>BDP($B$158,"BEST_SALES","BEST_FPERIOD_OVERRIDE","26Y")/1000</f>
        <v/>
      </c>
      <c r="J158" s="47">
        <f>IF(BDP($B$158,"BEST_SALES","BEST_FPERIOD_OVERRIDE","26Y")&lt;&gt;0,BDP($B$158,"BEST_EBIT","BEST_FPERIOD_OVERRIDE","26Y")/BDP($B$158,"BEST_SALES","BEST_FPERIOD_OVERRIDE","26Y"),"")</f>
        <v/>
      </c>
      <c r="K158" s="47">
        <f>BDP($B$158,"RETURN_ON_INV_CAPITAL")/100</f>
        <v/>
      </c>
      <c r="L158" s="47">
        <f>IF(AND(BDP($B$158,"BEST_SALES","BEST_FPERIOD_OVERRIDE","25Y")&gt;0,BDP($B$158,"BEST_SALES","BEST_FPERIOD_OVERRIDE","28Y")&gt;0),(BDP($B$158,"BEST_SALES","BEST_FPERIOD_OVERRIDE","28Y")/BDP($B$158,"BEST_SALES","BEST_FPERIOD_OVERRIDE","25Y"))^(1/3)-1,"")</f>
        <v/>
      </c>
      <c r="M158" s="47">
        <f>IF(AND(BDP($B$158,"BEST_EBIT","BEST_FPERIOD_OVERRIDE","25Y")&gt;0,BDP($B$158,"BEST_EBIT","BEST_FPERIOD_OVERRIDE","28Y")&gt;0),(BDP($B$158,"BEST_EBIT","BEST_FPERIOD_OVERRIDE","28Y")/BDP($B$158,"BEST_EBIT","BEST_FPERIOD_OVERRIDE","25Y"))^(1/3)-1,"")</f>
        <v/>
      </c>
      <c r="N158" s="47">
        <f>IF(AND(BDP($B$158,"BEST_EPS","BEST_FPERIOD_OVERRIDE","25Y")&gt;0,BDP($B$158,"BEST_EPS","BEST_FPERIOD_OVERRIDE","28Y")&gt;0),(BDP($B$158,"BEST_EPS","BEST_FPERIOD_OVERRIDE","28Y")/BDP($B$158,"BEST_EPS","BEST_FPERIOD_OVERRIDE","25Y"))^(1/3)-1,"")</f>
        <v/>
      </c>
      <c r="O158" s="1" t="n"/>
      <c r="P158" s="47">
        <f>BDP($B$158,"CHG_PCT_YTD")/100</f>
        <v/>
      </c>
      <c r="Q158" s="1" t="n"/>
      <c r="R158" s="1" t="n"/>
      <c r="S158" s="42">
        <f>IF(AND(E158&lt;&gt;"",N158&lt;&gt;"",N158&lt;&gt;0),E158/(N158*100),"")</f>
        <v/>
      </c>
      <c r="T158" s="1" t="n"/>
      <c r="U158" s="26" t="inlineStr">
        <is>
          <t>Dec</t>
        </is>
      </c>
      <c r="V158" s="1" t="n"/>
      <c r="W158" s="1" t="n"/>
      <c r="X158" s="1" t="n"/>
      <c r="Y158" s="1" t="n"/>
      <c r="Z158" s="1" t="n"/>
      <c r="AA158" s="47">
        <f>BDP($B$158,"TRAIL_12M_OPER_INC")</f>
        <v/>
      </c>
      <c r="AB158" s="43">
        <f>BDP($B$158,"SHORT_AND_LONG_TERM_DEBT")</f>
        <v/>
      </c>
      <c r="AC158" s="43">
        <f>BDP($B$158,"TOTAL_EQUITY")</f>
        <v/>
      </c>
      <c r="AD158" s="43">
        <f>BDP($B$158,"BS_CASH_NEAR_CASH_ITEM")</f>
        <v/>
      </c>
      <c r="AE158" s="43">
        <f>BDP($B$158,"BS_LT_INVEST")</f>
        <v/>
      </c>
      <c r="AF158" s="31">
        <f>AB158+AC158</f>
        <v/>
      </c>
      <c r="AG158" s="43">
        <f>BDP($B$158,"RETURN_ON_INV_CAPITAL")/100</f>
        <v/>
      </c>
      <c r="AH158" s="49" t="n"/>
      <c r="AI158" s="48">
        <f>BDP($B$158,"BEST_EPS","BEST_FPERIOD_OVERRIDE","24Y")</f>
        <v/>
      </c>
      <c r="AJ158" s="43">
        <f>BDP($B$158,"BEST_EPS","BEST_FPERIOD_OVERRIDE","25Y")</f>
        <v/>
      </c>
      <c r="AK158" s="43">
        <f>BDP($B$158,"BEST_EPS","BEST_FPERIOD_OVERRIDE","26Y")</f>
        <v/>
      </c>
      <c r="AL158" s="43">
        <f>BDP($B$158,"BEST_EPS","BEST_FPERIOD_OVERRIDE","27Y")</f>
        <v/>
      </c>
      <c r="AM158" s="43">
        <f>BDP($B$158,"BEST_EPS","BEST_FPERIOD_OVERRIDE","28Y")</f>
        <v/>
      </c>
      <c r="AN158" s="31" t="n"/>
      <c r="AO158" s="43">
        <f>BDP($B$158,"BEST_SALES","BEST_FPERIOD_OVERRIDE","24Y")</f>
        <v/>
      </c>
      <c r="AP158" s="43">
        <f>BDP($B$158,"BEST_SALES","BEST_FPERIOD_OVERRIDE","25Y")</f>
        <v/>
      </c>
      <c r="AQ158" s="43">
        <f>BDP($B$158,"BEST_SALES","BEST_FPERIOD_OVERRIDE","26Y")</f>
        <v/>
      </c>
      <c r="AR158" s="43">
        <f>BDP($B$158,"BEST_SALES","BEST_FPERIOD_OVERRIDE","27Y")</f>
        <v/>
      </c>
      <c r="AS158" s="43">
        <f>BDP($B$158,"BEST_SALES","BEST_FPERIOD_OVERRIDE","28Y")</f>
        <v/>
      </c>
      <c r="AT158" s="31" t="n"/>
      <c r="AU158" s="48">
        <f>BDP($B$158,"BEST_EBIT","BEST_FPERIOD_OVERRIDE","24Y")</f>
        <v/>
      </c>
      <c r="AV158" s="43">
        <f>BDP($B$158,"BEST_EBIT","BEST_FPERIOD_OVERRIDE","25Y")</f>
        <v/>
      </c>
      <c r="AW158" s="43">
        <f>BDP($B$158,"BEST_EBIT","BEST_FPERIOD_OVERRIDE","26Y")</f>
        <v/>
      </c>
      <c r="AX158" s="43">
        <f>BDP($B$158,"BEST_EBIT","BEST_FPERIOD_OVERRIDE","27Y")</f>
        <v/>
      </c>
      <c r="AY158" s="43">
        <f>BDP($B$158,"BEST_EBIT","BEST_FPERIOD_OVERRIDE","28Y")</f>
        <v/>
      </c>
      <c r="AZ158" s="31" t="n"/>
      <c r="BA158" s="1">
        <f>C158+BD158</f>
        <v/>
      </c>
      <c r="BB158" s="42">
        <f>AB158-AD158</f>
        <v/>
      </c>
      <c r="BC158" s="42">
        <f>C158</f>
        <v/>
      </c>
      <c r="BD158" s="43">
        <f>BDP($B$158,"TRAIL_12M_EBITDA")</f>
        <v/>
      </c>
      <c r="BE158" s="43">
        <f>_xll.BDP("TER UW Equity","TRAIL_12M_EBITDA")</f>
        <v/>
      </c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</row>
    <row r="159">
      <c r="A159" s="1" t="inlineStr">
        <is>
          <t>AEHR</t>
        </is>
      </c>
      <c r="B159" s="1" t="inlineStr">
        <is>
          <t>AEHR US Equity</t>
        </is>
      </c>
      <c r="C159" s="43">
        <f>BDP($B$159,"CUR_MKT_CAP")/1000000000</f>
        <v/>
      </c>
      <c r="D159" s="44">
        <f>BDP($B$159,"PX_LAST")</f>
        <v/>
      </c>
      <c r="E159" s="45">
        <f>IF(BDP($B$159,"BEST_EPS","BEST_FPERIOD_OVERRIDE","26Y")&lt;&gt;0,$D$159/BDP($B$159,"BEST_EPS","BEST_FPERIOD_OVERRIDE","26Y"),"")</f>
        <v/>
      </c>
      <c r="F159" s="45">
        <f>IF(BDP($B$159,"BEST_EPS","BEST_FPERIOD_OVERRIDE","27Y")&lt;&gt;0,$D$159/BDP($B$159,"BEST_EPS","BEST_FPERIOD_OVERRIDE","27Y"),"")</f>
        <v/>
      </c>
      <c r="G159" s="45">
        <f>IF(BDP($B$159,"BEST_EPS","BEST_FPERIOD_OVERRIDE","28Y")&lt;&gt;0,$D$159/BDP($B$159,"BEST_EPS","BEST_FPERIOD_OVERRIDE","28Y"),"")</f>
        <v/>
      </c>
      <c r="H159" s="46">
        <f>BDP($B$159,"NET_DEBT_TO_EBITDA")</f>
        <v/>
      </c>
      <c r="I159" s="43">
        <f>BDP($B$159,"BEST_SALES","BEST_FPERIOD_OVERRIDE","26Y")/1000</f>
        <v/>
      </c>
      <c r="J159" s="47">
        <f>IF(BDP($B$159,"BEST_SALES","BEST_FPERIOD_OVERRIDE","26Y")&lt;&gt;0,BDP($B$159,"BEST_EBIT","BEST_FPERIOD_OVERRIDE","26Y")/BDP($B$159,"BEST_SALES","BEST_FPERIOD_OVERRIDE","26Y"),"")</f>
        <v/>
      </c>
      <c r="K159" s="47">
        <f>BDP($B$159,"RETURN_ON_INV_CAPITAL")/100</f>
        <v/>
      </c>
      <c r="L159" s="47">
        <f>IF(AND(BDP($B$159,"BEST_SALES","BEST_FPERIOD_OVERRIDE","25Y")&gt;0,BDP($B$159,"BEST_SALES","BEST_FPERIOD_OVERRIDE","28Y")&gt;0),(BDP($B$159,"BEST_SALES","BEST_FPERIOD_OVERRIDE","28Y")/BDP($B$159,"BEST_SALES","BEST_FPERIOD_OVERRIDE","25Y"))^(1/3)-1,"")</f>
        <v/>
      </c>
      <c r="M159" s="47">
        <f>IF(AND(BDP($B$159,"BEST_EBIT","BEST_FPERIOD_OVERRIDE","25Y")&gt;0,BDP($B$159,"BEST_EBIT","BEST_FPERIOD_OVERRIDE","28Y")&gt;0),(BDP($B$159,"BEST_EBIT","BEST_FPERIOD_OVERRIDE","28Y")/BDP($B$159,"BEST_EBIT","BEST_FPERIOD_OVERRIDE","25Y"))^(1/3)-1,"")</f>
        <v/>
      </c>
      <c r="N159" s="47">
        <f>IF(AND(BDP($B$159,"BEST_EPS","BEST_FPERIOD_OVERRIDE","25Y")&gt;0,BDP($B$159,"BEST_EPS","BEST_FPERIOD_OVERRIDE","28Y")&gt;0),(BDP($B$159,"BEST_EPS","BEST_FPERIOD_OVERRIDE","28Y")/BDP($B$159,"BEST_EPS","BEST_FPERIOD_OVERRIDE","25Y"))^(1/3)-1,"")</f>
        <v/>
      </c>
      <c r="O159" s="1" t="n"/>
      <c r="P159" s="47">
        <f>BDP($B$159,"CHG_PCT_YTD")/100</f>
        <v/>
      </c>
      <c r="Q159" s="1" t="n"/>
      <c r="R159" s="1" t="n"/>
      <c r="S159" s="42">
        <f>IF(AND(E159&lt;&gt;"",N159&lt;&gt;"",N159&lt;&gt;0),E159/(N159*100),"")</f>
        <v/>
      </c>
      <c r="T159" s="1" t="n"/>
      <c r="U159" s="26" t="inlineStr">
        <is>
          <t>May</t>
        </is>
      </c>
      <c r="V159" s="1" t="n"/>
      <c r="W159" s="1" t="n"/>
      <c r="X159" s="1" t="n"/>
      <c r="Y159" s="1" t="n"/>
      <c r="Z159" s="1" t="n"/>
      <c r="AA159" s="47">
        <f>BDP($B$159,"TRAIL_12M_OPER_INC")</f>
        <v/>
      </c>
      <c r="AB159" s="43">
        <f>BDP($B$159,"SHORT_AND_LONG_TERM_DEBT")</f>
        <v/>
      </c>
      <c r="AC159" s="43">
        <f>BDP($B$159,"TOTAL_EQUITY")</f>
        <v/>
      </c>
      <c r="AD159" s="43">
        <f>BDP($B$159,"BS_CASH_NEAR_CASH_ITEM")</f>
        <v/>
      </c>
      <c r="AE159" s="43">
        <f>BDP($B$159,"BS_LT_INVEST")</f>
        <v/>
      </c>
      <c r="AF159" s="31">
        <f>AB159+AC159</f>
        <v/>
      </c>
      <c r="AG159" s="43">
        <f>BDP($B$159,"RETURN_ON_INV_CAPITAL")/100</f>
        <v/>
      </c>
      <c r="AH159" s="49" t="n"/>
      <c r="AI159" s="48">
        <f>BDP($B$159,"BEST_EPS","BEST_FPERIOD_OVERRIDE","24Y")</f>
        <v/>
      </c>
      <c r="AJ159" s="43">
        <f>BDP($B$159,"BEST_EPS","BEST_FPERIOD_OVERRIDE","25Y")</f>
        <v/>
      </c>
      <c r="AK159" s="43">
        <f>BDP($B$159,"BEST_EPS","BEST_FPERIOD_OVERRIDE","26Y")</f>
        <v/>
      </c>
      <c r="AL159" s="43">
        <f>BDP($B$159,"BEST_EPS","BEST_FPERIOD_OVERRIDE","27Y")</f>
        <v/>
      </c>
      <c r="AM159" s="43">
        <f>BDP($B$159,"BEST_EPS","BEST_FPERIOD_OVERRIDE","28Y")</f>
        <v/>
      </c>
      <c r="AN159" s="31" t="n"/>
      <c r="AO159" s="43">
        <f>BDP($B$159,"BEST_SALES","BEST_FPERIOD_OVERRIDE","24Y")</f>
        <v/>
      </c>
      <c r="AP159" s="43">
        <f>BDP($B$159,"BEST_SALES","BEST_FPERIOD_OVERRIDE","25Y")</f>
        <v/>
      </c>
      <c r="AQ159" s="43">
        <f>BDP($B$159,"BEST_SALES","BEST_FPERIOD_OVERRIDE","26Y")</f>
        <v/>
      </c>
      <c r="AR159" s="43">
        <f>BDP($B$159,"BEST_SALES","BEST_FPERIOD_OVERRIDE","27Y")</f>
        <v/>
      </c>
      <c r="AS159" s="43">
        <f>BDP($B$159,"BEST_SALES","BEST_FPERIOD_OVERRIDE","28Y")</f>
        <v/>
      </c>
      <c r="AT159" s="31" t="n"/>
      <c r="AU159" s="48">
        <f>BDP($B$159,"BEST_EBIT","BEST_FPERIOD_OVERRIDE","24Y")</f>
        <v/>
      </c>
      <c r="AV159" s="43">
        <f>BDP($B$159,"BEST_EBIT","BEST_FPERIOD_OVERRIDE","25Y")</f>
        <v/>
      </c>
      <c r="AW159" s="43">
        <f>BDP($B$159,"BEST_EBIT","BEST_FPERIOD_OVERRIDE","26Y")</f>
        <v/>
      </c>
      <c r="AX159" s="43">
        <f>BDP($B$159,"BEST_EBIT","BEST_FPERIOD_OVERRIDE","27Y")</f>
        <v/>
      </c>
      <c r="AY159" s="43">
        <f>BDP($B$159,"BEST_EBIT","BEST_FPERIOD_OVERRIDE","28Y")</f>
        <v/>
      </c>
      <c r="AZ159" s="31" t="n"/>
      <c r="BA159" s="1">
        <f>C159+BD159</f>
        <v/>
      </c>
      <c r="BB159" s="42">
        <f>AB159-AD159</f>
        <v/>
      </c>
      <c r="BC159" s="42">
        <f>C159</f>
        <v/>
      </c>
      <c r="BD159" s="43">
        <f>BDP($B$159,"TRAIL_12M_EBITDA")</f>
        <v/>
      </c>
      <c r="BE159" s="43">
        <f>_xll.BDP("AEHR US Equity","TRAIL_12M_EBITDA")</f>
        <v/>
      </c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</row>
    <row r="160">
      <c r="A160" s="1" t="inlineStr">
        <is>
          <t>VRT</t>
        </is>
      </c>
      <c r="B160" s="1" t="inlineStr">
        <is>
          <t>VRT US Equity</t>
        </is>
      </c>
      <c r="C160" s="43">
        <f>BDP($B$160,"CUR_MKT_CAP")/1000000000</f>
        <v/>
      </c>
      <c r="D160" s="44">
        <f>BDP($B$160,"PX_LAST")</f>
        <v/>
      </c>
      <c r="E160" s="45">
        <f>IF(BDP($B$160,"BEST_EPS","BEST_FPERIOD_OVERRIDE","26Y")&lt;&gt;0,$D$160/BDP($B$160,"BEST_EPS","BEST_FPERIOD_OVERRIDE","26Y"),"")</f>
        <v/>
      </c>
      <c r="F160" s="45">
        <f>IF(BDP($B$160,"BEST_EPS","BEST_FPERIOD_OVERRIDE","27Y")&lt;&gt;0,$D$160/BDP($B$160,"BEST_EPS","BEST_FPERIOD_OVERRIDE","27Y"),"")</f>
        <v/>
      </c>
      <c r="G160" s="45">
        <f>IF(BDP($B$160,"BEST_EPS","BEST_FPERIOD_OVERRIDE","28Y")&lt;&gt;0,$D$160/BDP($B$160,"BEST_EPS","BEST_FPERIOD_OVERRIDE","28Y"),"")</f>
        <v/>
      </c>
      <c r="H160" s="46">
        <f>BDP($B$160,"NET_DEBT_TO_EBITDA")</f>
        <v/>
      </c>
      <c r="I160" s="43">
        <f>BDP($B$160,"BEST_SALES","BEST_FPERIOD_OVERRIDE","26Y")/1000</f>
        <v/>
      </c>
      <c r="J160" s="47">
        <f>IF(BDP($B$160,"BEST_SALES","BEST_FPERIOD_OVERRIDE","26Y")&lt;&gt;0,BDP($B$160,"BEST_EBIT","BEST_FPERIOD_OVERRIDE","26Y")/BDP($B$160,"BEST_SALES","BEST_FPERIOD_OVERRIDE","26Y"),"")</f>
        <v/>
      </c>
      <c r="K160" s="47">
        <f>BDP($B$160,"RETURN_ON_INV_CAPITAL")/100</f>
        <v/>
      </c>
      <c r="L160" s="47">
        <f>IF(AND(BDP($B$160,"BEST_SALES","BEST_FPERIOD_OVERRIDE","25Y")&gt;0,BDP($B$160,"BEST_SALES","BEST_FPERIOD_OVERRIDE","28Y")&gt;0),(BDP($B$160,"BEST_SALES","BEST_FPERIOD_OVERRIDE","28Y")/BDP($B$160,"BEST_SALES","BEST_FPERIOD_OVERRIDE","25Y"))^(1/3)-1,"")</f>
        <v/>
      </c>
      <c r="M160" s="47">
        <f>IF(AND(BDP($B$160,"BEST_EBIT","BEST_FPERIOD_OVERRIDE","25Y")&gt;0,BDP($B$160,"BEST_EBIT","BEST_FPERIOD_OVERRIDE","28Y")&gt;0),(BDP($B$160,"BEST_EBIT","BEST_FPERIOD_OVERRIDE","28Y")/BDP($B$160,"BEST_EBIT","BEST_FPERIOD_OVERRIDE","25Y"))^(1/3)-1,"")</f>
        <v/>
      </c>
      <c r="N160" s="47">
        <f>IF(AND(BDP($B$160,"BEST_EPS","BEST_FPERIOD_OVERRIDE","25Y")&gt;0,BDP($B$160,"BEST_EPS","BEST_FPERIOD_OVERRIDE","28Y")&gt;0),(BDP($B$160,"BEST_EPS","BEST_FPERIOD_OVERRIDE","28Y")/BDP($B$160,"BEST_EPS","BEST_FPERIOD_OVERRIDE","25Y"))^(1/3)-1,"")</f>
        <v/>
      </c>
      <c r="O160" s="1" t="n"/>
      <c r="P160" s="47">
        <f>BDP($B$160,"CHG_PCT_YTD")/100</f>
        <v/>
      </c>
      <c r="Q160" s="1" t="n"/>
      <c r="R160" s="1" t="n"/>
      <c r="S160" s="42">
        <f>IF(AND(E160&lt;&gt;"",N160&lt;&gt;"",N160&lt;&gt;0),E160/(N160*100),"")</f>
        <v/>
      </c>
      <c r="T160" s="1" t="n"/>
      <c r="U160" s="26" t="inlineStr">
        <is>
          <t>Dec</t>
        </is>
      </c>
      <c r="V160" s="1" t="n"/>
      <c r="W160" s="1" t="n"/>
      <c r="X160" s="1" t="n"/>
      <c r="Y160" s="1" t="n"/>
      <c r="Z160" s="1" t="n"/>
      <c r="AA160" s="47">
        <f>BDP($B$160,"TRAIL_12M_OPER_INC")</f>
        <v/>
      </c>
      <c r="AB160" s="43">
        <f>BDP($B$160,"SHORT_AND_LONG_TERM_DEBT")</f>
        <v/>
      </c>
      <c r="AC160" s="43">
        <f>BDP($B$160,"TOTAL_EQUITY")</f>
        <v/>
      </c>
      <c r="AD160" s="43">
        <f>BDP($B$160,"BS_CASH_NEAR_CASH_ITEM")</f>
        <v/>
      </c>
      <c r="AE160" s="43">
        <f>BDP($B$160,"BS_LT_INVEST")</f>
        <v/>
      </c>
      <c r="AF160" s="31">
        <f>AB160+AC160</f>
        <v/>
      </c>
      <c r="AG160" s="43">
        <f>BDP($B$160,"RETURN_ON_INV_CAPITAL")/100</f>
        <v/>
      </c>
      <c r="AH160" s="49" t="n"/>
      <c r="AI160" s="48">
        <f>BDP($B$160,"BEST_EPS","BEST_FPERIOD_OVERRIDE","24Y")</f>
        <v/>
      </c>
      <c r="AJ160" s="43">
        <f>BDP($B$160,"BEST_EPS","BEST_FPERIOD_OVERRIDE","25Y")</f>
        <v/>
      </c>
      <c r="AK160" s="43">
        <f>BDP($B$160,"BEST_EPS","BEST_FPERIOD_OVERRIDE","26Y")</f>
        <v/>
      </c>
      <c r="AL160" s="43">
        <f>BDP($B$160,"BEST_EPS","BEST_FPERIOD_OVERRIDE","27Y")</f>
        <v/>
      </c>
      <c r="AM160" s="43">
        <f>BDP($B$160,"BEST_EPS","BEST_FPERIOD_OVERRIDE","28Y")</f>
        <v/>
      </c>
      <c r="AN160" s="31" t="n"/>
      <c r="AO160" s="43">
        <f>BDP($B$160,"BEST_SALES","BEST_FPERIOD_OVERRIDE","24Y")</f>
        <v/>
      </c>
      <c r="AP160" s="43">
        <f>BDP($B$160,"BEST_SALES","BEST_FPERIOD_OVERRIDE","25Y")</f>
        <v/>
      </c>
      <c r="AQ160" s="43">
        <f>BDP($B$160,"BEST_SALES","BEST_FPERIOD_OVERRIDE","26Y")</f>
        <v/>
      </c>
      <c r="AR160" s="43">
        <f>BDP($B$160,"BEST_SALES","BEST_FPERIOD_OVERRIDE","27Y")</f>
        <v/>
      </c>
      <c r="AS160" s="43">
        <f>BDP($B$160,"BEST_SALES","BEST_FPERIOD_OVERRIDE","28Y")</f>
        <v/>
      </c>
      <c r="AT160" s="31" t="n"/>
      <c r="AU160" s="48">
        <f>BDP($B$160,"BEST_EBIT","BEST_FPERIOD_OVERRIDE","24Y")</f>
        <v/>
      </c>
      <c r="AV160" s="43">
        <f>BDP($B$160,"BEST_EBIT","BEST_FPERIOD_OVERRIDE","25Y")</f>
        <v/>
      </c>
      <c r="AW160" s="43">
        <f>BDP($B$160,"BEST_EBIT","BEST_FPERIOD_OVERRIDE","26Y")</f>
        <v/>
      </c>
      <c r="AX160" s="43">
        <f>BDP($B$160,"BEST_EBIT","BEST_FPERIOD_OVERRIDE","27Y")</f>
        <v/>
      </c>
      <c r="AY160" s="43">
        <f>BDP($B$160,"BEST_EBIT","BEST_FPERIOD_OVERRIDE","28Y")</f>
        <v/>
      </c>
      <c r="AZ160" s="31" t="n"/>
      <c r="BA160" s="1">
        <f>C160+BD160</f>
        <v/>
      </c>
      <c r="BB160" s="42">
        <f>AB160-AD160</f>
        <v/>
      </c>
      <c r="BC160" s="42">
        <f>C160</f>
        <v/>
      </c>
      <c r="BD160" s="43">
        <f>BDP($B$160,"TRAIL_12M_EBITDA")</f>
        <v/>
      </c>
      <c r="BE160" s="43">
        <f>_xll.BDP("VRT US Equity","TRAIL_12M_EBITDA")</f>
        <v/>
      </c>
      <c r="BF160" s="1" t="n"/>
      <c r="BG160" s="1" t="n"/>
      <c r="BH160" s="1" t="n"/>
      <c r="BI160" s="1" t="n"/>
      <c r="BJ160" s="1" t="n"/>
      <c r="BK160" s="1" t="n"/>
      <c r="BL160" s="1" t="n"/>
      <c r="BM160" s="1" t="n"/>
      <c r="BN160" s="1" t="n"/>
      <c r="BO160" s="1" t="n"/>
      <c r="BP160" s="1" t="n"/>
      <c r="BQ160" s="1" t="n"/>
      <c r="BR160" s="1" t="n"/>
      <c r="BS160" s="1" t="n"/>
      <c r="BT160" s="1" t="n"/>
      <c r="BU160" s="1" t="n"/>
      <c r="BV160" s="1" t="n"/>
      <c r="BW160" s="1" t="n"/>
      <c r="BX160" s="1" t="n"/>
      <c r="BY160" s="1" t="n"/>
      <c r="BZ160" s="1" t="n"/>
      <c r="CA160" s="1" t="n"/>
      <c r="CB160" s="1" t="n"/>
      <c r="CC160" s="1" t="n"/>
      <c r="CD160" s="1" t="n"/>
      <c r="CE160" s="1" t="n"/>
      <c r="CF160" s="1" t="n"/>
      <c r="CG160" s="1" t="n"/>
    </row>
    <row r="161">
      <c r="A161" s="1" t="n"/>
      <c r="B161" s="1" t="n"/>
      <c r="C161" s="4" t="n"/>
      <c r="D161" s="38" t="n"/>
      <c r="E161" s="39" t="n"/>
      <c r="F161" s="39" t="n"/>
      <c r="G161" s="39" t="n"/>
      <c r="H161" s="40" t="n"/>
      <c r="I161" s="4" t="n"/>
      <c r="J161" s="41" t="n"/>
      <c r="K161" s="41" t="n"/>
      <c r="L161" s="41" t="n"/>
      <c r="M161" s="41" t="n"/>
      <c r="N161" s="41" t="n"/>
      <c r="O161" s="1" t="n"/>
      <c r="P161" s="1" t="n"/>
      <c r="Q161" s="1" t="n"/>
      <c r="R161" s="1" t="n"/>
      <c r="S161" s="42" t="n"/>
      <c r="T161" s="1" t="n"/>
      <c r="U161" s="4" t="n"/>
      <c r="V161" s="41" t="n"/>
      <c r="W161" s="1" t="n"/>
      <c r="X161" s="1" t="n"/>
      <c r="Y161" s="1" t="n"/>
      <c r="Z161" s="1" t="n"/>
      <c r="AA161" s="1" t="n"/>
      <c r="AB161" s="4" t="n"/>
      <c r="AC161" s="4" t="n"/>
      <c r="AD161" s="4" t="n"/>
      <c r="AE161" s="4" t="n"/>
      <c r="AF161" s="4" t="n"/>
      <c r="AG161" s="4" t="n"/>
      <c r="AH161" s="41" t="n"/>
      <c r="AI161" s="1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1" t="n"/>
      <c r="AV161" s="4" t="n"/>
      <c r="AW161" s="4" t="n"/>
      <c r="AX161" s="4" t="n"/>
      <c r="AY161" s="4" t="n"/>
      <c r="AZ161" s="4" t="n"/>
      <c r="BA161" s="1" t="n"/>
      <c r="BB161" s="42" t="n"/>
      <c r="BC161" s="42" t="n"/>
      <c r="BD161" s="4" t="n"/>
      <c r="BE161" s="4" t="n"/>
      <c r="BF161" s="1" t="n"/>
      <c r="BG161" s="1" t="n"/>
      <c r="BH161" s="1" t="n"/>
      <c r="BI161" s="1" t="n"/>
      <c r="BJ161" s="1" t="n"/>
      <c r="BK161" s="1" t="n"/>
      <c r="BL161" s="1" t="n"/>
      <c r="BM161" s="1" t="n"/>
      <c r="BN161" s="1" t="n"/>
      <c r="BO161" s="1" t="n"/>
      <c r="BP161" s="1" t="n"/>
      <c r="BQ161" s="1" t="n"/>
      <c r="BR161" s="1" t="n"/>
      <c r="BS161" s="1" t="n"/>
      <c r="BT161" s="1" t="n"/>
      <c r="BU161" s="1" t="n"/>
      <c r="BV161" s="1" t="n"/>
      <c r="BW161" s="1" t="n"/>
      <c r="BX161" s="1" t="n"/>
      <c r="BY161" s="1" t="n"/>
      <c r="BZ161" s="1" t="n"/>
      <c r="CA161" s="1" t="n"/>
      <c r="CB161" s="1" t="n"/>
      <c r="CC161" s="1" t="n"/>
      <c r="CD161" s="1" t="n"/>
      <c r="CE161" s="1" t="n"/>
      <c r="CF161" s="1" t="n"/>
      <c r="CG161" s="1" t="n"/>
    </row>
    <row r="162">
      <c r="A162" s="3" t="inlineStr">
        <is>
          <t>Average</t>
        </is>
      </c>
      <c r="B162" s="1" t="n"/>
      <c r="C162" s="43" t="n"/>
      <c r="D162" s="44" t="n"/>
      <c r="E162" s="45" t="n"/>
      <c r="F162" s="45" t="n"/>
      <c r="G162" s="45" t="n"/>
      <c r="H162" s="46" t="n"/>
      <c r="I162" s="43" t="n"/>
      <c r="J162" s="47" t="n"/>
      <c r="K162" s="47" t="n"/>
      <c r="L162" s="47" t="n"/>
      <c r="M162" s="47" t="n"/>
      <c r="N162" s="47" t="n"/>
      <c r="O162" s="1" t="n"/>
      <c r="P162" s="48" t="n"/>
      <c r="Q162" s="1" t="n"/>
      <c r="R162" s="1" t="n"/>
      <c r="S162" s="40">
        <f>IF(AND(E162&lt;&gt;"",N162&lt;&gt;"",N162&lt;&gt;0),E162/(N162*100),"")</f>
        <v/>
      </c>
      <c r="T162" s="1" t="n"/>
      <c r="U162" s="4" t="inlineStr">
        <is>
          <t>Jun</t>
        </is>
      </c>
      <c r="V162" s="1" t="n"/>
      <c r="W162" s="1" t="n"/>
      <c r="X162" s="1" t="n"/>
      <c r="Y162" s="1" t="n"/>
      <c r="Z162" s="1" t="n"/>
      <c r="AA162" s="48" t="n"/>
      <c r="AB162" s="43" t="n"/>
      <c r="AC162" s="43" t="n"/>
      <c r="AD162" s="43" t="n"/>
      <c r="AE162" s="43" t="n"/>
      <c r="AF162" s="4">
        <f>AB162+AC162</f>
        <v/>
      </c>
      <c r="AG162" s="43" t="n"/>
      <c r="AH162" s="41" t="n"/>
      <c r="AI162" s="48" t="n"/>
      <c r="AJ162" s="43" t="n"/>
      <c r="AK162" s="43" t="n"/>
      <c r="AL162" s="43" t="n"/>
      <c r="AM162" s="43" t="n"/>
      <c r="AN162" s="4" t="n"/>
      <c r="AO162" s="48" t="n"/>
      <c r="AP162" s="43" t="n"/>
      <c r="AQ162" s="43" t="n"/>
      <c r="AR162" s="43" t="n"/>
      <c r="AS162" s="43" t="n"/>
      <c r="AT162" s="4" t="n"/>
      <c r="AU162" s="48" t="n"/>
      <c r="AV162" s="43" t="n"/>
      <c r="AW162" s="43" t="n"/>
      <c r="AX162" s="43" t="n"/>
      <c r="AY162" s="43" t="n"/>
      <c r="AZ162" s="4" t="n"/>
      <c r="BA162" s="1">
        <f>C162+BD162</f>
        <v/>
      </c>
      <c r="BB162" s="42">
        <f>AB162-AD162</f>
        <v/>
      </c>
      <c r="BC162" s="42">
        <f>C162</f>
        <v/>
      </c>
      <c r="BD162" s="43" t="n"/>
      <c r="BE162" s="4" t="n"/>
      <c r="BF162" s="1" t="n"/>
      <c r="BG162" s="1" t="n"/>
      <c r="BH162" s="1" t="n"/>
      <c r="BI162" s="1" t="n"/>
      <c r="BJ162" s="1" t="n"/>
      <c r="BK162" s="1" t="n"/>
      <c r="BL162" s="1" t="n"/>
      <c r="BM162" s="1" t="n"/>
      <c r="BN162" s="1" t="n"/>
      <c r="BO162" s="1" t="n"/>
      <c r="BP162" s="1" t="n"/>
      <c r="BQ162" s="1" t="n"/>
      <c r="BR162" s="1" t="n"/>
      <c r="BS162" s="1" t="n"/>
      <c r="BT162" s="1" t="n"/>
      <c r="BU162" s="1" t="n"/>
      <c r="BV162" s="1" t="n"/>
      <c r="BW162" s="1" t="n"/>
      <c r="BX162" s="1" t="n"/>
      <c r="BY162" s="1" t="n"/>
      <c r="BZ162" s="1" t="n"/>
      <c r="CA162" s="1" t="n"/>
      <c r="CB162" s="1" t="n"/>
      <c r="CC162" s="1" t="n"/>
      <c r="CD162" s="1" t="n"/>
      <c r="CE162" s="1" t="n"/>
      <c r="CF162" s="1" t="n"/>
      <c r="CG162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2026-04-06T03:04:36Z</dcterms:created>
  <dcterms:modified xmlns:dcterms="http://purl.org/dc/terms/" xmlns:xsi="http://www.w3.org/2001/XMLSchema-instance" xsi:type="dcterms:W3CDTF">2026-04-06T03:29:52Z</dcterms:modified>
  <cp:lastModifiedBy>Adrian Ow</cp:lastModifiedBy>
</cp:coreProperties>
</file>