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BG Formulas" sheetId="2" state="visible" r:id="rId2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4"/>
  <sheetViews>
    <sheetView tabSelected="1" workbookViewId="0">
      <selection activeCell="F10" sqref="F10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15" t="n">
        <v>1453.58873458378</v>
      </c>
      <c r="E4" s="58" t="n">
        <v>574.46</v>
      </c>
      <c r="F4" s="59" t="n">
        <v>17.70074567079559</v>
      </c>
      <c r="G4" s="59" t="n">
        <v>15.15405719109423</v>
      </c>
      <c r="H4" s="59" t="n">
        <v>11.88103658662696</v>
      </c>
      <c r="I4" s="60" t="n">
        <v>0.03424213873513132</v>
      </c>
      <c r="J4" s="15" t="n">
        <v>250.3752835820895</v>
      </c>
      <c r="K4" s="61" t="n">
        <v>0.3484509633848329</v>
      </c>
      <c r="L4" s="61" t="n">
        <v>0.2202716638694619</v>
      </c>
      <c r="M4" s="61" t="n">
        <v>0.2005038584234304</v>
      </c>
      <c r="N4" s="61" t="n">
        <v>0.1369063160067727</v>
      </c>
      <c r="O4" s="61" t="n">
        <v>0.1677599964240308</v>
      </c>
      <c r="Q4" s="62" t="n">
        <v>-0.1297248</v>
      </c>
      <c r="T4" s="63" t="n">
        <v>1.055123154989531</v>
      </c>
      <c r="AB4" s="15" t="n">
        <v>83276</v>
      </c>
      <c r="AC4" s="15" t="n">
        <v>85081</v>
      </c>
      <c r="AD4" s="15" t="n">
        <v>217243</v>
      </c>
      <c r="AE4" s="15" t="n">
        <v>35873</v>
      </c>
      <c r="AF4" s="16" t="n">
        <v>27524</v>
      </c>
      <c r="AG4" s="15" t="n">
        <v>302324</v>
      </c>
      <c r="AH4" s="56" t="n">
        <v>0.2202716638694619</v>
      </c>
      <c r="AJ4" s="15" t="n">
        <v>24.014</v>
      </c>
      <c r="AK4" s="15" t="n">
        <v>30.363</v>
      </c>
      <c r="AL4" s="15" t="n">
        <v>32.454</v>
      </c>
      <c r="AM4" s="15" t="n">
        <v>37.908</v>
      </c>
      <c r="AN4" s="15" t="n">
        <v>48.351</v>
      </c>
      <c r="AP4" s="15" t="n">
        <v>163055.2535211268</v>
      </c>
      <c r="AQ4" s="15" t="n">
        <v>199441.5362318841</v>
      </c>
      <c r="AR4" s="15" t="n">
        <v>250375.2835820895</v>
      </c>
      <c r="AS4" s="15" t="n">
        <v>296791.2380952381</v>
      </c>
      <c r="AT4" s="15" t="n">
        <v>345069.275</v>
      </c>
      <c r="AV4" s="15" t="n">
        <v>66172.15789473684</v>
      </c>
      <c r="AW4" s="15" t="n">
        <v>82409.76785714286</v>
      </c>
      <c r="AX4" s="15" t="n">
        <v>87243.50877192983</v>
      </c>
      <c r="AY4" s="15" t="n">
        <v>102821.5384615385</v>
      </c>
      <c r="AZ4" s="15" t="n">
        <v>121102.3939393939</v>
      </c>
      <c r="BB4" s="57" t="n">
        <v>50661.58873458378</v>
      </c>
      <c r="BC4" s="57" t="n">
        <v>49208</v>
      </c>
      <c r="BD4" s="15" t="n">
        <v>1453.58873458378</v>
      </c>
      <c r="BE4" s="16" t="n">
        <v>104690</v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15" t="n">
        <v>1758.43262265216</v>
      </c>
      <c r="E5" s="58" t="n">
        <v>339.04</v>
      </c>
      <c r="F5" s="59" t="n">
        <v>0.7493391564188024</v>
      </c>
      <c r="G5" s="59" t="n">
        <v>0.5601411587441101</v>
      </c>
      <c r="H5" s="59" t="n">
        <v>0.4429116371427079</v>
      </c>
      <c r="I5" s="60" t="n">
        <v>-0.763631216250258</v>
      </c>
      <c r="J5" s="15" t="n">
        <v>5029.845</v>
      </c>
      <c r="K5" s="61" t="n">
        <v>0.5431366696001093</v>
      </c>
      <c r="L5" s="61" t="n">
        <v>0.2683910127032517</v>
      </c>
      <c r="M5" s="61" t="n">
        <v>0.2516117510079781</v>
      </c>
      <c r="N5" s="61" t="n">
        <v>0.2787078209098977</v>
      </c>
      <c r="O5" s="61" t="n">
        <v>0.3323382377114008</v>
      </c>
      <c r="Q5" s="62" t="n">
        <v>0.1156668</v>
      </c>
      <c r="T5" s="63" t="n">
        <v>0.02254748540459919</v>
      </c>
      <c r="AB5" s="15" t="n">
        <v>1936091.677</v>
      </c>
      <c r="AC5" s="15" t="n">
        <v>1064582.701</v>
      </c>
      <c r="AD5" s="15" t="n">
        <v>5460795.282999999</v>
      </c>
      <c r="AE5" s="15" t="n">
        <v>2767856.402</v>
      </c>
      <c r="AF5" s="16" t="n">
        <v>134337.102</v>
      </c>
      <c r="AG5" s="15" t="n">
        <v>6525377.983999999</v>
      </c>
      <c r="AH5" s="56" t="n">
        <v>0.2683910127032517</v>
      </c>
      <c r="AJ5" s="15" t="n">
        <v>224.592</v>
      </c>
      <c r="AK5" s="15" t="n">
        <v>323.661</v>
      </c>
      <c r="AL5" s="15" t="n">
        <v>452.452</v>
      </c>
      <c r="AM5" s="15" t="n">
        <v>605.2760000000001</v>
      </c>
      <c r="AN5" s="15" t="n">
        <v>765.48</v>
      </c>
      <c r="AP5" s="15" t="n">
        <v>2878185.023809524</v>
      </c>
      <c r="AQ5" s="15" t="n">
        <v>3794835.354166667</v>
      </c>
      <c r="AR5" s="15" t="n">
        <v>5029845</v>
      </c>
      <c r="AS5" s="15" t="n">
        <v>6247522.80952381</v>
      </c>
      <c r="AT5" s="15" t="n">
        <v>7440495.08</v>
      </c>
      <c r="AV5" s="15" t="n">
        <v>1309263.972222222</v>
      </c>
      <c r="AW5" s="15" t="n">
        <v>1894338.5</v>
      </c>
      <c r="AX5" s="15" t="n">
        <v>2731893.261904762</v>
      </c>
      <c r="AY5" s="15" t="n">
        <v>3374501.685714286</v>
      </c>
      <c r="AZ5" s="15" t="n">
        <v>3960696.368421053</v>
      </c>
      <c r="BB5" s="57" t="n">
        <v>-1701515.268377347</v>
      </c>
      <c r="BC5" s="57" t="n">
        <v>-1703273.701</v>
      </c>
      <c r="BD5" s="15" t="n">
        <v>1758.43262265216</v>
      </c>
      <c r="BE5" s="16" t="n">
        <v>2624188.047</v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15" t="n">
        <v>2251.8643508999</v>
      </c>
      <c r="E6" s="58" t="n">
        <v>209.77</v>
      </c>
      <c r="F6" s="59" t="n">
        <v>22.92568306010929</v>
      </c>
      <c r="G6" s="59" t="n">
        <v>19.35326137097518</v>
      </c>
      <c r="H6" s="59" t="n">
        <v>16.33468307117272</v>
      </c>
      <c r="I6" s="60" t="n">
        <v>0.293638918973062</v>
      </c>
      <c r="J6" s="15" t="n">
        <v>806.3694923076923</v>
      </c>
      <c r="K6" s="61" t="n">
        <v>0.1224382991082155</v>
      </c>
      <c r="L6" s="61" t="n">
        <v>0.1243529318244537</v>
      </c>
      <c r="M6" s="61" t="n">
        <v>0.1220442954673817</v>
      </c>
      <c r="N6" s="61" t="n">
        <v>0.2292467983952202</v>
      </c>
      <c r="O6" s="61" t="n">
        <v>0.1361240988492514</v>
      </c>
      <c r="Q6" s="62" t="n">
        <v>-0.09119662999999999</v>
      </c>
      <c r="T6" s="63" t="n">
        <v>1.68417519409976</v>
      </c>
      <c r="AB6" s="15" t="n">
        <v>79975</v>
      </c>
      <c r="AC6" s="15" t="n">
        <v>169934</v>
      </c>
      <c r="AD6" s="15" t="n">
        <v>411065</v>
      </c>
      <c r="AE6" s="15" t="n">
        <v>86810</v>
      </c>
      <c r="AF6" s="16">
        <f>IF(ISNUMBER(_xlfn.SINGLE(_xll.BDP($B6,"BS_LONG_TERM_INVESTMENTS"))),_xlfn.SINGLE(_xll.BDP($B6,"BS_LONG_TERM_INVESTMENTS")),0)</f>
        <v/>
      </c>
      <c r="AG6" s="15" t="n">
        <v>580999</v>
      </c>
      <c r="AH6" s="56" t="n">
        <v>0.1243529318244537</v>
      </c>
      <c r="AJ6" s="15" t="n">
        <v>6.796</v>
      </c>
      <c r="AK6" s="15" t="n">
        <v>8.757</v>
      </c>
      <c r="AL6" s="15" t="n">
        <v>9.15</v>
      </c>
      <c r="AM6" s="15" t="n">
        <v>10.839</v>
      </c>
      <c r="AN6" s="15" t="n">
        <v>12.842</v>
      </c>
      <c r="AP6" s="15" t="n">
        <v>637832.4794520548</v>
      </c>
      <c r="AQ6" s="15" t="n">
        <v>714794.2753623188</v>
      </c>
      <c r="AR6" s="15" t="n">
        <v>806369.4923076923</v>
      </c>
      <c r="AS6" s="15" t="n">
        <v>901666.6825396825</v>
      </c>
      <c r="AT6" s="15" t="n">
        <v>1009743.513513514</v>
      </c>
      <c r="AV6" s="15" t="n">
        <v>66203.95081967213</v>
      </c>
      <c r="AW6" s="15" t="n">
        <v>80096.60655737705</v>
      </c>
      <c r="AX6" s="15" t="n">
        <v>98730.50909090909</v>
      </c>
      <c r="AY6" s="15" t="n">
        <v>121635.6603773585</v>
      </c>
      <c r="AZ6" s="15" t="n">
        <v>148775.4848484849</v>
      </c>
      <c r="BB6" s="57" t="n">
        <v>85375.86435089989</v>
      </c>
      <c r="BC6" s="57" t="n">
        <v>83124</v>
      </c>
      <c r="BD6" s="15" t="n">
        <v>2251.8643508999</v>
      </c>
      <c r="BE6" s="16" t="n">
        <v>159737</v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15" t="n">
        <v>4310.577</v>
      </c>
      <c r="E7" s="58" t="n">
        <v>177.39</v>
      </c>
      <c r="F7" s="59" t="n">
        <v>37.8391638225256</v>
      </c>
      <c r="G7" s="59" t="n">
        <v>21.20114736464682</v>
      </c>
      <c r="H7" s="59" t="n">
        <v>15.94086987778576</v>
      </c>
      <c r="I7" s="60" t="n">
        <v>-0.3825537994330209</v>
      </c>
      <c r="J7" s="15" t="n">
        <v>213.7625373134328</v>
      </c>
      <c r="K7" s="61" t="n">
        <v>0.634749080822908</v>
      </c>
      <c r="L7" s="61" t="n">
        <v>0.9212258247945241</v>
      </c>
      <c r="M7" s="61" t="n">
        <v>0.5466261185716828</v>
      </c>
      <c r="N7" s="61" t="n">
        <v>0.5536841449287351</v>
      </c>
      <c r="O7" s="61" t="n">
        <v>0.5646732581179688</v>
      </c>
      <c r="Q7" s="62" t="n">
        <v>-0.04884718</v>
      </c>
      <c r="T7" s="63" t="n">
        <v>0.6701072395147926</v>
      </c>
      <c r="AB7" s="15" t="n">
        <v>130387</v>
      </c>
      <c r="AC7" s="15" t="n">
        <v>11412</v>
      </c>
      <c r="AD7" s="15" t="n">
        <v>157293</v>
      </c>
      <c r="AE7" s="15" t="n">
        <v>10605</v>
      </c>
      <c r="AF7" s="16">
        <f>IF(ISNUMBER(_xlfn.SINGLE(_xll.BDP($B7,"BS_LONG_TERM_INVESTMENTS"))),_xlfn.SINGLE(_xll.BDP($B7,"BS_LONG_TERM_INVESTMENTS")),0)</f>
        <v/>
      </c>
      <c r="AG7" s="15" t="n">
        <v>168705</v>
      </c>
      <c r="AH7" s="56" t="n">
        <v>0.9212258247945241</v>
      </c>
      <c r="AJ7" s="15" t="n">
        <v>1.241</v>
      </c>
      <c r="AK7" s="15" t="n">
        <v>2.905</v>
      </c>
      <c r="AL7" s="15" t="n">
        <v>4.688</v>
      </c>
      <c r="AM7" s="15" t="n">
        <v>8.367000000000001</v>
      </c>
      <c r="AN7" s="15" t="n">
        <v>11.128</v>
      </c>
      <c r="AP7" s="15" t="n">
        <v>59315.83333333334</v>
      </c>
      <c r="AQ7" s="15" t="n">
        <v>129608.5166666667</v>
      </c>
      <c r="AR7" s="15" t="n">
        <v>213762.5373134328</v>
      </c>
      <c r="AS7" s="15" t="n">
        <v>366102.7846153846</v>
      </c>
      <c r="AT7" s="15" t="n">
        <v>479501.0476190476</v>
      </c>
      <c r="AV7" s="15" t="n">
        <v>35621.57142857143</v>
      </c>
      <c r="AW7" s="15" t="n">
        <v>85879.85365853659</v>
      </c>
      <c r="AX7" s="15" t="n">
        <v>135685.5740740741</v>
      </c>
      <c r="AY7" s="15" t="n">
        <v>243682.3584905661</v>
      </c>
      <c r="AZ7" s="15" t="n">
        <v>322091.6730769231</v>
      </c>
      <c r="BB7" s="57" t="n">
        <v>5117.577</v>
      </c>
      <c r="BC7" s="57" t="n">
        <v>807</v>
      </c>
      <c r="BD7" s="15" t="n">
        <v>4310.577</v>
      </c>
      <c r="BE7" s="16" t="n">
        <v>133692</v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15" t="n">
        <v>1489.2898772772</v>
      </c>
      <c r="E8" s="58" t="n">
        <v>314.55</v>
      </c>
      <c r="F8" s="59" t="n">
        <v>28.09736489504243</v>
      </c>
      <c r="G8" s="59" t="n">
        <v>18.07550856223423</v>
      </c>
      <c r="H8" s="59" t="n">
        <v>14.21823441667043</v>
      </c>
      <c r="I8" s="60" t="n">
        <v>1.419857146766646</v>
      </c>
      <c r="J8" s="15" t="n">
        <v>103.7797555555556</v>
      </c>
      <c r="K8" s="61" t="n">
        <v>0.6590145453218063</v>
      </c>
      <c r="L8" s="61" t="n">
        <v>0.1900357389159896</v>
      </c>
      <c r="M8" s="61" t="n">
        <v>0.4457558360536007</v>
      </c>
      <c r="N8" s="61" t="n">
        <v>0.4636467831871205</v>
      </c>
      <c r="O8" s="61" t="n">
        <v>0.4854847478580779</v>
      </c>
      <c r="Q8" s="62" t="n">
        <v>-0.09115864</v>
      </c>
      <c r="T8" s="63" t="n">
        <v>0.5787486634545346</v>
      </c>
      <c r="AB8" s="15" t="n">
        <v>27787</v>
      </c>
      <c r="AC8" s="15" t="n">
        <v>66461</v>
      </c>
      <c r="AD8" s="15" t="n">
        <v>81292</v>
      </c>
      <c r="AE8" s="15" t="n">
        <v>16178</v>
      </c>
      <c r="AF8" s="16">
        <f>IF(ISNUMBER(_xlfn.SINGLE(_xll.BDP($B8,"BS_LONG_TERM_INVESTMENTS"))),_xlfn.SINGLE(_xll.BDP($B8,"BS_LONG_TERM_INVESTMENTS")),0)</f>
        <v/>
      </c>
      <c r="AG8" s="15" t="n">
        <v>147753</v>
      </c>
      <c r="AH8" s="56" t="n">
        <v>0.1900357389159896</v>
      </c>
      <c r="AJ8" s="15" t="n">
        <v>4.73</v>
      </c>
      <c r="AK8" s="15" t="n">
        <v>6.749000000000001</v>
      </c>
      <c r="AL8" s="15" t="n">
        <v>11.195</v>
      </c>
      <c r="AM8" s="15" t="n">
        <v>17.402</v>
      </c>
      <c r="AN8" s="15" t="n">
        <v>22.123</v>
      </c>
      <c r="AP8" s="15" t="n">
        <v>51577.78048780488</v>
      </c>
      <c r="AQ8" s="15" t="n">
        <v>63377.95918367347</v>
      </c>
      <c r="AR8" s="15" t="n">
        <v>103779.7555555556</v>
      </c>
      <c r="AS8" s="15" t="n">
        <v>157222.3111111111</v>
      </c>
      <c r="AT8" s="15" t="n">
        <v>191523.96</v>
      </c>
      <c r="AV8" s="15" t="n">
        <v>30632.53125</v>
      </c>
      <c r="AW8" s="15" t="n">
        <v>41515</v>
      </c>
      <c r="AX8" s="15" t="n">
        <v>68392.36842105264</v>
      </c>
      <c r="AY8" s="15" t="n">
        <v>104888.4102564103</v>
      </c>
      <c r="AZ8" s="15" t="n">
        <v>130170.8947368421</v>
      </c>
      <c r="BB8" s="57" t="n">
        <v>51772.2898772772</v>
      </c>
      <c r="BC8" s="57" t="n">
        <v>50283</v>
      </c>
      <c r="BD8" s="15" t="n">
        <v>1489.2898772772</v>
      </c>
      <c r="BE8" s="16" t="n">
        <v>36541</v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4" t="n"/>
      <c r="F9" s="65">
        <f>AVERAGE(F4:F8)</f>
        <v/>
      </c>
      <c r="G9" s="65">
        <f>AVERAGE(G4:G8)</f>
        <v/>
      </c>
      <c r="H9" s="65">
        <f>AVERAGE(H4:H8)</f>
        <v/>
      </c>
      <c r="I9" s="66">
        <f>AVERAGE(I4:I8)</f>
        <v/>
      </c>
      <c r="J9" s="67" t="n"/>
      <c r="K9" s="67">
        <f>AVERAGE(K4:K8)</f>
        <v/>
      </c>
      <c r="L9" s="67">
        <f>AVERAGE(L4:L8)</f>
        <v/>
      </c>
      <c r="M9" s="67">
        <f>AVERAGE(M4:M8)</f>
        <v/>
      </c>
      <c r="N9" s="67">
        <f>AVERAGE(N4:N8)</f>
        <v/>
      </c>
      <c r="O9" s="67">
        <f>AVERAGE(O4:O8)</f>
        <v/>
      </c>
      <c r="P9" s="27" t="n"/>
      <c r="Q9" s="68" t="n"/>
      <c r="R9" s="27" t="n"/>
      <c r="S9" s="27" t="n"/>
      <c r="T9" s="69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58" t="n"/>
      <c r="F10" s="59" t="n"/>
      <c r="G10" s="59" t="n"/>
      <c r="H10" s="59" t="n"/>
      <c r="I10" s="70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58" t="n"/>
      <c r="F11" s="59" t="n"/>
      <c r="G11" s="59" t="n"/>
      <c r="H11" s="59" t="n"/>
      <c r="I11" s="70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15" t="n">
        <v>65.904648021</v>
      </c>
      <c r="E12" s="58" t="n">
        <v>1167</v>
      </c>
      <c r="F12" s="59" t="n">
        <v>29.88476312419974</v>
      </c>
      <c r="G12" s="59" t="n">
        <v>25.48146207257959</v>
      </c>
      <c r="H12" s="59" t="n">
        <v>22.09306728257166</v>
      </c>
      <c r="I12" s="60" t="n">
        <v>5.947266047114761</v>
      </c>
      <c r="J12" s="15" t="n">
        <v>10.03504545454545</v>
      </c>
      <c r="K12" s="61" t="n">
        <v>0.4700995735000362</v>
      </c>
      <c r="L12" s="61" t="n">
        <v>0.1664549926042306</v>
      </c>
      <c r="M12" s="61" t="n">
        <v>0.1005527773427295</v>
      </c>
      <c r="N12" s="61" t="n">
        <v>0.109033715314744</v>
      </c>
      <c r="O12" s="61" t="n">
        <v>0.1299207404641014</v>
      </c>
      <c r="Q12" s="62" t="n">
        <v>-0.1224574</v>
      </c>
      <c r="T12" s="57" t="n">
        <v>2.300230357173591</v>
      </c>
      <c r="AB12" s="15" t="n">
        <v>4233</v>
      </c>
      <c r="AC12" s="15" t="n">
        <v>30365</v>
      </c>
      <c r="AD12" s="15" t="n">
        <v>-9679</v>
      </c>
      <c r="AE12" s="15" t="n">
        <v>2808</v>
      </c>
      <c r="AF12" s="16">
        <f>IF(ISNUMBER(_xlfn.SINGLE(_xll.BDP($B12,"BS_LONG_TERM_INVESTMENTS"))),_xlfn.SINGLE(_xll.BDP($B12,"BS_LONG_TERM_INVESTMENTS")),0)</f>
        <v/>
      </c>
      <c r="AG12" s="15" t="n">
        <v>20686</v>
      </c>
      <c r="AH12" s="56" t="n">
        <v>0.1664549926042306</v>
      </c>
      <c r="AJ12" s="15" t="n">
        <v>33.469</v>
      </c>
      <c r="AK12" s="15" t="n">
        <v>36.616</v>
      </c>
      <c r="AL12" s="15" t="n">
        <v>39.05</v>
      </c>
      <c r="AM12" s="15" t="n">
        <v>45.798</v>
      </c>
      <c r="AN12" s="15" t="n">
        <v>52.822</v>
      </c>
      <c r="AP12" s="15" t="n">
        <v>7926.863636363636</v>
      </c>
      <c r="AQ12" s="15" t="n">
        <v>8777.40909090909</v>
      </c>
      <c r="AR12" s="15" t="n">
        <v>10035.04545454545</v>
      </c>
      <c r="AS12" s="15" t="n">
        <v>10880.71428571428</v>
      </c>
      <c r="AT12" s="15" t="n">
        <v>11700.35294117647</v>
      </c>
      <c r="AV12" s="15" t="n">
        <v>3594.235294117647</v>
      </c>
      <c r="AW12" s="15" t="n">
        <v>4200.6875</v>
      </c>
      <c r="AX12" s="15" t="n">
        <v>4717.470588235295</v>
      </c>
      <c r="AY12" s="15" t="n">
        <v>5229.3125</v>
      </c>
      <c r="AZ12" s="15" t="n">
        <v>5730</v>
      </c>
      <c r="BB12" s="57" t="n">
        <v>27622.904648021</v>
      </c>
      <c r="BC12" s="57" t="n">
        <v>27557</v>
      </c>
      <c r="BD12" s="15" t="n">
        <v>65.904648021</v>
      </c>
      <c r="BE12" s="16" t="n">
        <v>4627</v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15" t="n">
        <v>2773.175434722959</v>
      </c>
      <c r="E13" s="58" t="n">
        <v>373.46</v>
      </c>
      <c r="F13" s="59" t="n">
        <v>22.08907553084521</v>
      </c>
      <c r="G13" s="59" t="n">
        <v>19.6495843417868</v>
      </c>
      <c r="H13" s="59" t="n">
        <v>16.68423874195854</v>
      </c>
      <c r="I13" s="60" t="n">
        <v>0.1768341787376458</v>
      </c>
      <c r="J13" s="15" t="n">
        <v>327.6395</v>
      </c>
      <c r="K13" s="61" t="n">
        <v>0.4642673625451518</v>
      </c>
      <c r="L13" s="61" t="n">
        <v>0.2501201509478164</v>
      </c>
      <c r="M13" s="61" t="n">
        <v>0.1650023134089147</v>
      </c>
      <c r="N13" s="61" t="n">
        <v>0.176796960442047</v>
      </c>
      <c r="O13" s="61" t="n">
        <v>0.1864679956584772</v>
      </c>
      <c r="Q13" s="62" t="n">
        <v>-0.2277821</v>
      </c>
      <c r="T13" s="57" t="n">
        <v>1.184604116799869</v>
      </c>
      <c r="AB13" s="15" t="n">
        <v>142559</v>
      </c>
      <c r="AC13" s="15" t="n">
        <v>112184</v>
      </c>
      <c r="AD13" s="15" t="n">
        <v>343479</v>
      </c>
      <c r="AE13" s="15" t="n">
        <v>30242</v>
      </c>
      <c r="AF13" s="16" t="n">
        <v>15405</v>
      </c>
      <c r="AG13" s="15" t="n">
        <v>455663</v>
      </c>
      <c r="AH13" s="56" t="n">
        <v>0.2501201509478164</v>
      </c>
      <c r="AJ13" s="15" t="n">
        <v>11.818</v>
      </c>
      <c r="AK13" s="15" t="n">
        <v>13.402</v>
      </c>
      <c r="AL13" s="15" t="n">
        <v>16.907</v>
      </c>
      <c r="AM13" s="15" t="n">
        <v>19.006</v>
      </c>
      <c r="AN13" s="15" t="n">
        <v>22.384</v>
      </c>
      <c r="AP13" s="15" t="n">
        <v>244963.9245283019</v>
      </c>
      <c r="AQ13" s="15" t="n">
        <v>279004.8615384615</v>
      </c>
      <c r="AR13" s="15" t="n">
        <v>327639.5</v>
      </c>
      <c r="AS13" s="15" t="n">
        <v>378442</v>
      </c>
      <c r="AT13" s="15" t="n">
        <v>441155.9428571429</v>
      </c>
      <c r="AV13" s="15" t="n">
        <v>108635.9230769231</v>
      </c>
      <c r="AW13" s="15" t="n">
        <v>125768.649122807</v>
      </c>
      <c r="AX13" s="15" t="n">
        <v>152112.3265306122</v>
      </c>
      <c r="AY13" s="15" t="n">
        <v>175056.16</v>
      </c>
      <c r="AZ13" s="15" t="n">
        <v>204963.7272727273</v>
      </c>
      <c r="BB13" s="57" t="n">
        <v>84715.17543472296</v>
      </c>
      <c r="BC13" s="57" t="n">
        <v>81942</v>
      </c>
      <c r="BD13" s="15" t="n">
        <v>2773.175434722959</v>
      </c>
      <c r="BE13" s="16" t="n">
        <v>191230</v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15" t="n">
        <v>587.1551837372314</v>
      </c>
      <c r="E14" s="58" t="n">
        <v>300.8</v>
      </c>
      <c r="F14" s="59" t="n">
        <v>23.39399595582517</v>
      </c>
      <c r="G14" s="59" t="n">
        <v>20.67922452908016</v>
      </c>
      <c r="H14" s="59" t="n">
        <v>18.34817616201049</v>
      </c>
      <c r="I14" s="60" t="n">
        <v>0.02266992740965025</v>
      </c>
      <c r="J14" s="15" t="n">
        <v>44.641875</v>
      </c>
      <c r="K14" s="61" t="n">
        <v>0.6730996081913801</v>
      </c>
      <c r="L14" s="61" t="n">
        <v>0.3467610819220854</v>
      </c>
      <c r="M14" s="61" t="n">
        <v>0.10760234032819</v>
      </c>
      <c r="N14" s="61" t="n">
        <v>0.1116064440592364</v>
      </c>
      <c r="O14" s="61" t="n">
        <v>0.1277830576173802</v>
      </c>
      <c r="Q14" s="62" t="n">
        <v>-0.1423113</v>
      </c>
      <c r="T14" s="57" t="n">
        <v>1.830758818267882</v>
      </c>
      <c r="AB14" s="15" t="n">
        <v>24497</v>
      </c>
      <c r="AC14" s="15" t="n">
        <v>26084</v>
      </c>
      <c r="AD14" s="15" t="n">
        <v>37909</v>
      </c>
      <c r="AE14" s="15" t="n">
        <v>17164</v>
      </c>
      <c r="AF14" s="16" t="n">
        <v>999</v>
      </c>
      <c r="AG14" s="15" t="n">
        <v>63993</v>
      </c>
      <c r="AH14" s="56" t="n">
        <v>0.3467610819220854</v>
      </c>
      <c r="AJ14" s="15" t="n">
        <v>9.917</v>
      </c>
      <c r="AK14" s="15" t="n">
        <v>11.429</v>
      </c>
      <c r="AL14" s="15" t="n">
        <v>12.858</v>
      </c>
      <c r="AM14" s="15" t="n">
        <v>14.546</v>
      </c>
      <c r="AN14" s="15" t="n">
        <v>16.394</v>
      </c>
      <c r="AP14" s="15" t="n">
        <v>35803.89189189189</v>
      </c>
      <c r="AQ14" s="15" t="n">
        <v>39903.4358974359</v>
      </c>
      <c r="AR14" s="15" t="n">
        <v>44641.875</v>
      </c>
      <c r="AS14" s="15" t="n">
        <v>49295.92307692308</v>
      </c>
      <c r="AT14" s="15" t="n">
        <v>54220.29629629629</v>
      </c>
      <c r="AV14" s="15" t="n">
        <v>24110.83333333333</v>
      </c>
      <c r="AW14" s="15" t="n">
        <v>26995.17142857143</v>
      </c>
      <c r="AX14" s="15" t="n">
        <v>30048.42857142857</v>
      </c>
      <c r="AY14" s="15" t="n">
        <v>33568.02857142857</v>
      </c>
      <c r="AZ14" s="15" t="n">
        <v>37079.96</v>
      </c>
      <c r="BB14" s="57" t="n">
        <v>9507.155183737232</v>
      </c>
      <c r="BC14" s="57" t="n">
        <v>8920</v>
      </c>
      <c r="BD14" s="15" t="n">
        <v>587.1551837372314</v>
      </c>
      <c r="BE14" s="16" t="n">
        <v>25761</v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15" t="n">
        <v>130.8411027684</v>
      </c>
      <c r="E15" s="58" t="n">
        <v>431.16</v>
      </c>
      <c r="F15" s="59" t="n">
        <v>21.9833783714883</v>
      </c>
      <c r="G15" s="59" t="n">
        <v>19.54133430021755</v>
      </c>
      <c r="H15" s="59" t="n">
        <v>17.49340690550574</v>
      </c>
      <c r="I15" s="60" t="n">
        <v>1.519148936170213</v>
      </c>
      <c r="J15" s="15" t="n">
        <v>16.49754166666666</v>
      </c>
      <c r="K15" s="61" t="n">
        <v>0.5037377659363611</v>
      </c>
      <c r="L15" s="61" t="n">
        <v>0.1001484165739707</v>
      </c>
      <c r="M15" s="61" t="n">
        <v>0.07399729592350002</v>
      </c>
      <c r="N15" s="61" t="n">
        <v>0.08366465609282603</v>
      </c>
      <c r="O15" s="61" t="n">
        <v>0.1133600727397017</v>
      </c>
      <c r="Q15" s="62" t="n">
        <v>-0.1749556</v>
      </c>
      <c r="T15" s="57" t="n">
        <v>1.939252316992307</v>
      </c>
      <c r="AB15" s="15" t="n">
        <v>6478</v>
      </c>
      <c r="AC15" s="15" t="n">
        <v>13582</v>
      </c>
      <c r="AD15" s="15" t="n">
        <v>36152</v>
      </c>
      <c r="AE15" s="15" t="n">
        <v>1745</v>
      </c>
      <c r="AF15" s="16">
        <f>IF(ISNUMBER(_xlfn.SINGLE(_xll.BDP($B15,"BS_LONG_TERM_INVESTMENTS"))),_xlfn.SINGLE(_xll.BDP($B15,"BS_LONG_TERM_INVESTMENTS")),0)</f>
        <v/>
      </c>
      <c r="AG15" s="15" t="n">
        <v>49734</v>
      </c>
      <c r="AH15" s="56" t="n">
        <v>0.1001484165739707</v>
      </c>
      <c r="AJ15" s="15" t="n">
        <v>15.38</v>
      </c>
      <c r="AK15" s="15" t="n">
        <v>17.859</v>
      </c>
      <c r="AL15" s="15" t="n">
        <v>19.613</v>
      </c>
      <c r="AM15" s="15" t="n">
        <v>22.064</v>
      </c>
      <c r="AN15" s="15" t="n">
        <v>24.647</v>
      </c>
      <c r="AP15" s="15" t="n">
        <v>14102.68181818182</v>
      </c>
      <c r="AQ15" s="15" t="n">
        <v>15326.16666666667</v>
      </c>
      <c r="AR15" s="15" t="n">
        <v>16497.54166666666</v>
      </c>
      <c r="AS15" s="15" t="n">
        <v>17717.58333333333</v>
      </c>
      <c r="AT15" s="15" t="n">
        <v>18986.42105263158</v>
      </c>
      <c r="AV15" s="15" t="n">
        <v>6804.15</v>
      </c>
      <c r="AW15" s="15" t="n">
        <v>7743.1</v>
      </c>
      <c r="AX15" s="15" t="n">
        <v>8310.434782608696</v>
      </c>
      <c r="AY15" s="15" t="n">
        <v>9069.90909090909</v>
      </c>
      <c r="AZ15" s="15" t="n">
        <v>9853.705882352942</v>
      </c>
      <c r="BB15" s="57" t="n">
        <v>11967.8411027684</v>
      </c>
      <c r="BC15" s="57" t="n">
        <v>11837</v>
      </c>
      <c r="BD15" s="15" t="n">
        <v>130.8411027684</v>
      </c>
      <c r="BE15" s="16" t="n">
        <v>7755</v>
      </c>
    </row>
    <row r="16">
      <c r="A16" s="37" t="inlineStr">
        <is>
          <t>Average</t>
        </is>
      </c>
      <c r="B16" s="36" t="n"/>
      <c r="C16" s="38" t="n"/>
      <c r="D16" s="38" t="n"/>
      <c r="E16" s="71" t="n"/>
      <c r="F16" s="72">
        <f>AVERAGE(F12:F15)</f>
        <v/>
      </c>
      <c r="G16" s="72">
        <f>AVERAGE(G12:G15)</f>
        <v/>
      </c>
      <c r="H16" s="72">
        <f>AVERAGE(H12:H15)</f>
        <v/>
      </c>
      <c r="I16" s="73">
        <f>AVERAGE(I12:I15)</f>
        <v/>
      </c>
      <c r="J16" s="74" t="n"/>
      <c r="K16" s="74">
        <f>AVERAGE(K12:K15)</f>
        <v/>
      </c>
      <c r="L16" s="74">
        <f>AVERAGE(L12:L15)</f>
        <v/>
      </c>
      <c r="M16" s="74">
        <f>AVERAGE(M12:M15)</f>
        <v/>
      </c>
      <c r="N16" s="74">
        <f>AVERAGE(N12:N15)</f>
        <v/>
      </c>
      <c r="O16" s="74">
        <f>AVERAGE(O12:O15)</f>
        <v/>
      </c>
      <c r="P16" s="36" t="n"/>
      <c r="Q16" s="36" t="n"/>
      <c r="R16" s="36" t="n"/>
      <c r="S16" s="36" t="n"/>
      <c r="T16" s="75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58" t="n"/>
      <c r="F17" s="59" t="n"/>
      <c r="G17" s="59" t="n"/>
      <c r="H17" s="59" t="n"/>
      <c r="I17" s="60" t="n"/>
      <c r="J17" s="15" t="n"/>
      <c r="K17" s="61" t="n"/>
      <c r="L17" s="61" t="n"/>
      <c r="M17" s="61" t="n"/>
      <c r="N17" s="61" t="n"/>
      <c r="O17" s="6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58" t="n"/>
      <c r="F18" s="59" t="n"/>
      <c r="G18" s="59" t="n"/>
      <c r="H18" s="59" t="n"/>
      <c r="I18" s="70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15" t="n">
        <v>332.6109780372</v>
      </c>
      <c r="E19" s="58" t="n">
        <v>143.12</v>
      </c>
      <c r="F19" s="59" t="n">
        <v>20.53960964408726</v>
      </c>
      <c r="G19" s="59" t="n">
        <v>19.60816550212358</v>
      </c>
      <c r="H19" s="59" t="n">
        <v>18.54847071021254</v>
      </c>
      <c r="I19" s="60" t="n">
        <v>1.116957293063909</v>
      </c>
      <c r="J19" s="15" t="n">
        <v>86.65103999999999</v>
      </c>
      <c r="K19" s="61" t="n">
        <v>0.2425675130122763</v>
      </c>
      <c r="L19" s="61" t="n">
        <v>0.184660760204909</v>
      </c>
      <c r="M19" s="61" t="n">
        <v>0.03004025088613016</v>
      </c>
      <c r="N19" s="61" t="n">
        <v>0.04170935802112163</v>
      </c>
      <c r="O19" s="61" t="n">
        <v>0.04605847869835955</v>
      </c>
      <c r="Q19" s="62" t="n">
        <v>-0.00132578</v>
      </c>
      <c r="T19" s="57" t="n">
        <v>4.459463322399923</v>
      </c>
      <c r="AB19" s="15" t="n">
        <v>20135</v>
      </c>
      <c r="AC19" s="15" t="n">
        <v>35464</v>
      </c>
      <c r="AD19" s="15" t="n">
        <v>52285</v>
      </c>
      <c r="AE19" s="15" t="n">
        <v>9556</v>
      </c>
      <c r="AF19" s="16">
        <f>IF(ISNUMBER(_xlfn.SINGLE(_xll.BDP($B19,"BS_LONG_TERM_INVESTMENTS"))),_xlfn.SINGLE(_xll.BDP($B19,"BS_LONG_TERM_INVESTMENTS")),0)</f>
        <v/>
      </c>
      <c r="AG19" s="15" t="n">
        <v>87749</v>
      </c>
      <c r="AH19" s="56" t="n">
        <v>0.184660760204909</v>
      </c>
      <c r="AJ19" s="15" t="n">
        <v>6.55</v>
      </c>
      <c r="AK19" s="15" t="n">
        <v>6.741000000000001</v>
      </c>
      <c r="AL19" s="15" t="n">
        <v>6.968</v>
      </c>
      <c r="AM19" s="15" t="n">
        <v>7.299</v>
      </c>
      <c r="AN19" s="15" t="n">
        <v>7.716</v>
      </c>
      <c r="AP19" s="15" t="n">
        <v>84377.74074074074</v>
      </c>
      <c r="AQ19" s="15" t="n">
        <v>84252.41666666667</v>
      </c>
      <c r="AR19" s="15" t="n">
        <v>86651.03999999999</v>
      </c>
      <c r="AS19" s="15" t="n">
        <v>89091.28</v>
      </c>
      <c r="AT19" s="15" t="n">
        <v>92075.68421052632</v>
      </c>
      <c r="AV19" s="15" t="n">
        <v>20004.6923076923</v>
      </c>
      <c r="AW19" s="15" t="n">
        <v>20428.90476190476</v>
      </c>
      <c r="AX19" s="15" t="n">
        <v>21018.72727272727</v>
      </c>
      <c r="AY19" s="15" t="n">
        <v>21911.45454545454</v>
      </c>
      <c r="AZ19" s="15" t="n">
        <v>23093.23529411765</v>
      </c>
      <c r="BB19" s="57" t="n">
        <v>26240.6109780372</v>
      </c>
      <c r="BC19" s="57" t="n">
        <v>25908</v>
      </c>
      <c r="BD19" s="15" t="n">
        <v>332.6109780372</v>
      </c>
      <c r="BE19" s="16" t="n">
        <v>23111</v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15" t="n">
        <v>330.21460872344</v>
      </c>
      <c r="E20" s="58" t="n">
        <v>76.72</v>
      </c>
      <c r="F20" s="59" t="n">
        <v>23.75967791886033</v>
      </c>
      <c r="G20" s="59" t="n">
        <v>22.21192819918934</v>
      </c>
      <c r="H20" s="59" t="n">
        <v>20.8082451857879</v>
      </c>
      <c r="I20" s="60" t="n">
        <v>2.120442884147988</v>
      </c>
      <c r="J20" s="15" t="n">
        <v>49.12430434782609</v>
      </c>
      <c r="K20" s="61" t="n">
        <v>0.328359429931396</v>
      </c>
      <c r="L20" s="61" t="n">
        <v>0.1430850944436964</v>
      </c>
      <c r="M20" s="61" t="n">
        <v>0.02760523259034042</v>
      </c>
      <c r="N20" s="61" t="n">
        <v>0.06467717456907396</v>
      </c>
      <c r="O20" s="61" t="n">
        <v>0.07246322120584558</v>
      </c>
      <c r="Q20" s="62" t="n">
        <v>0.09741089999999999</v>
      </c>
      <c r="T20" s="57" t="n">
        <v>3.278860299539601</v>
      </c>
      <c r="AB20" s="15" t="n">
        <v>13762</v>
      </c>
      <c r="AC20" s="15" t="n">
        <v>47214</v>
      </c>
      <c r="AD20" s="15" t="n">
        <v>34275</v>
      </c>
      <c r="AE20" s="15" t="n">
        <v>10270</v>
      </c>
      <c r="AF20" s="16">
        <f>IF(ISNUMBER(_xlfn.SINGLE(_xll.BDP($B20,"BS_LONG_TERM_INVESTMENTS"))),_xlfn.SINGLE(_xll.BDP($B20,"BS_LONG_TERM_INVESTMENTS")),0)</f>
        <v/>
      </c>
      <c r="AG20" s="15" t="n">
        <v>81489</v>
      </c>
      <c r="AH20" s="56" t="n">
        <v>0.1430850944436964</v>
      </c>
      <c r="AJ20" s="15" t="n">
        <v>2.854</v>
      </c>
      <c r="AK20" s="15" t="n">
        <v>2.989</v>
      </c>
      <c r="AL20" s="15" t="n">
        <v>3.229</v>
      </c>
      <c r="AM20" s="15" t="n">
        <v>3.454</v>
      </c>
      <c r="AN20" s="15" t="n">
        <v>3.687</v>
      </c>
      <c r="AP20" s="15" t="n">
        <v>46185.33333333334</v>
      </c>
      <c r="AQ20" s="15" t="n">
        <v>48264.27272727273</v>
      </c>
      <c r="AR20" s="15" t="n">
        <v>49124.30434782609</v>
      </c>
      <c r="AS20" s="15" t="n">
        <v>50106.82608695652</v>
      </c>
      <c r="AT20" s="15" t="n">
        <v>52372.66666666666</v>
      </c>
      <c r="AV20" s="15" t="n">
        <v>13920.4</v>
      </c>
      <c r="AW20" s="15" t="n">
        <v>15036.15</v>
      </c>
      <c r="AX20" s="15" t="n">
        <v>16130.42857142857</v>
      </c>
      <c r="AY20" s="15" t="n">
        <v>17093.95238095238</v>
      </c>
      <c r="AZ20" s="15" t="n">
        <v>18146.4</v>
      </c>
      <c r="BB20" s="57" t="n">
        <v>37274.21460872344</v>
      </c>
      <c r="BC20" s="57" t="n">
        <v>36944</v>
      </c>
      <c r="BD20" s="15" t="n">
        <v>330.21460872344</v>
      </c>
      <c r="BE20" s="16" t="n">
        <v>15217</v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15" t="n">
        <v>21.9938524779</v>
      </c>
      <c r="E21" s="58" t="n">
        <v>92.84999999999999</v>
      </c>
      <c r="F21" s="59" t="n">
        <v>24.76660442784742</v>
      </c>
      <c r="G21" s="59" t="n">
        <v>23.16038912446994</v>
      </c>
      <c r="H21" s="59" t="n">
        <v>21.72946407676106</v>
      </c>
      <c r="I21" s="60" t="n">
        <v>1.443095377413692</v>
      </c>
      <c r="J21" s="15" t="n">
        <v>6.142</v>
      </c>
      <c r="K21" s="61" t="n">
        <v>0.1963204168023445</v>
      </c>
      <c r="L21" s="61" t="n">
        <v>0.1127341739304069</v>
      </c>
      <c r="M21" s="61" t="n">
        <v>0.02208104273832046</v>
      </c>
      <c r="N21" s="61" t="n">
        <v>0.04888846124114887</v>
      </c>
      <c r="O21" s="61" t="n">
        <v>0.06990193864985006</v>
      </c>
      <c r="Q21" s="62" t="n">
        <v>0.1073345</v>
      </c>
      <c r="T21" s="57" t="n">
        <v>3.543049721683298</v>
      </c>
      <c r="AB21" s="15" t="n">
        <v>1077.6</v>
      </c>
      <c r="AC21" s="15" t="n">
        <v>2382</v>
      </c>
      <c r="AD21" s="15" t="n">
        <v>4002.2</v>
      </c>
      <c r="AE21" s="15" t="n">
        <v>409</v>
      </c>
      <c r="AF21" s="16">
        <f>IF(ISNUMBER(_xlfn.SINGLE(_xll.BDP($B21,"BS_LONG_TERM_INVESTMENTS"))),_xlfn.SINGLE(_xll.BDP($B21,"BS_LONG_TERM_INVESTMENTS")),0)</f>
        <v/>
      </c>
      <c r="AG21" s="15" t="n">
        <v>6384.2</v>
      </c>
      <c r="AH21" s="56" t="n">
        <v>0.1127341739304069</v>
      </c>
      <c r="AJ21" s="15" t="n">
        <v>3.441</v>
      </c>
      <c r="AK21" s="15" t="n">
        <v>3.489</v>
      </c>
      <c r="AL21" s="15" t="n">
        <v>3.749</v>
      </c>
      <c r="AM21" s="15" t="n">
        <v>4.009</v>
      </c>
      <c r="AN21" s="15" t="n">
        <v>4.273</v>
      </c>
      <c r="AP21" s="15" t="n">
        <v>6089.95652173913</v>
      </c>
      <c r="AQ21" s="15" t="n">
        <v>6197.15</v>
      </c>
      <c r="AR21" s="15" t="n">
        <v>6142</v>
      </c>
      <c r="AS21" s="15" t="n">
        <v>6381.85</v>
      </c>
      <c r="AT21" s="15" t="n">
        <v>6616.8</v>
      </c>
      <c r="AV21" s="15" t="n">
        <v>1159.272727272727</v>
      </c>
      <c r="AW21" s="15" t="n">
        <v>1167.45</v>
      </c>
      <c r="AX21" s="15" t="n">
        <v>1205.8</v>
      </c>
      <c r="AY21" s="15" t="n">
        <v>1278.95</v>
      </c>
      <c r="AZ21" s="15" t="n">
        <v>1347.181818181818</v>
      </c>
      <c r="BB21" s="57" t="n">
        <v>1994.9938524779</v>
      </c>
      <c r="BC21" s="57" t="n">
        <v>1973</v>
      </c>
      <c r="BD21" s="15" t="n">
        <v>21.9938524779</v>
      </c>
      <c r="BE21" s="16" t="n">
        <v>1367.2</v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15" t="n">
        <v>68.30798504309999</v>
      </c>
      <c r="E22" s="58" t="n">
        <v>85.14</v>
      </c>
      <c r="F22" s="59" t="n">
        <v>21.96594427244582</v>
      </c>
      <c r="G22" s="59" t="n">
        <v>20.625</v>
      </c>
      <c r="H22" s="59" t="n">
        <v>19.2973708068903</v>
      </c>
      <c r="I22" s="60" t="n">
        <v>1.818389636779274</v>
      </c>
      <c r="J22" s="15" t="n">
        <v>21.27147619047619</v>
      </c>
      <c r="K22" s="61" t="n">
        <v>0.2131336173413537</v>
      </c>
      <c r="L22" s="61" t="n">
        <v>0.2654958612991294</v>
      </c>
      <c r="M22" s="61" t="n">
        <v>0.03870173392074516</v>
      </c>
      <c r="N22" s="61" t="n">
        <v>0.05040769151120927</v>
      </c>
      <c r="O22" s="61" t="n">
        <v>0.0647542301628905</v>
      </c>
      <c r="Q22" s="62" t="n">
        <v>0.07744879</v>
      </c>
      <c r="T22" s="57" t="n">
        <v>3.392202210911946</v>
      </c>
      <c r="AB22" s="15" t="n">
        <v>3306</v>
      </c>
      <c r="AC22" s="15" t="n">
        <v>8554</v>
      </c>
      <c r="AD22" s="15" t="n">
        <v>365</v>
      </c>
      <c r="AE22" s="15" t="n">
        <v>1288</v>
      </c>
      <c r="AF22" s="16">
        <f>IF(ISNUMBER(_xlfn.SINGLE(_xll.BDP($B22,"BS_LONG_TERM_INVESTMENTS"))),_xlfn.SINGLE(_xll.BDP($B22,"BS_LONG_TERM_INVESTMENTS")),0)</f>
        <v/>
      </c>
      <c r="AG22" s="15" t="n">
        <v>8919</v>
      </c>
      <c r="AH22" s="56" t="n">
        <v>0.2654958612991294</v>
      </c>
      <c r="AJ22" s="15" t="n">
        <v>3.578</v>
      </c>
      <c r="AK22" s="15" t="n">
        <v>3.655</v>
      </c>
      <c r="AL22" s="15" t="n">
        <v>3.876</v>
      </c>
      <c r="AM22" s="15" t="n">
        <v>4.128</v>
      </c>
      <c r="AN22" s="15" t="n">
        <v>4.412</v>
      </c>
      <c r="AP22" s="15" t="n">
        <v>20161.77272727273</v>
      </c>
      <c r="AQ22" s="15" t="n">
        <v>20269.04761904762</v>
      </c>
      <c r="AR22" s="15" t="n">
        <v>21271.47619047619</v>
      </c>
      <c r="AS22" s="15" t="n">
        <v>21976</v>
      </c>
      <c r="AT22" s="15" t="n">
        <v>22714.64285714286</v>
      </c>
      <c r="AV22" s="15" t="n">
        <v>4380.555555555556</v>
      </c>
      <c r="AW22" s="15" t="n">
        <v>4320.333333333333</v>
      </c>
      <c r="AX22" s="15" t="n">
        <v>4533.666666666667</v>
      </c>
      <c r="AY22" s="15" t="n">
        <v>4744.61111111111</v>
      </c>
      <c r="AZ22" s="15" t="n">
        <v>5007.153846153846</v>
      </c>
      <c r="BB22" s="57" t="n">
        <v>7334.3079850431</v>
      </c>
      <c r="BC22" s="57" t="n">
        <v>7266</v>
      </c>
      <c r="BD22" s="15" t="n">
        <v>68.30798504309999</v>
      </c>
      <c r="BE22" s="16" t="n">
        <v>4087</v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15" t="n">
        <v>12.22902582382</v>
      </c>
      <c r="E23" s="58" t="n">
        <v>101.14</v>
      </c>
      <c r="F23" s="59" t="n">
        <v>17.07868963188112</v>
      </c>
      <c r="G23" s="59" t="n">
        <v>14.89982321744255</v>
      </c>
      <c r="H23" s="59" t="n">
        <v>13.97154303080536</v>
      </c>
      <c r="I23" s="60" t="n">
        <v>2.378679395385839</v>
      </c>
      <c r="J23" s="15" t="n">
        <v>6.507736842105262</v>
      </c>
      <c r="K23" s="61" t="n">
        <v>0.1607317605764798</v>
      </c>
      <c r="L23" s="61" t="n">
        <v>0.2515963462795814</v>
      </c>
      <c r="M23" s="61" t="n">
        <v>0.008960854994231715</v>
      </c>
      <c r="N23" s="61" t="n">
        <v>0.01901254132781527</v>
      </c>
      <c r="O23" s="61" t="n">
        <v>0.008952901841184246</v>
      </c>
      <c r="Q23" s="62" t="n">
        <v>0.003074464</v>
      </c>
      <c r="T23" s="57" t="n">
        <v>19.07614976109471</v>
      </c>
      <c r="AB23" s="15" t="n">
        <v>1034</v>
      </c>
      <c r="AC23" s="15" t="n">
        <v>2916</v>
      </c>
      <c r="AD23" s="15" t="n">
        <v>482</v>
      </c>
      <c r="AE23" s="15" t="n">
        <v>167</v>
      </c>
      <c r="AF23" s="16">
        <f>IF(ISNUMBER(_xlfn.SINGLE(_xll.BDP($B23,"BS_LONG_TERM_INVESTMENTS"))),_xlfn.SINGLE(_xll.BDP($B23,"BS_LONG_TERM_INVESTMENTS")),0)</f>
        <v/>
      </c>
      <c r="AG23" s="15" t="n">
        <v>3398</v>
      </c>
      <c r="AH23" s="56" t="n">
        <v>0.2515963462795814</v>
      </c>
      <c r="AJ23" s="15" t="n">
        <v>5.919</v>
      </c>
      <c r="AK23" s="15" t="n">
        <v>7.048</v>
      </c>
      <c r="AL23" s="15" t="n">
        <v>5.922</v>
      </c>
      <c r="AM23" s="15" t="n">
        <v>6.788</v>
      </c>
      <c r="AN23" s="15" t="n">
        <v>7.239</v>
      </c>
      <c r="AP23" s="15" t="n">
        <v>7139.761904761905</v>
      </c>
      <c r="AQ23" s="15" t="n">
        <v>7047.833333333333</v>
      </c>
      <c r="AR23" s="15" t="n">
        <v>6507.736842105262</v>
      </c>
      <c r="AS23" s="15" t="n">
        <v>6957.947368421052</v>
      </c>
      <c r="AT23" s="15" t="n">
        <v>7239</v>
      </c>
      <c r="AV23" s="15" t="n">
        <v>1026.8125</v>
      </c>
      <c r="AW23" s="15" t="n">
        <v>1210.3125</v>
      </c>
      <c r="AX23" s="15" t="n">
        <v>1046</v>
      </c>
      <c r="AY23" s="15" t="n">
        <v>1191.555555555556</v>
      </c>
      <c r="AZ23" s="15" t="n">
        <v>1280.666666666667</v>
      </c>
      <c r="BB23" s="57" t="n">
        <v>2761.22902582382</v>
      </c>
      <c r="BC23" s="57" t="n">
        <v>2749</v>
      </c>
      <c r="BD23" s="15" t="n">
        <v>12.22902582382</v>
      </c>
      <c r="BE23" s="16" t="n">
        <v>1257</v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15" t="n">
        <v>31.90802388558</v>
      </c>
      <c r="E24" s="58" t="n">
        <v>96.13</v>
      </c>
      <c r="F24" s="59" t="n">
        <v>12.72065634511049</v>
      </c>
      <c r="G24" s="59" t="n">
        <v>12.58575543335952</v>
      </c>
      <c r="H24" s="59" t="n">
        <v>11.83866995073891</v>
      </c>
      <c r="I24" s="60" t="n">
        <v>2.236482084690554</v>
      </c>
      <c r="J24" s="15" t="n">
        <v>17.99764285714285</v>
      </c>
      <c r="K24" s="61" t="n">
        <v>0.1655737656121635</v>
      </c>
      <c r="L24" s="61" t="n">
        <v>0.2091055112560865</v>
      </c>
      <c r="M24" s="61" t="n">
        <v>0.1267610919757132</v>
      </c>
      <c r="N24" s="61" t="n">
        <v>0.08853000729206872</v>
      </c>
      <c r="O24" s="61" t="n">
        <v>0.02774366969602515</v>
      </c>
      <c r="Q24" s="62" t="n">
        <v>-0.04718009</v>
      </c>
      <c r="T24" s="57" t="n">
        <v>4.585066245556185</v>
      </c>
      <c r="AB24" s="15" t="n">
        <v>2351</v>
      </c>
      <c r="AC24" s="15" t="n">
        <v>7554</v>
      </c>
      <c r="AD24" s="15" t="n">
        <v>1652</v>
      </c>
      <c r="AE24" s="15" t="n">
        <v>688</v>
      </c>
      <c r="AF24" s="16">
        <f>IF(ISNUMBER(_xlfn.SINGLE(_xll.BDP($B24,"BS_LONG_TERM_INVESTMENTS"))),_xlfn.SINGLE(_xll.BDP($B24,"BS_LONG_TERM_INVESTMENTS")),0)</f>
        <v/>
      </c>
      <c r="AG24" s="15" t="n">
        <v>9206</v>
      </c>
      <c r="AH24" s="56" t="n">
        <v>0.2091055112560865</v>
      </c>
      <c r="AJ24" s="15" t="n">
        <v>7.346</v>
      </c>
      <c r="AK24" s="15" t="n">
        <v>7.48</v>
      </c>
      <c r="AL24" s="15" t="n">
        <v>7.557</v>
      </c>
      <c r="AM24" s="15" t="n">
        <v>7.638</v>
      </c>
      <c r="AN24" s="15" t="n">
        <v>8.120000000000001</v>
      </c>
      <c r="AP24" s="15" t="n">
        <v>19984.47058823529</v>
      </c>
      <c r="AQ24" s="15" t="n">
        <v>16460.07692307692</v>
      </c>
      <c r="AR24" s="15" t="n">
        <v>17997.64285714286</v>
      </c>
      <c r="AS24" s="15" t="n">
        <v>19918.3076923077</v>
      </c>
      <c r="AT24" s="15" t="n">
        <v>23546.55555555556</v>
      </c>
      <c r="AV24" s="15" t="n">
        <v>3254.285714285714</v>
      </c>
      <c r="AW24" s="15" t="n">
        <v>2774.785714285714</v>
      </c>
      <c r="AX24" s="15" t="n">
        <v>2979.9375</v>
      </c>
      <c r="AY24" s="15" t="n">
        <v>3325.4</v>
      </c>
      <c r="AZ24" s="15" t="n">
        <v>3578.909090909091</v>
      </c>
      <c r="BB24" s="57" t="n">
        <v>6897.90802388558</v>
      </c>
      <c r="BC24" s="57" t="n">
        <v>6866</v>
      </c>
      <c r="BD24" s="15" t="n">
        <v>31.90802388558</v>
      </c>
      <c r="BE24" s="16" t="n">
        <v>3297</v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15" t="n">
        <v>12.22902582382</v>
      </c>
      <c r="E25" s="58" t="n">
        <v>101.14</v>
      </c>
      <c r="F25" s="59" t="n">
        <v>17.07868963188112</v>
      </c>
      <c r="G25" s="59" t="n">
        <v>14.89982321744255</v>
      </c>
      <c r="H25" s="59" t="n">
        <v>13.97154303080536</v>
      </c>
      <c r="I25" s="60" t="n">
        <v>2.378679395385839</v>
      </c>
      <c r="J25" s="15" t="n">
        <v>6.507736842105262</v>
      </c>
      <c r="K25" s="61" t="n">
        <v>0.1607317605764798</v>
      </c>
      <c r="L25" s="61" t="n">
        <v>0.2515963462795814</v>
      </c>
      <c r="M25" s="61" t="n">
        <v>0.008960854994231715</v>
      </c>
      <c r="N25" s="61" t="n">
        <v>0.01901254132781527</v>
      </c>
      <c r="O25" s="61" t="n">
        <v>0.008952901841184246</v>
      </c>
      <c r="Q25" s="62" t="n">
        <v>0.003074464</v>
      </c>
      <c r="T25" s="57" t="n">
        <v>19.07614976109471</v>
      </c>
      <c r="AB25" s="15" t="n">
        <v>1034</v>
      </c>
      <c r="AC25" s="15" t="n">
        <v>2916</v>
      </c>
      <c r="AD25" s="15" t="n">
        <v>482</v>
      </c>
      <c r="AE25" s="15" t="n">
        <v>167</v>
      </c>
      <c r="AF25" s="16">
        <f>IF(ISNUMBER(_xlfn.SINGLE(_xll.BDP($B25,"BS_LONG_TERM_INVESTMENTS"))),_xlfn.SINGLE(_xll.BDP($B25,"BS_LONG_TERM_INVESTMENTS")),0)</f>
        <v/>
      </c>
      <c r="AG25" s="15" t="n">
        <v>3398</v>
      </c>
      <c r="AH25" s="56" t="n">
        <v>0.2515963462795814</v>
      </c>
      <c r="AJ25" s="15" t="n">
        <v>5.919</v>
      </c>
      <c r="AK25" s="15" t="n">
        <v>7.048</v>
      </c>
      <c r="AL25" s="15" t="n">
        <v>5.922</v>
      </c>
      <c r="AM25" s="15" t="n">
        <v>6.788</v>
      </c>
      <c r="AN25" s="15" t="n">
        <v>7.239</v>
      </c>
      <c r="AP25" s="15" t="n">
        <v>7139.761904761905</v>
      </c>
      <c r="AQ25" s="15" t="n">
        <v>7047.833333333333</v>
      </c>
      <c r="AR25" s="15" t="n">
        <v>6507.736842105262</v>
      </c>
      <c r="AS25" s="15" t="n">
        <v>6957.947368421052</v>
      </c>
      <c r="AT25" s="15" t="n">
        <v>7239</v>
      </c>
      <c r="AV25" s="15" t="n">
        <v>1026.8125</v>
      </c>
      <c r="AW25" s="15" t="n">
        <v>1210.3125</v>
      </c>
      <c r="AX25" s="15" t="n">
        <v>1046</v>
      </c>
      <c r="AY25" s="15" t="n">
        <v>1191.555555555556</v>
      </c>
      <c r="AZ25" s="15" t="n">
        <v>1280.666666666667</v>
      </c>
      <c r="BB25" s="57" t="n">
        <v>2761.22902582382</v>
      </c>
      <c r="BC25" s="57" t="n">
        <v>2749</v>
      </c>
      <c r="BD25" s="15" t="n">
        <v>12.22902582382</v>
      </c>
      <c r="BE25" s="16" t="n">
        <v>1257</v>
      </c>
    </row>
    <row r="26">
      <c r="A26" s="37" t="inlineStr">
        <is>
          <t>Average</t>
        </is>
      </c>
      <c r="B26" s="36" t="n"/>
      <c r="C26" s="38" t="n"/>
      <c r="D26" s="38" t="n"/>
      <c r="E26" s="71" t="n"/>
      <c r="F26" s="72">
        <f>AVERAGE(F19:F25)</f>
        <v/>
      </c>
      <c r="G26" s="72">
        <f>AVERAGE(G19:G25)</f>
        <v/>
      </c>
      <c r="H26" s="72">
        <f>AVERAGE(H19:H25)</f>
        <v/>
      </c>
      <c r="I26" s="73">
        <f>AVERAGE(I19:I25)</f>
        <v/>
      </c>
      <c r="J26" s="74" t="n"/>
      <c r="K26" s="74">
        <f>AVERAGE(K19:K25)</f>
        <v/>
      </c>
      <c r="L26" s="74">
        <f>AVERAGE(L19:L25)</f>
        <v/>
      </c>
      <c r="M26" s="74">
        <f>AVERAGE(M19:M25)</f>
        <v/>
      </c>
      <c r="N26" s="74">
        <f>AVERAGE(N19:N25)</f>
        <v/>
      </c>
      <c r="O26" s="74">
        <f>AVERAGE(O19:O25)</f>
        <v/>
      </c>
      <c r="P26" s="36" t="n"/>
      <c r="Q26" s="36" t="n"/>
      <c r="R26" s="36" t="n"/>
      <c r="S26" s="36" t="n"/>
      <c r="T26" s="75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58" t="n"/>
      <c r="F27" s="59" t="n"/>
      <c r="G27" s="59" t="n"/>
      <c r="H27" s="59" t="n"/>
      <c r="I27" s="60" t="n"/>
      <c r="J27" s="15" t="n"/>
      <c r="K27" s="61" t="n"/>
      <c r="L27" s="61" t="n"/>
      <c r="M27" s="61" t="n"/>
      <c r="N27" s="61" t="n"/>
      <c r="O27" s="6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58" t="n"/>
      <c r="F28" s="59" t="n"/>
      <c r="G28" s="59" t="n"/>
      <c r="H28" s="59" t="n"/>
      <c r="I28" s="70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15" t="n">
        <v>320.34716780958</v>
      </c>
      <c r="E29" s="58" t="n">
        <v>321.63</v>
      </c>
      <c r="F29" s="59" t="n">
        <v>22.12948947295995</v>
      </c>
      <c r="G29" s="59" t="n">
        <v>21.32966377080708</v>
      </c>
      <c r="H29" s="59" t="n">
        <v>19.69685835017453</v>
      </c>
      <c r="I29" s="60" t="n">
        <v>2.568829714925433</v>
      </c>
      <c r="J29" s="15" t="n">
        <v>164.5939032258065</v>
      </c>
      <c r="K29" s="61" t="n">
        <v>0.1291399161242457</v>
      </c>
      <c r="L29" s="61" t="n">
        <v>0.2080569344484989</v>
      </c>
      <c r="M29" s="61" t="n">
        <v>0.0397390949105032</v>
      </c>
      <c r="N29" s="61" t="n">
        <v>0.02327338972023929</v>
      </c>
      <c r="O29" s="61" t="n">
        <v>0.0259956213410637</v>
      </c>
      <c r="Q29" s="62" t="n">
        <v>-0.06530079999999999</v>
      </c>
      <c r="T29" s="57" t="n">
        <v>8.512775741198901</v>
      </c>
      <c r="AB29" s="15" t="n">
        <v>20890</v>
      </c>
      <c r="AC29" s="15" t="n">
        <v>65638</v>
      </c>
      <c r="AD29" s="15" t="n">
        <v>12813</v>
      </c>
      <c r="AE29" s="15" t="n">
        <v>1389</v>
      </c>
      <c r="AF29" s="16">
        <f>IF(ISNUMBER(_xlfn.SINGLE(_xll.BDP($B29,"BS_LONG_TERM_INVESTMENTS"))),_xlfn.SINGLE(_xll.BDP($B29,"BS_LONG_TERM_INVESTMENTS")),0)</f>
        <v/>
      </c>
      <c r="AG29" s="15" t="n">
        <v>78451</v>
      </c>
      <c r="AH29" s="56" t="n">
        <v>0.2080569344484989</v>
      </c>
      <c r="AJ29" s="15" t="n">
        <v>15.082</v>
      </c>
      <c r="AK29" s="15" t="n">
        <v>15.119</v>
      </c>
      <c r="AL29" s="15" t="n">
        <v>14.534</v>
      </c>
      <c r="AM29" s="15" t="n">
        <v>15.079</v>
      </c>
      <c r="AN29" s="15" t="n">
        <v>16.329</v>
      </c>
      <c r="AP29" s="15" t="n">
        <v>152612.525</v>
      </c>
      <c r="AQ29" s="15" t="n">
        <v>158809.5</v>
      </c>
      <c r="AR29" s="15" t="n">
        <v>164593.9032258065</v>
      </c>
      <c r="AS29" s="15" t="n">
        <v>171318.25</v>
      </c>
      <c r="AT29" s="15" t="n">
        <v>178504.6774193548</v>
      </c>
      <c r="AV29" s="15" t="n">
        <v>21697.91666666667</v>
      </c>
      <c r="AW29" s="15" t="n">
        <v>21767.44444444444</v>
      </c>
      <c r="AX29" s="15" t="n">
        <v>21255.64285714286</v>
      </c>
      <c r="AY29" s="15" t="n">
        <v>21939.93548387097</v>
      </c>
      <c r="AZ29" s="15" t="n">
        <v>23322.89655172414</v>
      </c>
      <c r="BB29" s="57" t="n">
        <v>64569.34716780958</v>
      </c>
      <c r="BC29" s="57" t="n">
        <v>64249</v>
      </c>
      <c r="BD29" s="15" t="n">
        <v>320.34716780958</v>
      </c>
      <c r="BE29" s="16" t="n">
        <v>26857</v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15" t="n">
        <v>1002.84851060079</v>
      </c>
      <c r="E30" s="58" t="n">
        <v>125.79</v>
      </c>
      <c r="F30" s="59" t="n">
        <v>47.77440182301557</v>
      </c>
      <c r="G30" s="59" t="n">
        <v>42.88782816229116</v>
      </c>
      <c r="H30" s="59" t="n">
        <v>38.29223744292238</v>
      </c>
      <c r="I30" s="60" t="n">
        <v>1.28027618788044</v>
      </c>
      <c r="J30" s="15" t="n">
        <v>712.992</v>
      </c>
      <c r="K30" s="61" t="n">
        <v>0.04333871382848616</v>
      </c>
      <c r="L30" s="61" t="n">
        <v>0.1304626126783086</v>
      </c>
      <c r="M30" s="61" t="n">
        <v>0.04816901782985528</v>
      </c>
      <c r="N30" s="61" t="n">
        <v>0.08337301160563726</v>
      </c>
      <c r="O30" s="61" t="n">
        <v>0.09690788682917661</v>
      </c>
      <c r="Q30" s="62" t="n">
        <v>0.1290728</v>
      </c>
      <c r="T30" s="57" t="n">
        <v>4.929877576138814</v>
      </c>
      <c r="AB30" s="15" t="n">
        <v>29825</v>
      </c>
      <c r="AC30" s="15" t="n">
        <v>67095</v>
      </c>
      <c r="AD30" s="15" t="n">
        <v>106180</v>
      </c>
      <c r="AE30" s="15" t="n">
        <v>10727</v>
      </c>
      <c r="AF30" s="16">
        <f>IF(ISNUMBER(_xlfn.SINGLE(_xll.BDP($B30,"BS_LONG_TERM_INVESTMENTS"))),_xlfn.SINGLE(_xll.BDP($B30,"BS_LONG_TERM_INVESTMENTS")),0)</f>
        <v/>
      </c>
      <c r="AG30" s="15" t="n">
        <v>173275</v>
      </c>
      <c r="AH30" s="56" t="n">
        <v>0.1304626126783086</v>
      </c>
      <c r="AJ30" s="15" t="n">
        <v>2.163</v>
      </c>
      <c r="AK30" s="15" t="n">
        <v>2.489</v>
      </c>
      <c r="AL30" s="15" t="n">
        <v>2.633</v>
      </c>
      <c r="AM30" s="15" t="n">
        <v>2.933</v>
      </c>
      <c r="AN30" s="15" t="n">
        <v>3.285</v>
      </c>
      <c r="AP30" s="15" t="n">
        <v>644829.9024390244</v>
      </c>
      <c r="AQ30" s="15" t="n">
        <v>680701.1351351351</v>
      </c>
      <c r="AR30" s="15" t="n">
        <v>712992</v>
      </c>
      <c r="AS30" s="15" t="n">
        <v>748192.6315789474</v>
      </c>
      <c r="AT30" s="15" t="n">
        <v>783881.5277777779</v>
      </c>
      <c r="AV30" s="15" t="n">
        <v>26559.81081081081</v>
      </c>
      <c r="AW30" s="15" t="n">
        <v>29494.69696969697</v>
      </c>
      <c r="AX30" s="15" t="n">
        <v>30900.15625</v>
      </c>
      <c r="AY30" s="15" t="n">
        <v>33871.45454545454</v>
      </c>
      <c r="AZ30" s="15" t="n">
        <v>37504.03333333333</v>
      </c>
      <c r="BB30" s="57" t="n">
        <v>57370.84851060079</v>
      </c>
      <c r="BC30" s="57" t="n">
        <v>56368</v>
      </c>
      <c r="BD30" s="15" t="n">
        <v>1002.84851060079</v>
      </c>
      <c r="BE30" s="16" t="n">
        <v>46462</v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15" t="n">
        <v>82.14347669964</v>
      </c>
      <c r="E31" s="58" t="n">
        <v>204.01</v>
      </c>
      <c r="F31" s="59" t="n">
        <v>18.60726012404232</v>
      </c>
      <c r="G31" s="59" t="n">
        <v>17.05911865540597</v>
      </c>
      <c r="H31" s="59" t="n">
        <v>15.7475878039367</v>
      </c>
      <c r="I31" s="60" t="n">
        <v>0.3211627423046757</v>
      </c>
      <c r="J31" s="15" t="n">
        <v>21.79723529411765</v>
      </c>
      <c r="K31" s="61" t="n">
        <v>0.2676387915975775</v>
      </c>
      <c r="L31" s="61" t="n">
        <v>0.411709878315874</v>
      </c>
      <c r="M31" s="61" t="n">
        <v>0.05960383633072142</v>
      </c>
      <c r="N31" s="61" t="n">
        <v>0.0801380491551964</v>
      </c>
      <c r="O31" s="61" t="n">
        <v>0.09104208820438142</v>
      </c>
      <c r="Q31" s="62" t="n">
        <v>-0.2068966</v>
      </c>
      <c r="T31" s="57" t="n">
        <v>2.043808582495457</v>
      </c>
      <c r="AB31" s="15" t="n">
        <v>5574</v>
      </c>
      <c r="AC31" s="15" t="n">
        <v>4435.099999999999</v>
      </c>
      <c r="AD31" s="15" t="n">
        <v>6187.999999999995</v>
      </c>
      <c r="AE31" s="15" t="n">
        <v>3347.8</v>
      </c>
      <c r="AF31" s="16" t="n">
        <v>4.4</v>
      </c>
      <c r="AG31" s="15" t="n">
        <v>10623.09999999999</v>
      </c>
      <c r="AH31" s="56" t="n">
        <v>0.411709878315874</v>
      </c>
      <c r="AJ31" s="15" t="n">
        <v>9.166</v>
      </c>
      <c r="AK31" s="15" t="n">
        <v>9.975</v>
      </c>
      <c r="AL31" s="15" t="n">
        <v>10.964</v>
      </c>
      <c r="AM31" s="15" t="n">
        <v>11.959</v>
      </c>
      <c r="AN31" s="15" t="n">
        <v>12.955</v>
      </c>
      <c r="AP31" s="15" t="n">
        <v>19171.88888888889</v>
      </c>
      <c r="AQ31" s="15" t="n">
        <v>20473.13333333333</v>
      </c>
      <c r="AR31" s="15" t="n">
        <v>21797.23529411765</v>
      </c>
      <c r="AS31" s="15" t="n">
        <v>23040.52941176471</v>
      </c>
      <c r="AT31" s="15" t="n">
        <v>24356.5</v>
      </c>
      <c r="AV31" s="15" t="n">
        <v>4933.066666666667</v>
      </c>
      <c r="AW31" s="15" t="n">
        <v>5353.615384615385</v>
      </c>
      <c r="AX31" s="15" t="n">
        <v>5833.785714285714</v>
      </c>
      <c r="AY31" s="15" t="n">
        <v>6309.357142857142</v>
      </c>
      <c r="AZ31" s="15" t="n">
        <v>6746.6</v>
      </c>
      <c r="BB31" s="57" t="n">
        <v>1169.443476699639</v>
      </c>
      <c r="BC31" s="57" t="n">
        <v>1087.299999999999</v>
      </c>
      <c r="BD31" s="15" t="n">
        <v>82.14347669964</v>
      </c>
      <c r="BE31" s="16" t="n">
        <v>6247.3</v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15" t="n">
        <v>232.87559530752</v>
      </c>
      <c r="E32" s="58" t="n">
        <v>248.16</v>
      </c>
      <c r="F32" s="59" t="n">
        <v>20.0646830530401</v>
      </c>
      <c r="G32" s="59" t="n">
        <v>18.54708520179372</v>
      </c>
      <c r="H32" s="59" t="n">
        <v>16.84839432412248</v>
      </c>
      <c r="I32" s="60" t="n">
        <v>3.160977453079733</v>
      </c>
      <c r="J32" s="15" t="n">
        <v>71.17805263157895</v>
      </c>
      <c r="K32" s="61" t="n">
        <v>0.2065735076527877</v>
      </c>
      <c r="L32" s="61" t="n">
        <v>0.1095648815261291</v>
      </c>
      <c r="M32" s="61" t="n">
        <v>0.05365080155980473</v>
      </c>
      <c r="N32" s="61" t="n">
        <v>0.09329321500054011</v>
      </c>
      <c r="O32" s="61" t="n">
        <v>0.09103990991777522</v>
      </c>
      <c r="Q32" s="62" t="n">
        <v>-0.162216</v>
      </c>
      <c r="T32" s="57" t="n">
        <v>2.203943640889142</v>
      </c>
      <c r="AB32" s="15" t="n">
        <v>10858</v>
      </c>
      <c r="AC32" s="15" t="n">
        <v>64607</v>
      </c>
      <c r="AD32" s="15" t="n">
        <v>32741</v>
      </c>
      <c r="AE32" s="15" t="n">
        <v>13587</v>
      </c>
      <c r="AF32" s="16" t="n">
        <v>7708</v>
      </c>
      <c r="AG32" s="15" t="n">
        <v>97348</v>
      </c>
      <c r="AH32" s="56" t="n">
        <v>0.1095648815261291</v>
      </c>
      <c r="AJ32" s="15" t="n">
        <v>10.19</v>
      </c>
      <c r="AK32" s="15" t="n">
        <v>11.341</v>
      </c>
      <c r="AL32" s="15" t="n">
        <v>12.368</v>
      </c>
      <c r="AM32" s="15" t="n">
        <v>13.38</v>
      </c>
      <c r="AN32" s="15" t="n">
        <v>14.729</v>
      </c>
      <c r="AP32" s="15" t="n">
        <v>62759.31578947369</v>
      </c>
      <c r="AQ32" s="15" t="n">
        <v>67047.45</v>
      </c>
      <c r="AR32" s="15" t="n">
        <v>71178.05263157895</v>
      </c>
      <c r="AS32" s="15" t="n">
        <v>74486.84210526316</v>
      </c>
      <c r="AT32" s="15" t="n">
        <v>78428.22222222223</v>
      </c>
      <c r="AV32" s="15" t="n">
        <v>10764.33333333333</v>
      </c>
      <c r="AW32" s="15" t="n">
        <v>13319.36363636364</v>
      </c>
      <c r="AX32" s="15" t="n">
        <v>14703.5</v>
      </c>
      <c r="AY32" s="15" t="n">
        <v>15907.85714285714</v>
      </c>
      <c r="AZ32" s="15" t="n">
        <v>17405.77777777778</v>
      </c>
      <c r="BB32" s="57" t="n">
        <v>51252.87559530752</v>
      </c>
      <c r="BC32" s="57" t="n">
        <v>51020</v>
      </c>
      <c r="BD32" s="15" t="n">
        <v>232.87559530752</v>
      </c>
      <c r="BE32" s="16" t="n">
        <v>16881</v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15" t="n">
        <v>218.19183890388</v>
      </c>
      <c r="E33" s="58" t="n">
        <v>307.14</v>
      </c>
      <c r="F33" s="59" t="n">
        <v>23.21541950113378</v>
      </c>
      <c r="G33" s="59" t="n">
        <v>21.28039908542922</v>
      </c>
      <c r="H33" s="59" t="n">
        <v>19.61427932818188</v>
      </c>
      <c r="I33" s="60" t="n">
        <v>3.703330592105263</v>
      </c>
      <c r="J33" s="15" t="n">
        <v>28.75202857142857</v>
      </c>
      <c r="K33" s="61" t="n">
        <v>0.4745942830850068</v>
      </c>
      <c r="L33" s="61" t="n">
        <v>0.1913375528995714</v>
      </c>
      <c r="M33" s="61" t="n">
        <v>0.06253179335328563</v>
      </c>
      <c r="N33" s="61" t="n">
        <v>0.07616257157671025</v>
      </c>
      <c r="O33" s="61" t="n">
        <v>0.08863984072587083</v>
      </c>
      <c r="Q33" s="62" t="n">
        <v>0.004940598</v>
      </c>
      <c r="T33" s="57" t="n">
        <v>2.61907279063488</v>
      </c>
      <c r="AB33" s="15" t="n">
        <v>12393</v>
      </c>
      <c r="AC33" s="15" t="n">
        <v>54813</v>
      </c>
      <c r="AD33" s="15" t="n">
        <v>-1791</v>
      </c>
      <c r="AE33" s="15" t="n">
        <v>774</v>
      </c>
      <c r="AF33" s="16">
        <f>IF(ISNUMBER(_xlfn.SINGLE(_xll.BDP($B33,"BS_LONG_TERM_INVESTMENTS"))),_xlfn.SINGLE(_xll.BDP($B33,"BS_LONG_TERM_INVESTMENTS")),0)</f>
        <v/>
      </c>
      <c r="AG33" s="15" t="n">
        <v>53022</v>
      </c>
      <c r="AH33" s="56" t="n">
        <v>0.1913375528995714</v>
      </c>
      <c r="AJ33" s="15" t="n">
        <v>11.748</v>
      </c>
      <c r="AK33" s="15" t="n">
        <v>12.137</v>
      </c>
      <c r="AL33" s="15" t="n">
        <v>13.23</v>
      </c>
      <c r="AM33" s="15" t="n">
        <v>14.433</v>
      </c>
      <c r="AN33" s="15" t="n">
        <v>15.659</v>
      </c>
      <c r="AP33" s="15" t="n">
        <v>25985.71428571429</v>
      </c>
      <c r="AQ33" s="15" t="n">
        <v>26696.40540540541</v>
      </c>
      <c r="AR33" s="15" t="n">
        <v>28752.02857142857</v>
      </c>
      <c r="AS33" s="15" t="n">
        <v>30418.77142857143</v>
      </c>
      <c r="AT33" s="15" t="n">
        <v>32024.22222222222</v>
      </c>
      <c r="AV33" s="15" t="n">
        <v>11973.70967741936</v>
      </c>
      <c r="AW33" s="15" t="n">
        <v>12503.375</v>
      </c>
      <c r="AX33" s="15" t="n">
        <v>13645.54838709677</v>
      </c>
      <c r="AY33" s="15" t="n">
        <v>14581.45161290323</v>
      </c>
      <c r="AZ33" s="15" t="n">
        <v>15583.35294117647</v>
      </c>
      <c r="BB33" s="57" t="n">
        <v>54257.19183890388</v>
      </c>
      <c r="BC33" s="57" t="n">
        <v>54039</v>
      </c>
      <c r="BD33" s="15" t="n">
        <v>218.19183890388</v>
      </c>
      <c r="BE33" s="16" t="n">
        <v>16223</v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15" t="n">
        <v>145.85578959445</v>
      </c>
      <c r="E34" s="58" t="n">
        <v>229.45</v>
      </c>
      <c r="F34" s="59" t="n">
        <v>21.84405940594059</v>
      </c>
      <c r="G34" s="59" t="n">
        <v>20.03580160670625</v>
      </c>
      <c r="H34" s="59" t="n">
        <v>18.21465428276574</v>
      </c>
      <c r="I34" s="60" t="n">
        <v>3.251400660824594</v>
      </c>
      <c r="J34" s="15" t="n">
        <v>39.52908695652174</v>
      </c>
      <c r="K34" s="61" t="n">
        <v>0.2311675479707872</v>
      </c>
      <c r="L34" s="61" t="n">
        <v>0.07607202031583762</v>
      </c>
      <c r="M34" s="61" t="n">
        <v>0.03105577967239159</v>
      </c>
      <c r="N34" s="61" t="n">
        <v>0.05436042894277082</v>
      </c>
      <c r="O34" s="61" t="n">
        <v>0.08021265638802189</v>
      </c>
      <c r="Q34" s="62" t="n">
        <v>0.1761239</v>
      </c>
      <c r="T34" s="57" t="n">
        <v>2.723268420418821</v>
      </c>
      <c r="AB34" s="15" t="n">
        <v>5573</v>
      </c>
      <c r="AC34" s="15" t="n">
        <v>35563</v>
      </c>
      <c r="AD34" s="15" t="n">
        <v>15030</v>
      </c>
      <c r="AE34" s="15" t="n">
        <v>12487</v>
      </c>
      <c r="AF34" s="16" t="n">
        <v>1404</v>
      </c>
      <c r="AG34" s="15" t="n">
        <v>50593</v>
      </c>
      <c r="AH34" s="56" t="n">
        <v>0.07607202031583762</v>
      </c>
      <c r="AJ34" s="15" t="n">
        <v>9.76</v>
      </c>
      <c r="AK34" s="15" t="n">
        <v>9.994</v>
      </c>
      <c r="AL34" s="15" t="n">
        <v>10.504</v>
      </c>
      <c r="AM34" s="15" t="n">
        <v>11.452</v>
      </c>
      <c r="AN34" s="15" t="n">
        <v>12.597</v>
      </c>
      <c r="AP34" s="15" t="n">
        <v>38285.18181818182</v>
      </c>
      <c r="AQ34" s="15" t="n">
        <v>40275.5</v>
      </c>
      <c r="AR34" s="15" t="n">
        <v>39529.08695652174</v>
      </c>
      <c r="AS34" s="15" t="n">
        <v>41841.17391304348</v>
      </c>
      <c r="AT34" s="15" t="n">
        <v>44145.6</v>
      </c>
      <c r="AV34" s="15" t="n">
        <v>8690.64705882353</v>
      </c>
      <c r="AW34" s="15" t="n">
        <v>9114.111111111111</v>
      </c>
      <c r="AX34" s="15" t="n">
        <v>9137.842105263158</v>
      </c>
      <c r="AY34" s="15" t="n">
        <v>9955.315789473685</v>
      </c>
      <c r="AZ34" s="15" t="n">
        <v>10682.71428571428</v>
      </c>
      <c r="BB34" s="57" t="n">
        <v>23221.85578959445</v>
      </c>
      <c r="BC34" s="57" t="n">
        <v>23076</v>
      </c>
      <c r="BD34" s="15" t="n">
        <v>145.85578959445</v>
      </c>
      <c r="BE34" s="16" t="n">
        <v>7196</v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15" t="n">
        <v>102.958541</v>
      </c>
      <c r="E35" s="58" t="n">
        <v>90.37</v>
      </c>
      <c r="F35" s="59" t="n">
        <v>39.60122699386503</v>
      </c>
      <c r="G35" s="59" t="n">
        <v>30.66508313539192</v>
      </c>
      <c r="H35" s="59" t="n">
        <v>25.01937984496124</v>
      </c>
      <c r="I35" s="60" t="n">
        <v>3.310719583446857</v>
      </c>
      <c r="J35" s="15" t="n">
        <v>38.28829729729729</v>
      </c>
      <c r="K35" s="61" t="n">
        <v>0.1026893405436846</v>
      </c>
      <c r="L35" s="61" t="n">
        <v>0.09269310103203637</v>
      </c>
      <c r="M35" s="61" t="n">
        <v>0.04717654317005837</v>
      </c>
      <c r="N35" s="61" t="n">
        <v>0.160472456197178</v>
      </c>
      <c r="O35" s="61" t="n">
        <v>0.1893378284307827</v>
      </c>
      <c r="Q35" s="62" t="n">
        <v>0.07315047</v>
      </c>
      <c r="T35" s="57" t="n">
        <v>2.091564444468226</v>
      </c>
      <c r="AB35" s="15" t="n">
        <v>2705.6</v>
      </c>
      <c r="AC35" s="15" t="n">
        <v>26611.5</v>
      </c>
      <c r="AD35" s="15" t="n">
        <v>-8089.2</v>
      </c>
      <c r="AE35" s="15" t="n">
        <v>3219.8</v>
      </c>
      <c r="AF35" s="16" t="n">
        <v>246.9</v>
      </c>
      <c r="AG35" s="15" t="n">
        <v>18522.3</v>
      </c>
      <c r="AH35" s="56" t="n">
        <v>0.09269310103203637</v>
      </c>
      <c r="AJ35" s="15" t="n">
        <v>3.5</v>
      </c>
      <c r="AK35" s="15" t="n">
        <v>2.147</v>
      </c>
      <c r="AL35" s="15" t="n">
        <v>2.282</v>
      </c>
      <c r="AM35" s="15" t="n">
        <v>2.947</v>
      </c>
      <c r="AN35" s="15" t="n">
        <v>3.612</v>
      </c>
      <c r="AP35" s="15" t="n">
        <v>36404.53125</v>
      </c>
      <c r="AQ35" s="15" t="n">
        <v>36962.67647058823</v>
      </c>
      <c r="AR35" s="15" t="n">
        <v>38288.29729729729</v>
      </c>
      <c r="AS35" s="15" t="n">
        <v>40328.86486486487</v>
      </c>
      <c r="AT35" s="15" t="n">
        <v>42444.66666666666</v>
      </c>
      <c r="AV35" s="15" t="n">
        <v>5684.2</v>
      </c>
      <c r="AW35" s="15" t="n">
        <v>3709.181818181818</v>
      </c>
      <c r="AX35" s="15" t="n">
        <v>3931.8</v>
      </c>
      <c r="AY35" s="15" t="n">
        <v>4889.823529411765</v>
      </c>
      <c r="AZ35" s="15" t="n">
        <v>5796.724137931034</v>
      </c>
      <c r="BB35" s="57" t="n">
        <v>23494.658541</v>
      </c>
      <c r="BC35" s="57" t="n">
        <v>23391.7</v>
      </c>
      <c r="BD35" s="15" t="n">
        <v>102.958541</v>
      </c>
      <c r="BE35" s="16" t="n">
        <v>6606.6</v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15" t="n">
        <v>65.44039798826999</v>
      </c>
      <c r="E36" s="58" t="n">
        <v>44.19</v>
      </c>
      <c r="F36" s="59" t="n">
        <v>28.82583170254403</v>
      </c>
      <c r="G36" s="59" t="n">
        <v>22.10605302651325</v>
      </c>
      <c r="H36" s="59" t="n">
        <v>17.20794392523364</v>
      </c>
      <c r="I36" s="60" t="n">
        <v>0.876685393258427</v>
      </c>
      <c r="J36" s="15" t="n">
        <v>46.40876315789474</v>
      </c>
      <c r="K36" s="61" t="n">
        <v>0.06021328844547916</v>
      </c>
      <c r="L36" s="61" t="n">
        <v>0.08368167954234181</v>
      </c>
      <c r="M36" s="61" t="n">
        <v>0.0244459172848952</v>
      </c>
      <c r="N36" s="61" t="n">
        <v>0.08402878366614286</v>
      </c>
      <c r="O36" s="61" t="n">
        <v>0.05904181958946997</v>
      </c>
      <c r="Q36" s="62" t="n">
        <v>-0.3063883</v>
      </c>
      <c r="T36" s="76" t="n">
        <v>4.88227359911602</v>
      </c>
      <c r="AB36" s="15" t="n">
        <v>2807</v>
      </c>
      <c r="AC36" s="15" t="n">
        <v>11018</v>
      </c>
      <c r="AD36" s="15" t="n">
        <v>13213</v>
      </c>
      <c r="AE36" s="15" t="n">
        <v>7464</v>
      </c>
      <c r="AF36" s="16">
        <f>IF(ISNUMBER(_xlfn.SINGLE(_xll.BDP($B36,"BS_LONG_TERM_INVESTMENTS"))),_xlfn.SINGLE(_xll.BDP($B36,"BS_LONG_TERM_INVESTMENTS")),0)</f>
        <v/>
      </c>
      <c r="AG36" s="15" t="n">
        <v>24231</v>
      </c>
      <c r="AH36" s="56" t="n">
        <v>0.08368167954234181</v>
      </c>
      <c r="AJ36" s="15" t="n">
        <v>3.692</v>
      </c>
      <c r="AK36" s="15" t="n">
        <v>2.162</v>
      </c>
      <c r="AL36" s="15" t="n">
        <v>1.533</v>
      </c>
      <c r="AM36" s="15" t="n">
        <v>1.999</v>
      </c>
      <c r="AN36" s="15" t="n">
        <v>2.568</v>
      </c>
      <c r="AP36" s="15" t="n">
        <v>51644.48717948718</v>
      </c>
      <c r="AQ36" s="15" t="n">
        <v>45906.79487179487</v>
      </c>
      <c r="AR36" s="15" t="n">
        <v>46408.76315789474</v>
      </c>
      <c r="AS36" s="15" t="n">
        <v>47112.73684210526</v>
      </c>
      <c r="AT36" s="15" t="n">
        <v>49356.46875</v>
      </c>
      <c r="AV36" s="15" t="n">
        <v>6575.615384615385</v>
      </c>
      <c r="AW36" s="15" t="n">
        <v>3573.805555555555</v>
      </c>
      <c r="AX36" s="15" t="n">
        <v>2794.424242424242</v>
      </c>
      <c r="AY36" s="15" t="n">
        <v>3563.060606060606</v>
      </c>
      <c r="AZ36" s="15" t="n">
        <v>4552.535714285714</v>
      </c>
      <c r="BB36" s="57" t="n">
        <v>3619.44039798827</v>
      </c>
      <c r="BC36" s="57" t="n">
        <v>3554</v>
      </c>
      <c r="BD36" s="15" t="n">
        <v>65.44039798826999</v>
      </c>
      <c r="BE36" s="16" t="n">
        <v>3560</v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15" t="n">
        <v>145.279016793</v>
      </c>
      <c r="E37" s="58" t="n">
        <v>244.71</v>
      </c>
      <c r="F37" s="59" t="n">
        <v>19.65226469643431</v>
      </c>
      <c r="G37" s="59" t="n">
        <v>18.03316138540899</v>
      </c>
      <c r="H37" s="59" t="n">
        <v>16.41247484909457</v>
      </c>
      <c r="I37" s="60" t="n">
        <v>2.542929087807652</v>
      </c>
      <c r="J37" s="15" t="n">
        <v>25.46408</v>
      </c>
      <c r="K37" s="61" t="n">
        <v>0.415426535946107</v>
      </c>
      <c r="L37" s="61" t="n">
        <v>0.1184227200669516</v>
      </c>
      <c r="M37" s="61" t="n">
        <v>0.07362975897406243</v>
      </c>
      <c r="N37" s="61" t="n">
        <v>0.08344203904304548</v>
      </c>
      <c r="O37" s="61" t="n">
        <v>0.08447874380525677</v>
      </c>
      <c r="Q37" s="62" t="n">
        <v>0.05788515</v>
      </c>
      <c r="T37" s="57" t="n">
        <v>2.326296984450594</v>
      </c>
      <c r="AB37" s="15" t="n">
        <v>9846</v>
      </c>
      <c r="AC37" s="15" t="n">
        <v>32822</v>
      </c>
      <c r="AD37" s="15" t="n">
        <v>18467</v>
      </c>
      <c r="AE37" s="15" t="n">
        <v>1266</v>
      </c>
      <c r="AF37" s="16" t="n">
        <v>2885</v>
      </c>
      <c r="AG37" s="15" t="n">
        <v>51289</v>
      </c>
      <c r="AH37" s="56" t="n">
        <v>0.1184227200669516</v>
      </c>
      <c r="AJ37" s="15" t="n">
        <v>10.963</v>
      </c>
      <c r="AK37" s="15" t="n">
        <v>11.69</v>
      </c>
      <c r="AL37" s="15" t="n">
        <v>12.452</v>
      </c>
      <c r="AM37" s="15" t="n">
        <v>13.57</v>
      </c>
      <c r="AN37" s="15" t="n">
        <v>14.91</v>
      </c>
      <c r="AP37" s="15" t="n">
        <v>24284</v>
      </c>
      <c r="AQ37" s="15" t="n">
        <v>24536.33333333333</v>
      </c>
      <c r="AR37" s="15" t="n">
        <v>25464.08</v>
      </c>
      <c r="AS37" s="15" t="n">
        <v>26713.65217391304</v>
      </c>
      <c r="AT37" s="15" t="n">
        <v>30365</v>
      </c>
      <c r="AV37" s="15" t="n">
        <v>9635.192307692309</v>
      </c>
      <c r="AW37" s="15" t="n">
        <v>9979.440000000001</v>
      </c>
      <c r="AX37" s="15" t="n">
        <v>10578.45454545455</v>
      </c>
      <c r="AY37" s="15" t="n">
        <v>11397.63636363636</v>
      </c>
      <c r="AZ37" s="15" t="n">
        <v>12691.8</v>
      </c>
      <c r="BB37" s="57" t="n">
        <v>31701.279016793</v>
      </c>
      <c r="BC37" s="57" t="n">
        <v>31556</v>
      </c>
      <c r="BD37" s="15" t="n">
        <v>145.279016793</v>
      </c>
      <c r="BE37" s="16" t="n">
        <v>12616</v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15" t="n">
        <v>140.101506274</v>
      </c>
      <c r="E38" s="58" t="n">
        <v>361.1</v>
      </c>
      <c r="F38" s="59" t="n">
        <v>27.21175584024115</v>
      </c>
      <c r="G38" s="59" t="n">
        <v>23.60902255639098</v>
      </c>
      <c r="H38" s="59" t="n">
        <v>20.74333639705882</v>
      </c>
      <c r="I38" s="60" t="n">
        <v>1.589607464607465</v>
      </c>
      <c r="J38" s="15" t="n">
        <v>30.47333333333333</v>
      </c>
      <c r="K38" s="61" t="n">
        <v>0.2069561208863331</v>
      </c>
      <c r="L38" s="61" t="n">
        <v>0.1485483623990184</v>
      </c>
      <c r="M38" s="61" t="n">
        <v>0.1018370325532143</v>
      </c>
      <c r="N38" s="61" t="n">
        <v>0.1324494822558056</v>
      </c>
      <c r="O38" s="61" t="n">
        <v>0.1300504955238015</v>
      </c>
      <c r="Q38" s="62" t="n">
        <v>0.1337163</v>
      </c>
      <c r="T38" s="57" t="n">
        <v>2.092399243127906</v>
      </c>
      <c r="AB38" s="15" t="n">
        <v>5209</v>
      </c>
      <c r="AC38" s="15" t="n">
        <v>10684</v>
      </c>
      <c r="AD38" s="15" t="n">
        <v>19469</v>
      </c>
      <c r="AE38" s="15" t="n">
        <v>622</v>
      </c>
      <c r="AF38" s="16">
        <f>IF(ISNUMBER(_xlfn.SINGLE(_xll.BDP($B38,"BS_LONG_TERM_INVESTMENTS"))),_xlfn.SINGLE(_xll.BDP($B38,"BS_LONG_TERM_INVESTMENTS")),0)</f>
        <v/>
      </c>
      <c r="AG38" s="15" t="n">
        <v>30153</v>
      </c>
      <c r="AH38" s="56" t="n">
        <v>0.1485483623990184</v>
      </c>
      <c r="AJ38" s="15" t="n">
        <v>10.783</v>
      </c>
      <c r="AK38" s="15" t="n">
        <v>12.063</v>
      </c>
      <c r="AL38" s="15" t="n">
        <v>13.27</v>
      </c>
      <c r="AM38" s="15" t="n">
        <v>15.295</v>
      </c>
      <c r="AN38" s="15" t="n">
        <v>17.408</v>
      </c>
      <c r="AP38" s="15" t="n">
        <v>24994.96428571429</v>
      </c>
      <c r="AQ38" s="15" t="n">
        <v>27458.42857142857</v>
      </c>
      <c r="AR38" s="15" t="n">
        <v>30473.33333333333</v>
      </c>
      <c r="AS38" s="15" t="n">
        <v>33275.45161290323</v>
      </c>
      <c r="AT38" s="15" t="n">
        <v>36730.57894736842</v>
      </c>
      <c r="AV38" s="15" t="n">
        <v>4844.739130434783</v>
      </c>
      <c r="AW38" s="15" t="n">
        <v>5629</v>
      </c>
      <c r="AX38" s="15" t="n">
        <v>6306.642857142858</v>
      </c>
      <c r="AY38" s="15" t="n">
        <v>7136.413793103447</v>
      </c>
      <c r="AZ38" s="15" t="n">
        <v>8175</v>
      </c>
      <c r="BB38" s="57" t="n">
        <v>10202.101506274</v>
      </c>
      <c r="BC38" s="57" t="n">
        <v>10062</v>
      </c>
      <c r="BD38" s="15" t="n">
        <v>140.101506274</v>
      </c>
      <c r="BE38" s="16" t="n">
        <v>6465</v>
      </c>
    </row>
    <row r="39">
      <c r="A39" s="37" t="inlineStr">
        <is>
          <t>Average</t>
        </is>
      </c>
      <c r="B39" s="36" t="n"/>
      <c r="C39" s="38" t="n"/>
      <c r="D39" s="38" t="n"/>
      <c r="E39" s="71" t="n"/>
      <c r="F39" s="72">
        <f>AVERAGE(F29:F38)</f>
        <v/>
      </c>
      <c r="G39" s="72">
        <f>AVERAGE(G29:G38)</f>
        <v/>
      </c>
      <c r="H39" s="72">
        <f>AVERAGE(H29:H38)</f>
        <v/>
      </c>
      <c r="I39" s="73">
        <f>AVERAGE(I29:I38)</f>
        <v/>
      </c>
      <c r="J39" s="74" t="n"/>
      <c r="K39" s="74">
        <f>AVERAGE(K29:K38)</f>
        <v/>
      </c>
      <c r="L39" s="74">
        <f>AVERAGE(L29:L38)</f>
        <v/>
      </c>
      <c r="M39" s="74">
        <f>AVERAGE(M29:M38)</f>
        <v/>
      </c>
      <c r="N39" s="74">
        <f>AVERAGE(N29:N38)</f>
        <v/>
      </c>
      <c r="O39" s="74">
        <f>AVERAGE(O29:O38)</f>
        <v/>
      </c>
      <c r="P39" s="36" t="n"/>
      <c r="Q39" s="36" t="n"/>
      <c r="R39" s="36" t="n"/>
      <c r="S39" s="36" t="n"/>
      <c r="T39" s="75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58" t="n"/>
      <c r="F40" s="59" t="n"/>
      <c r="G40" s="59" t="n"/>
      <c r="H40" s="59" t="n"/>
      <c r="I40" s="60" t="n"/>
      <c r="J40" s="15" t="n"/>
      <c r="K40" s="61" t="n"/>
      <c r="L40" s="61" t="n"/>
      <c r="M40" s="61" t="n"/>
      <c r="N40" s="61" t="n"/>
      <c r="O40" s="6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77" t="n"/>
      <c r="J41" s="9" t="n"/>
      <c r="K41" s="78" t="n"/>
      <c r="L41" s="78" t="n"/>
      <c r="M41" s="78" t="n"/>
      <c r="N41" s="78" t="n"/>
      <c r="O41" s="78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15" t="n">
        <v>105.48878091744</v>
      </c>
      <c r="E42" s="58" t="n">
        <v>471.84</v>
      </c>
      <c r="F42" s="59" t="n">
        <v>15.53843114009089</v>
      </c>
      <c r="G42" s="59" t="n">
        <v>14.15619093336533</v>
      </c>
      <c r="H42" s="59" t="n">
        <v>12.63800723182001</v>
      </c>
      <c r="I42" s="60" t="n">
        <v>3.085614669421488</v>
      </c>
      <c r="J42" s="15" t="n">
        <v>78.66312499999999</v>
      </c>
      <c r="K42" s="61" t="n">
        <v>0.156625695542437</v>
      </c>
      <c r="L42" s="61" t="n">
        <v>0.2093997986300319</v>
      </c>
      <c r="M42" s="61" t="n">
        <v>0.04742017500858919</v>
      </c>
      <c r="N42" s="61" t="n">
        <v>0.04405752187630929</v>
      </c>
      <c r="O42" s="61" t="n">
        <v>0.1047509914099656</v>
      </c>
      <c r="Q42" s="62" t="n">
        <v>0.01066704</v>
      </c>
      <c r="T42" s="63" t="n">
        <v>1.483368408350227</v>
      </c>
      <c r="AB42" s="15" t="n">
        <v>11965</v>
      </c>
      <c r="AC42" s="15" t="n">
        <v>48830</v>
      </c>
      <c r="AD42" s="15" t="n">
        <v>-2771</v>
      </c>
      <c r="AE42" s="15" t="n">
        <v>1040</v>
      </c>
      <c r="AF42" s="16" t="n">
        <v>485</v>
      </c>
      <c r="AG42" s="15" t="n">
        <v>46059</v>
      </c>
      <c r="AH42" s="56" t="n">
        <v>0.2093997986300319</v>
      </c>
      <c r="AJ42" s="15" t="n">
        <v>21.932</v>
      </c>
      <c r="AK42" s="15" t="n">
        <v>27.69</v>
      </c>
      <c r="AL42" s="15" t="n">
        <v>30.366</v>
      </c>
      <c r="AM42" s="15" t="n">
        <v>33.331</v>
      </c>
      <c r="AN42" s="15" t="n">
        <v>37.335</v>
      </c>
      <c r="AP42" s="15" t="n">
        <v>70541.31818181818</v>
      </c>
      <c r="AQ42" s="15" t="n">
        <v>75765.81818181818</v>
      </c>
      <c r="AR42" s="15" t="n">
        <v>78663.125</v>
      </c>
      <c r="AS42" s="15" t="n">
        <v>82444.52173913043</v>
      </c>
      <c r="AT42" s="15" t="n">
        <v>87063.5</v>
      </c>
      <c r="AV42" s="15" t="n">
        <v>10571.36842105263</v>
      </c>
      <c r="AW42" s="15" t="n">
        <v>11973.52631578948</v>
      </c>
      <c r="AX42" s="15" t="n">
        <v>12320.66666666667</v>
      </c>
      <c r="AY42" s="15" t="n">
        <v>12918.33333333333</v>
      </c>
      <c r="AZ42" s="15" t="n">
        <v>13626.84615384615</v>
      </c>
      <c r="BB42" s="57" t="n">
        <v>47895.48878091744</v>
      </c>
      <c r="BC42" s="57" t="n">
        <v>47790</v>
      </c>
      <c r="BD42" s="15" t="n">
        <v>105.48878091744</v>
      </c>
      <c r="BE42" s="16" t="n">
        <v>16004</v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15" t="n">
        <v>251.66220312114</v>
      </c>
      <c r="E43" s="58" t="n">
        <v>277.26</v>
      </c>
      <c r="F43" s="59" t="n">
        <v>15.52233792408465</v>
      </c>
      <c r="G43" s="59" t="n">
        <v>13.96705455644552</v>
      </c>
      <c r="H43" s="59" t="n">
        <v>11.6061785759136</v>
      </c>
      <c r="I43" s="60" t="n">
        <v>2.352968917470525</v>
      </c>
      <c r="J43" s="15" t="n">
        <v>440.6198260869566</v>
      </c>
      <c r="K43" s="61" t="n">
        <v>0.05329162792019463</v>
      </c>
      <c r="L43" s="61" t="n">
        <v>0.08674036867936624</v>
      </c>
      <c r="M43" s="61" t="n">
        <v>0.02480850036454729</v>
      </c>
      <c r="N43" s="61" t="n">
        <v>0.1089830844013311</v>
      </c>
      <c r="O43" s="61" t="n">
        <v>0.1354271428728624</v>
      </c>
      <c r="Q43" s="62" t="n">
        <v>-0.1600981</v>
      </c>
      <c r="T43" s="63" t="n">
        <v>1.146176283040753</v>
      </c>
      <c r="AB43" s="15" t="n">
        <v>18964</v>
      </c>
      <c r="AC43" s="15" t="n">
        <v>83004</v>
      </c>
      <c r="AD43" s="15" t="n">
        <v>101698</v>
      </c>
      <c r="AE43" s="15" t="n">
        <v>24365</v>
      </c>
      <c r="AF43" s="16" t="n">
        <v>54251</v>
      </c>
      <c r="AG43" s="15" t="n">
        <v>184702</v>
      </c>
      <c r="AH43" s="56" t="n">
        <v>0.08674036867936624</v>
      </c>
      <c r="AJ43" s="15" t="n">
        <v>27.547</v>
      </c>
      <c r="AK43" s="15" t="n">
        <v>16.32</v>
      </c>
      <c r="AL43" s="15" t="n">
        <v>17.862</v>
      </c>
      <c r="AM43" s="15" t="n">
        <v>19.851</v>
      </c>
      <c r="AN43" s="15" t="n">
        <v>23.889</v>
      </c>
      <c r="AP43" s="15" t="n">
        <v>400992.2857142857</v>
      </c>
      <c r="AQ43" s="15" t="n">
        <v>448006.8333333333</v>
      </c>
      <c r="AR43" s="15" t="n">
        <v>440619.8260869565</v>
      </c>
      <c r="AS43" s="15" t="n">
        <v>455314.0434782609</v>
      </c>
      <c r="AT43" s="15" t="n">
        <v>482184</v>
      </c>
      <c r="AV43" s="15" t="n">
        <v>33370.91304347826</v>
      </c>
      <c r="AW43" s="15" t="n">
        <v>21932.05</v>
      </c>
      <c r="AX43" s="15" t="n">
        <v>23481.34782608696</v>
      </c>
      <c r="AY43" s="15" t="n">
        <v>25964</v>
      </c>
      <c r="AZ43" s="15" t="n">
        <v>29912.58823529412</v>
      </c>
      <c r="BB43" s="57" t="n">
        <v>58890.66220312114</v>
      </c>
      <c r="BC43" s="57" t="n">
        <v>58639</v>
      </c>
      <c r="BD43" s="15" t="n">
        <v>251.66220312114</v>
      </c>
      <c r="BE43" s="16" t="n">
        <v>24925</v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15" t="n">
        <v>4.47651702982</v>
      </c>
      <c r="E44" s="58" t="n">
        <v>416.51</v>
      </c>
      <c r="F44" s="59" t="n">
        <v>8.874565870496239</v>
      </c>
      <c r="G44" s="59" t="n">
        <v>7.556422351233671</v>
      </c>
      <c r="H44" s="59" t="n">
        <v>5.584741217484581</v>
      </c>
      <c r="I44" s="15" t="n">
        <v>6.001611527158971</v>
      </c>
      <c r="J44" s="15" t="n">
        <v>2.36675</v>
      </c>
      <c r="K44" s="61" t="n">
        <v>0.4520967571564382</v>
      </c>
      <c r="L44" s="15" t="n">
        <v>0.08735311657441393</v>
      </c>
      <c r="M44" s="61" t="n">
        <v>0.03034668858084699</v>
      </c>
      <c r="N44" s="15" t="n">
        <v>0</v>
      </c>
      <c r="O44" s="61" t="n">
        <v>0.2352629816153426</v>
      </c>
      <c r="Q44" s="62" t="n">
        <v>-0.06077209</v>
      </c>
      <c r="T44" s="63" t="n">
        <v>0.3772189661782934</v>
      </c>
      <c r="AB44" s="15" t="n">
        <v>565.4</v>
      </c>
      <c r="AC44" s="15" t="n">
        <v>6353.9</v>
      </c>
      <c r="AD44" s="15" t="n">
        <v>1523.6</v>
      </c>
      <c r="AE44" s="15" t="n">
        <v>22.8</v>
      </c>
      <c r="AF44" s="16" t="n">
        <v>7909.2</v>
      </c>
      <c r="AG44" s="15" t="n">
        <v>7877.5</v>
      </c>
      <c r="AH44" s="56" t="n">
        <v>0.08735311657441393</v>
      </c>
      <c r="AJ44" s="15" t="n">
        <v>36.693</v>
      </c>
      <c r="AK44" s="15" t="n">
        <v>39.568</v>
      </c>
      <c r="AL44" s="15" t="n">
        <v>46.933</v>
      </c>
      <c r="AM44" s="15" t="n">
        <v>55.12</v>
      </c>
      <c r="AN44" s="15" t="n">
        <v>74.58</v>
      </c>
      <c r="AP44" s="15" t="n">
        <v>2157.5</v>
      </c>
      <c r="AQ44" s="15" t="n">
        <v>2321.2</v>
      </c>
      <c r="AR44" s="15" t="n">
        <v>2366.75</v>
      </c>
      <c r="AS44" s="15" t="n">
        <v>2479.25</v>
      </c>
      <c r="AT44" s="15" t="n">
        <v>2539</v>
      </c>
      <c r="AV44" s="15" t="n">
        <v>521</v>
      </c>
      <c r="AW44" s="15" t="n">
        <v>1016</v>
      </c>
      <c r="AX44" s="15" t="n">
        <v>1070</v>
      </c>
      <c r="AY44" s="15" t="n">
        <v>1155</v>
      </c>
      <c r="AZ44" s="15">
        <f>_xll.BDP($B44,"BEST_EBIT","BEST_FPERIOD_OVERRIDE=28Y")</f>
        <v/>
      </c>
      <c r="BB44" s="57" t="n">
        <v>6335.576517029819</v>
      </c>
      <c r="BC44" s="57" t="n">
        <v>6331.099999999999</v>
      </c>
      <c r="BD44" s="15" t="n">
        <v>4.47651702982</v>
      </c>
      <c r="BE44" s="16" t="n">
        <v>1054.9</v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15" t="n">
        <v>11.186193543</v>
      </c>
      <c r="E45" s="58" t="n">
        <v>142.6</v>
      </c>
      <c r="F45" s="59" t="n">
        <v>9.294746447660017</v>
      </c>
      <c r="G45" s="59" t="n">
        <v>8.635620420274934</v>
      </c>
      <c r="H45" s="59" t="n">
        <v>7.857615164205422</v>
      </c>
      <c r="I45" s="15" t="n">
        <v>0</v>
      </c>
      <c r="J45" s="15" t="n">
        <v>6.403375</v>
      </c>
      <c r="K45" s="61" t="n">
        <v>0.2545532629277529</v>
      </c>
      <c r="L45" s="15" t="n">
        <v>0.07065791899456549</v>
      </c>
      <c r="M45" s="61" t="n">
        <v>0.06227422557650253</v>
      </c>
      <c r="N45" s="61" t="n">
        <v>0.02400756312345376</v>
      </c>
      <c r="O45" s="61" t="n">
        <v>0.07579652471013087</v>
      </c>
      <c r="Q45" s="62" t="n">
        <v>0.01959102</v>
      </c>
      <c r="T45" s="63" t="n">
        <v>1.226276070467079</v>
      </c>
      <c r="AB45" s="15" t="n">
        <v>1577.196</v>
      </c>
      <c r="AC45" s="15" t="n">
        <v>2625.449</v>
      </c>
      <c r="AD45" s="15" t="n">
        <v>5974.579</v>
      </c>
      <c r="AE45" s="15" t="n">
        <v>144.704</v>
      </c>
      <c r="AF45" s="16" t="n">
        <v>20470.009</v>
      </c>
      <c r="AG45" s="15" t="n">
        <v>8600.028</v>
      </c>
      <c r="AH45" s="56" t="n">
        <v>0.07065791899456549</v>
      </c>
      <c r="AJ45" s="15" t="n">
        <v>12.305</v>
      </c>
      <c r="AK45" s="15" t="n">
        <v>14.576</v>
      </c>
      <c r="AL45" s="15" t="n">
        <v>15.342</v>
      </c>
      <c r="AM45" s="15" t="n">
        <v>16.513</v>
      </c>
      <c r="AN45" s="15" t="n">
        <v>18.148</v>
      </c>
      <c r="AP45" s="15" t="n">
        <v>5813.666666666667</v>
      </c>
      <c r="AQ45" s="15" t="n">
        <v>6031.125</v>
      </c>
      <c r="AR45" s="15" t="n">
        <v>6403.375</v>
      </c>
      <c r="AS45" s="15" t="n">
        <v>6783.625</v>
      </c>
      <c r="AT45" s="15" t="n">
        <v>7229.5</v>
      </c>
      <c r="AV45" s="15" t="n">
        <v>1546</v>
      </c>
      <c r="AW45" s="15" t="n">
        <v>1681</v>
      </c>
      <c r="AX45" s="15" t="n">
        <v>1630</v>
      </c>
      <c r="AY45" s="15" t="n">
        <v>1681.5</v>
      </c>
      <c r="AZ45" s="15" t="n">
        <v>1805</v>
      </c>
      <c r="BB45" s="57" t="n">
        <v>2491.931193543</v>
      </c>
      <c r="BC45" s="57" t="n">
        <v>2480.745</v>
      </c>
      <c r="BD45" s="15" t="n">
        <v>11.186193543</v>
      </c>
      <c r="BE45" s="16">
        <f>_xll.BDP($B45,"EBITDA")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15" t="n">
        <v>61.89559505952001</v>
      </c>
      <c r="E46" s="58" t="n">
        <v>107.04</v>
      </c>
      <c r="F46" s="59" t="n">
        <v>11.67794021383373</v>
      </c>
      <c r="G46" s="59" t="n">
        <v>9.938718662952647</v>
      </c>
      <c r="H46" s="59" t="n">
        <v>8.559091636014713</v>
      </c>
      <c r="I46" s="15" t="n">
        <v>-0.03904555314533623</v>
      </c>
      <c r="J46" s="15" t="n">
        <v>23.13966666666667</v>
      </c>
      <c r="K46" s="61" t="n">
        <v>0.3021651132975122</v>
      </c>
      <c r="L46" s="61" t="n">
        <v>0.1042182448598488</v>
      </c>
      <c r="M46" s="15" t="n">
        <v>0.1604210500469614</v>
      </c>
      <c r="N46" s="15" t="n">
        <v>0.1839269257738438</v>
      </c>
      <c r="O46" s="61" t="n">
        <v>0.1627671313053276</v>
      </c>
      <c r="Q46" s="62" t="n">
        <v>-0.2605692</v>
      </c>
      <c r="T46" s="63" t="n">
        <v>0.7174630479864885</v>
      </c>
      <c r="AB46" s="15" t="n">
        <v>6813</v>
      </c>
      <c r="AC46" s="15" t="n">
        <v>18347</v>
      </c>
      <c r="AD46" s="15" t="n">
        <v>42515</v>
      </c>
      <c r="AE46" s="15" t="n">
        <v>18671</v>
      </c>
      <c r="AF46" s="16">
        <f>IF(ISNUMBER(_xlfn.SINGLE(_xll.BDP($B46,"BS_LONG_TERM_INVESTMENTS"))),_xlfn.SINGLE(_xll.BDP($B46,"BS_LONG_TERM_INVESTMENTS")),0)</f>
        <v/>
      </c>
      <c r="AG46" s="15" t="n">
        <v>60862</v>
      </c>
      <c r="AH46" s="56" t="n">
        <v>0.1042182448598488</v>
      </c>
      <c r="AJ46" s="15" t="n">
        <v>7.098</v>
      </c>
      <c r="AK46" s="15" t="n">
        <v>7.955</v>
      </c>
      <c r="AL46" s="15" t="n">
        <v>9.166</v>
      </c>
      <c r="AM46" s="15" t="n">
        <v>10.77</v>
      </c>
      <c r="AN46" s="48" t="n">
        <v>12.506</v>
      </c>
      <c r="AP46" s="15" t="n">
        <v>16054.33333333333</v>
      </c>
      <c r="AQ46" s="15" t="n">
        <v>19560.71428571429</v>
      </c>
      <c r="AR46" s="15" t="n">
        <v>23139.66666666667</v>
      </c>
      <c r="AS46" s="15" t="n">
        <v>26689.66666666667</v>
      </c>
      <c r="AT46" s="15" t="n">
        <v>30565.5</v>
      </c>
      <c r="AV46" s="15" t="n">
        <v>5455.2</v>
      </c>
      <c r="AW46" s="15" t="n">
        <v>5933.75</v>
      </c>
      <c r="AX46" s="15" t="n">
        <v>6992</v>
      </c>
      <c r="AY46" s="15" t="n">
        <v>8194.799999999999</v>
      </c>
      <c r="AZ46" s="15" t="n">
        <v>9847</v>
      </c>
      <c r="BB46" s="57" t="n">
        <v>-262.10440494048</v>
      </c>
      <c r="BC46" s="57" t="n">
        <v>-324</v>
      </c>
      <c r="BD46" s="15" t="n">
        <v>61.89559505952001</v>
      </c>
      <c r="BE46" s="16" t="n">
        <v>8298</v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15" t="n">
        <v>100.052896310073</v>
      </c>
      <c r="E47" s="58" t="n">
        <v>40.89</v>
      </c>
      <c r="F47" s="59" t="n">
        <v>14.74576271186441</v>
      </c>
      <c r="G47" s="59" t="n">
        <v>11.94566170026293</v>
      </c>
      <c r="H47" s="59" t="n">
        <v>11.40585774058578</v>
      </c>
      <c r="I47" s="15" t="n">
        <v>8.694878289010834</v>
      </c>
      <c r="J47" s="15" t="n">
        <v>46.822</v>
      </c>
      <c r="K47" s="61" t="n">
        <v>0.1325730069910156</v>
      </c>
      <c r="L47" s="15" t="n">
        <v>0.02652934454216889</v>
      </c>
      <c r="M47" s="15" t="n">
        <v>-0.4536612480164464</v>
      </c>
      <c r="N47" s="15" t="n">
        <v>0.1760741182107861</v>
      </c>
      <c r="O47" s="61" t="n">
        <v>0.1334447898416047</v>
      </c>
      <c r="Q47" s="62" t="n">
        <v>-0.1089562</v>
      </c>
      <c r="T47" s="63" t="n">
        <v>1.105008500471785</v>
      </c>
      <c r="AB47" s="15" t="n">
        <v>18049</v>
      </c>
      <c r="AC47" s="15" t="n">
        <v>263420</v>
      </c>
      <c r="AD47" s="15" t="n">
        <v>166194</v>
      </c>
      <c r="AE47" s="15" t="n">
        <v>16242</v>
      </c>
      <c r="AF47" s="16" t="n">
        <v>85613</v>
      </c>
      <c r="AG47" s="15" t="n">
        <v>429614</v>
      </c>
      <c r="AH47" s="56" t="n">
        <v>0.02652934454216889</v>
      </c>
      <c r="AJ47" s="15" t="n">
        <v>3.827</v>
      </c>
      <c r="AK47" s="15" t="n">
        <v>2.462</v>
      </c>
      <c r="AL47" s="15" t="n">
        <v>2.773</v>
      </c>
      <c r="AM47" s="15" t="n">
        <v>3.423</v>
      </c>
      <c r="AN47" s="48" t="n">
        <v>3.585</v>
      </c>
      <c r="AP47" s="15" t="n">
        <v>63629.66666666666</v>
      </c>
      <c r="AQ47" s="15" t="n">
        <v>65025.5</v>
      </c>
      <c r="AR47" s="15" t="n">
        <v>46822</v>
      </c>
      <c r="AS47" s="15" t="n">
        <v>8849</v>
      </c>
      <c r="AT47" s="15" t="n">
        <v>10604</v>
      </c>
      <c r="AV47" s="15" t="n">
        <v>3898.5</v>
      </c>
      <c r="AW47" s="15" t="n">
        <v>5383.333333333333</v>
      </c>
      <c r="AX47" s="15" t="n">
        <v>6207.333333333333</v>
      </c>
      <c r="AY47" s="15" t="n">
        <v>7236.333333333333</v>
      </c>
      <c r="AZ47" s="15" t="n">
        <v>8757</v>
      </c>
      <c r="BB47" s="57" t="n">
        <v>247278.0528963101</v>
      </c>
      <c r="BC47" s="57" t="n">
        <v>247178</v>
      </c>
      <c r="BD47" s="15" t="n">
        <v>100.052896310073</v>
      </c>
      <c r="BE47" s="16" t="n">
        <v>28428</v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15" t="n">
        <v>66.1506304238229</v>
      </c>
      <c r="E48" s="58" t="n">
        <v>313.91</v>
      </c>
      <c r="F48" s="59" t="n">
        <v>42.36302294197031</v>
      </c>
      <c r="G48" s="59" t="n">
        <v>31.15732009925558</v>
      </c>
      <c r="H48" s="59" t="n">
        <v>24.30584591560201</v>
      </c>
      <c r="I48" s="15" t="n">
        <v>1.470747074707471</v>
      </c>
      <c r="J48" s="15" t="n">
        <v>26.8022</v>
      </c>
      <c r="K48" s="61" t="n">
        <v>0.09495975833262227</v>
      </c>
      <c r="L48" s="15" t="n">
        <v>0.4727449117787316</v>
      </c>
      <c r="M48" s="61" t="n">
        <v>0.2696135384057345</v>
      </c>
      <c r="N48" s="61" t="n">
        <v>0.3133778153158688</v>
      </c>
      <c r="O48" s="61" t="n">
        <v>0.3594933800711522</v>
      </c>
      <c r="Q48" s="62" t="n">
        <v>-0.2561727</v>
      </c>
      <c r="T48" s="63" t="n">
        <v>1.178408985822929</v>
      </c>
      <c r="AB48" s="15" t="n">
        <v>1881</v>
      </c>
      <c r="AC48" s="15" t="n">
        <v>5595</v>
      </c>
      <c r="AD48" s="15" t="n">
        <v>4203</v>
      </c>
      <c r="AE48" s="15" t="n">
        <v>2327</v>
      </c>
      <c r="AF48" s="16">
        <f>IF(ISNUMBER(_xlfn.SINGLE(_xll.BDP($B48,"BS_LONG_TERM_INVESTMENTS"))),_xlfn.SINGLE(_xll.BDP($B48,"BS_LONG_TERM_INVESTMENTS")),0)</f>
        <v/>
      </c>
      <c r="AG48" s="15" t="n">
        <v>9798</v>
      </c>
      <c r="AH48" s="56" t="n">
        <v>0.4727449117787316</v>
      </c>
      <c r="AJ48" s="15" t="n">
        <v>1.424</v>
      </c>
      <c r="AK48" s="15" t="n">
        <v>5.14</v>
      </c>
      <c r="AL48" s="15" t="n">
        <v>7.41</v>
      </c>
      <c r="AM48" s="15" t="n">
        <v>10.075</v>
      </c>
      <c r="AN48" s="48" t="n">
        <v>12.915</v>
      </c>
      <c r="AP48" s="15" t="n">
        <v>13471.41666666667</v>
      </c>
      <c r="AQ48" s="15" t="n">
        <v>19984.23076923077</v>
      </c>
      <c r="AR48" s="15" t="n">
        <v>26802.2</v>
      </c>
      <c r="AS48" s="15" t="n">
        <v>33017.95652173914</v>
      </c>
      <c r="AT48" s="15" t="n">
        <v>40898</v>
      </c>
      <c r="AV48" s="15" t="n">
        <v>968</v>
      </c>
      <c r="AW48" s="15" t="n">
        <v>1912.304347826087</v>
      </c>
      <c r="AX48" s="15" t="n">
        <v>2545.130434782609</v>
      </c>
      <c r="AY48" s="15" t="n">
        <v>3434</v>
      </c>
      <c r="AZ48" s="15" t="n">
        <v>4332.375</v>
      </c>
      <c r="BB48" s="57" t="n">
        <v>3334.150630423823</v>
      </c>
      <c r="BC48" s="57" t="n">
        <v>3268</v>
      </c>
      <c r="BD48" s="15" t="n">
        <v>66.1506304238229</v>
      </c>
      <c r="BE48" s="16" t="n">
        <v>2222</v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15" t="n">
        <v>794.5457376750001</v>
      </c>
      <c r="E49" s="58" t="n">
        <v>294.6</v>
      </c>
      <c r="F49" s="59" t="n">
        <v>13.67942050520059</v>
      </c>
      <c r="G49" s="59" t="n">
        <v>12.68078512396694</v>
      </c>
      <c r="H49" s="59" t="n">
        <v>11.52491980283233</v>
      </c>
      <c r="I49" s="15" t="n">
        <v>0</v>
      </c>
      <c r="J49" s="15" t="n">
        <v>195.876</v>
      </c>
      <c r="K49" s="61" t="n">
        <v>0.4522733770344504</v>
      </c>
      <c r="L49" s="15" t="n">
        <v>0.05162492530399945</v>
      </c>
      <c r="M49" s="15" t="n">
        <v>0.05175360749192626</v>
      </c>
      <c r="N49" s="61" t="n">
        <v>0.03898405045133257</v>
      </c>
      <c r="O49" s="61" t="n">
        <v>0.08172530909485243</v>
      </c>
      <c r="Q49" s="62" t="n">
        <v>-0.08571783999999999</v>
      </c>
      <c r="T49" s="63" t="n">
        <v>1.673829154848949</v>
      </c>
      <c r="AB49" s="15" t="n">
        <v>72595</v>
      </c>
      <c r="AC49" s="15" t="n">
        <v>1149356</v>
      </c>
      <c r="AD49" s="15" t="n">
        <v>362438</v>
      </c>
      <c r="AE49" s="15" t="n">
        <v>21742</v>
      </c>
      <c r="AF49" s="16" t="n">
        <v>270134</v>
      </c>
      <c r="AG49" s="15" t="n">
        <v>1511794</v>
      </c>
      <c r="AH49" s="56" t="n">
        <v>0.05162492530399945</v>
      </c>
      <c r="AJ49" s="15" t="n">
        <v>17.815</v>
      </c>
      <c r="AK49" s="15" t="n">
        <v>20.195</v>
      </c>
      <c r="AL49" s="15" t="n">
        <v>21.536</v>
      </c>
      <c r="AM49" s="15" t="n">
        <v>23.232</v>
      </c>
      <c r="AN49" s="15" t="n">
        <v>25.562</v>
      </c>
      <c r="AP49" s="15" t="n">
        <v>177179.3846153846</v>
      </c>
      <c r="AQ49" s="15" t="n">
        <v>184149.5625</v>
      </c>
      <c r="AR49" s="15" t="n">
        <v>195876</v>
      </c>
      <c r="AS49" s="15" t="n">
        <v>204986</v>
      </c>
      <c r="AT49" s="15" t="n">
        <v>214246</v>
      </c>
      <c r="AV49" s="15" t="n">
        <v>79575.5</v>
      </c>
      <c r="AW49" s="15" t="n">
        <v>86131.88888888889</v>
      </c>
      <c r="AX49" s="15" t="n">
        <v>88589.5</v>
      </c>
      <c r="AY49" s="15" t="n">
        <v>92298.39999999999</v>
      </c>
      <c r="AZ49" s="15" t="n">
        <v>96603</v>
      </c>
      <c r="BB49" s="57" t="n">
        <v>1128408.545737675</v>
      </c>
      <c r="BC49" s="57" t="n">
        <v>1127614</v>
      </c>
      <c r="BD49" s="15" t="n">
        <v>794.5457376750001</v>
      </c>
      <c r="BE49" s="16">
        <f>_xll.BDP($B49,"EBITDA")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4" t="n"/>
      <c r="F50" s="65">
        <f>AVERAGE(F42:F49)</f>
        <v/>
      </c>
      <c r="G50" s="65">
        <f>AVERAGE(G42:G49)</f>
        <v/>
      </c>
      <c r="H50" s="65">
        <f>AVERAGE(H42:H49)</f>
        <v/>
      </c>
      <c r="I50" s="66" t="n"/>
      <c r="J50" s="28" t="n"/>
      <c r="K50" s="79" t="n"/>
      <c r="L50" s="79" t="n"/>
      <c r="M50" s="79" t="n"/>
      <c r="N50" s="79" t="n"/>
      <c r="O50" s="79">
        <f>AVERAGE(O42:O49)</f>
        <v/>
      </c>
      <c r="P50" s="27" t="n"/>
      <c r="Q50" s="27" t="n"/>
      <c r="R50" s="27" t="n"/>
      <c r="S50" s="27" t="n"/>
      <c r="T50" s="69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58" t="n"/>
      <c r="F51" s="59" t="n"/>
      <c r="G51" s="59" t="n"/>
      <c r="H51" s="59" t="n"/>
      <c r="I51" s="60" t="n"/>
      <c r="J51" s="15" t="n"/>
      <c r="K51" s="61" t="n"/>
      <c r="L51" s="61" t="n"/>
      <c r="M51" s="61" t="n"/>
      <c r="N51" s="61" t="n"/>
      <c r="O51" s="6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15" t="n">
        <v>139.44160649615</v>
      </c>
      <c r="E52" s="58" t="n">
        <v>113.05</v>
      </c>
      <c r="F52" s="59" t="n">
        <v>17.97297297297297</v>
      </c>
      <c r="G52" s="59" t="n">
        <v>14.50288646568313</v>
      </c>
      <c r="H52" s="59" t="n">
        <v>13.53243954991621</v>
      </c>
      <c r="I52" s="60" t="n">
        <v>1.463923658751823</v>
      </c>
      <c r="J52" s="15" t="n">
        <v>15.62081818181818</v>
      </c>
      <c r="K52" s="61" t="n">
        <v>0.562582567552625</v>
      </c>
      <c r="L52" s="61" t="n">
        <v>0.1808435779054647</v>
      </c>
      <c r="M52" s="15" t="n">
        <v>0.1573516341745806</v>
      </c>
      <c r="N52" s="15" t="n">
        <v>0.1651678319082959</v>
      </c>
      <c r="O52" s="61" t="n">
        <v>0.1606548724442267</v>
      </c>
      <c r="Q52" s="62" t="n">
        <v>-0.2665758</v>
      </c>
      <c r="T52" s="57" t="n">
        <v>1.118731893999201</v>
      </c>
      <c r="AB52" s="15" t="n">
        <v>6747.658</v>
      </c>
      <c r="AC52" s="15" t="n">
        <v>13306.165</v>
      </c>
      <c r="AD52" s="15" t="n">
        <v>21881.172</v>
      </c>
      <c r="AE52" s="15" t="n">
        <v>2631.241</v>
      </c>
      <c r="AF52" s="16" t="n">
        <v>32212.111</v>
      </c>
      <c r="AG52" s="15" t="n">
        <v>35187.337</v>
      </c>
      <c r="AH52" s="56" t="n">
        <v>0.1808435779054647</v>
      </c>
      <c r="AJ52" s="15" t="n">
        <v>4.432</v>
      </c>
      <c r="AK52" s="15" t="n">
        <v>5.343</v>
      </c>
      <c r="AL52" s="15" t="n">
        <v>6.29</v>
      </c>
      <c r="AM52" s="15" t="n">
        <v>7.795</v>
      </c>
      <c r="AN52" s="15" t="n">
        <v>8.354000000000001</v>
      </c>
      <c r="AP52" s="15" t="n">
        <v>11378.07142857143</v>
      </c>
      <c r="AQ52" s="15" t="n">
        <v>12722.90909090909</v>
      </c>
      <c r="AR52" s="15" t="n">
        <v>15620.81818181818</v>
      </c>
      <c r="AS52" s="15" t="n">
        <v>19054.6923076923</v>
      </c>
      <c r="AT52" s="15" t="n">
        <v>19723.42857142857</v>
      </c>
      <c r="AV52" s="15" t="n">
        <v>6341.5</v>
      </c>
      <c r="AW52" s="15" t="n">
        <v>7632.2</v>
      </c>
      <c r="AX52" s="15" t="n">
        <v>8788</v>
      </c>
      <c r="AY52" s="15" t="n">
        <v>11557.28571428572</v>
      </c>
      <c r="AZ52" s="15" t="n">
        <v>12073</v>
      </c>
      <c r="BB52" s="57" t="n">
        <v>10814.36560649615</v>
      </c>
      <c r="BC52" s="57" t="n">
        <v>10674.924</v>
      </c>
      <c r="BD52" s="15" t="n">
        <v>139.44160649615</v>
      </c>
      <c r="BE52" s="16" t="n">
        <v>7291.789000000001</v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15" t="n">
        <v>81.33618805962001</v>
      </c>
      <c r="E53" s="58" t="n">
        <v>91.23</v>
      </c>
      <c r="F53" s="59" t="n">
        <v>14.18376865671642</v>
      </c>
      <c r="G53" s="59" t="n">
        <v>11.64241960183767</v>
      </c>
      <c r="H53" s="59" t="n">
        <v>10.19899385131358</v>
      </c>
      <c r="I53" s="60" t="n">
        <v>8.099103675898002</v>
      </c>
      <c r="J53" s="15" t="n">
        <v>11.10285714285714</v>
      </c>
      <c r="K53" s="61" t="n">
        <v>0.5335863784525647</v>
      </c>
      <c r="L53" s="61" t="n">
        <v>0.03624069560038526</v>
      </c>
      <c r="M53" s="15" t="n">
        <v>0.2204081205238995</v>
      </c>
      <c r="N53" s="15" t="n">
        <v>0.1689694543772766</v>
      </c>
      <c r="O53" s="61" t="n">
        <v>0.218277279558678</v>
      </c>
      <c r="Q53" s="62" t="n">
        <v>-0.2843583</v>
      </c>
      <c r="T53" s="57" t="n">
        <v>0.649805086694948</v>
      </c>
      <c r="AB53" s="15" t="n">
        <v>7099.16</v>
      </c>
      <c r="AC53" s="15" t="n">
        <v>100876.41</v>
      </c>
      <c r="AD53" s="15" t="n">
        <v>81631.91099999999</v>
      </c>
      <c r="AE53" s="15" t="n">
        <v>16892.147</v>
      </c>
      <c r="AF53" s="16" t="n">
        <v>319958.053</v>
      </c>
      <c r="AG53" s="15" t="n">
        <v>182508.321</v>
      </c>
      <c r="AH53" s="56" t="n">
        <v>0.03624069560038526</v>
      </c>
      <c r="AJ53" s="15" t="n">
        <v>4.691</v>
      </c>
      <c r="AK53" s="15" t="n">
        <v>4.947</v>
      </c>
      <c r="AL53" s="15" t="n">
        <v>6.432</v>
      </c>
      <c r="AM53" s="15" t="n">
        <v>7.836</v>
      </c>
      <c r="AN53" s="15" t="n">
        <v>8.945</v>
      </c>
      <c r="AP53" s="15" t="n">
        <v>7092.833333333333</v>
      </c>
      <c r="AQ53" s="15" t="n">
        <v>7829.8</v>
      </c>
      <c r="AR53" s="15" t="n">
        <v>11102.85714285714</v>
      </c>
      <c r="AS53" s="15" t="n">
        <v>13616.33333333333</v>
      </c>
      <c r="AT53" s="15" t="n">
        <v>14232</v>
      </c>
      <c r="AV53" s="15" t="n">
        <v>4424.375</v>
      </c>
      <c r="AW53" s="15" t="n">
        <v>5047</v>
      </c>
      <c r="AX53" s="15" t="n">
        <v>5924.333333333333</v>
      </c>
      <c r="AY53" s="15" t="n">
        <v>7086.533333333333</v>
      </c>
      <c r="AZ53" s="15" t="n">
        <v>8062</v>
      </c>
      <c r="BB53" s="57" t="n">
        <v>84065.59918805963</v>
      </c>
      <c r="BC53" s="57" t="n">
        <v>83984.26300000001</v>
      </c>
      <c r="BD53" s="15" t="n">
        <v>81.33618805962001</v>
      </c>
      <c r="BE53" s="16" t="n">
        <v>10374.675</v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15" t="n">
        <v>115.17089044782</v>
      </c>
      <c r="E54" s="58" t="n">
        <v>67.73999999999999</v>
      </c>
      <c r="F54" s="59" t="n">
        <v>27.41400242816673</v>
      </c>
      <c r="G54" s="59" t="n">
        <v>24.60588448964765</v>
      </c>
      <c r="H54" s="59" t="n">
        <v>21.2818096135721</v>
      </c>
      <c r="I54" s="60" t="n">
        <v>0.3916153169014084</v>
      </c>
      <c r="J54" s="15" t="n">
        <v>6.884714285714287</v>
      </c>
      <c r="K54" s="61" t="n">
        <v>0.7614383831676799</v>
      </c>
      <c r="L54" s="61" t="n">
        <v>0.1076294109655028</v>
      </c>
      <c r="M54" s="61" t="n">
        <v>0.125535622404968</v>
      </c>
      <c r="N54" s="61" t="n">
        <v>0.120020541243941</v>
      </c>
      <c r="O54" s="61" t="n">
        <v>0.1413179748405216</v>
      </c>
      <c r="Q54" s="62" t="n">
        <v>0.05333545</v>
      </c>
      <c r="T54" s="15" t="n">
        <v>1.939880787217879</v>
      </c>
      <c r="AB54" s="15" t="n">
        <v>4771</v>
      </c>
      <c r="AC54" s="15" t="n">
        <v>27228</v>
      </c>
      <c r="AD54" s="15" t="n">
        <v>20472</v>
      </c>
      <c r="AE54" s="15" t="n">
        <v>4963</v>
      </c>
      <c r="AF54" s="16" t="n">
        <v>95636</v>
      </c>
      <c r="AG54" s="15" t="n">
        <v>47700</v>
      </c>
      <c r="AH54" s="56" t="n">
        <v>0.1076294109655028</v>
      </c>
      <c r="AJ54" s="15" t="n">
        <v>1.73</v>
      </c>
      <c r="AK54" s="15" t="n">
        <v>2.141</v>
      </c>
      <c r="AL54" s="15" t="n">
        <v>2.471</v>
      </c>
      <c r="AM54" s="15" t="n">
        <v>2.753</v>
      </c>
      <c r="AN54" s="15" t="n">
        <v>3.183</v>
      </c>
      <c r="AP54" s="15" t="n">
        <v>5164.666666666667</v>
      </c>
      <c r="AQ54" s="15" t="n">
        <v>6122.375</v>
      </c>
      <c r="AR54" s="15" t="n">
        <v>6884.714285714286</v>
      </c>
      <c r="AS54" s="15" t="n">
        <v>7588.875</v>
      </c>
      <c r="AT54" s="15" t="n">
        <v>8729.666666666666</v>
      </c>
      <c r="AV54" s="15" t="n">
        <v>3668</v>
      </c>
      <c r="AW54" s="15" t="n">
        <v>4715</v>
      </c>
      <c r="AX54" s="15" t="n">
        <v>5242.285714285714</v>
      </c>
      <c r="AY54" s="15" t="n">
        <v>5954.857142857142</v>
      </c>
      <c r="AZ54" s="15" t="n">
        <v>6624.6</v>
      </c>
      <c r="BB54" s="57" t="n">
        <v>22380.17089044782</v>
      </c>
      <c r="BC54" s="57" t="n">
        <v>22265</v>
      </c>
      <c r="BD54" s="15" t="n">
        <v>115.17089044782</v>
      </c>
      <c r="BE54" s="16" t="n">
        <v>9088</v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15" t="n">
        <v>205.85848082388</v>
      </c>
      <c r="E55" s="58" t="n">
        <v>300.18</v>
      </c>
      <c r="F55" s="59" t="n">
        <v>17.05180640763463</v>
      </c>
      <c r="G55" s="59" t="n">
        <v>14.92170800815231</v>
      </c>
      <c r="H55" s="59" t="n">
        <v>13.10600768424729</v>
      </c>
      <c r="I55" s="60" t="n">
        <v>0.4186339578257582</v>
      </c>
      <c r="J55" s="15" t="n">
        <v>79.07944444444443</v>
      </c>
      <c r="K55" s="61" t="n">
        <v>0.1933972868353203</v>
      </c>
      <c r="L55" s="61" t="n">
        <v>0.1636516211061666</v>
      </c>
      <c r="M55" s="61" t="n">
        <v>0.08894259246192515</v>
      </c>
      <c r="N55" s="15" t="n">
        <v>0.1050261138343518</v>
      </c>
      <c r="O55" s="61" t="n">
        <v>0.14045627035421</v>
      </c>
      <c r="Q55" s="62" t="n">
        <v>-0.1885931</v>
      </c>
      <c r="T55" s="57" t="n">
        <v>1.214029559850371</v>
      </c>
      <c r="AB55" s="15" t="n">
        <v>13795</v>
      </c>
      <c r="AC55" s="15" t="n">
        <v>57758</v>
      </c>
      <c r="AD55" s="15" t="n">
        <v>33474</v>
      </c>
      <c r="AE55" s="15" t="n">
        <v>47792</v>
      </c>
      <c r="AF55" s="16" t="n">
        <v>158985</v>
      </c>
      <c r="AG55" s="15" t="n">
        <v>91232</v>
      </c>
      <c r="AH55" s="56" t="n">
        <v>0.1636516211061666</v>
      </c>
      <c r="AJ55" s="15" t="n">
        <v>13.345</v>
      </c>
      <c r="AK55" s="15" t="n">
        <v>15.441</v>
      </c>
      <c r="AL55" s="15" t="n">
        <v>17.604</v>
      </c>
      <c r="AM55" s="15" t="n">
        <v>20.117</v>
      </c>
      <c r="AN55" s="15" t="n">
        <v>22.904</v>
      </c>
      <c r="AP55" s="15" t="n">
        <v>65928.73076923077</v>
      </c>
      <c r="AQ55" s="15" t="n">
        <v>72144.28571428572</v>
      </c>
      <c r="AR55" s="15" t="n">
        <v>79079.44444444444</v>
      </c>
      <c r="AS55" s="15" t="n">
        <v>86088.23076923078</v>
      </c>
      <c r="AT55" s="15" t="n">
        <v>93157.3</v>
      </c>
      <c r="AV55" s="15" t="n">
        <v>12492.09090909091</v>
      </c>
      <c r="AW55" s="15" t="n">
        <v>13863.75</v>
      </c>
      <c r="AX55" s="15" t="n">
        <v>15293.75</v>
      </c>
      <c r="AY55" s="15" t="n">
        <v>17029</v>
      </c>
      <c r="AZ55" s="15" t="n">
        <v>18706.75</v>
      </c>
      <c r="BB55" s="57" t="n">
        <v>10171.85848082388</v>
      </c>
      <c r="BC55" s="57" t="n">
        <v>9966</v>
      </c>
      <c r="BD55" s="15" t="n">
        <v>205.85848082388</v>
      </c>
      <c r="BE55" s="16" t="n">
        <v>23806</v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15" t="n">
        <v>69.23419783743999</v>
      </c>
      <c r="E56" s="58" t="n">
        <v>323.14</v>
      </c>
      <c r="F56" s="59" t="n">
        <v>16.94938368738526</v>
      </c>
      <c r="G56" s="59" t="n">
        <v>15.054975773388</v>
      </c>
      <c r="H56" s="59" t="n">
        <v>13.59616274666555</v>
      </c>
      <c r="I56" s="60" t="n">
        <v>2.499623352165725</v>
      </c>
      <c r="J56" s="15" t="n">
        <v>18.04040909090909</v>
      </c>
      <c r="K56" s="61" t="n">
        <v>0.3309237595398209</v>
      </c>
      <c r="L56" s="61" t="n">
        <v>0.1428472796390459</v>
      </c>
      <c r="M56" s="61" t="n">
        <v>0.05420435624346154</v>
      </c>
      <c r="N56" s="61" t="n">
        <v>0.08042363629788429</v>
      </c>
      <c r="O56" s="61" t="n">
        <v>0.1189620756056438</v>
      </c>
      <c r="Q56" s="62" t="n">
        <v>-0.08427794999999999</v>
      </c>
      <c r="T56" s="57" t="n">
        <v>1.424772020923041</v>
      </c>
      <c r="AB56" s="15" t="n">
        <v>4344</v>
      </c>
      <c r="AC56" s="15" t="n">
        <v>16071</v>
      </c>
      <c r="AD56" s="15" t="n">
        <v>9655</v>
      </c>
      <c r="AE56" s="15" t="n">
        <v>1195</v>
      </c>
      <c r="AF56" s="16" t="n">
        <v>192</v>
      </c>
      <c r="AG56" s="15" t="n">
        <v>25726</v>
      </c>
      <c r="AH56" s="56" t="n">
        <v>0.1428472796390459</v>
      </c>
      <c r="AJ56" s="15" t="n">
        <v>15.635</v>
      </c>
      <c r="AK56" s="15" t="n">
        <v>16.964</v>
      </c>
      <c r="AL56" s="15" t="n">
        <v>19.065</v>
      </c>
      <c r="AM56" s="15" t="n">
        <v>21.464</v>
      </c>
      <c r="AN56" s="15" t="n">
        <v>23.767</v>
      </c>
      <c r="AP56" s="15" t="n">
        <v>15746.8</v>
      </c>
      <c r="AQ56" s="15" t="n">
        <v>17261.86363636364</v>
      </c>
      <c r="AR56" s="15" t="n">
        <v>18040.40909090909</v>
      </c>
      <c r="AS56" s="15" t="n">
        <v>19170.22727272727</v>
      </c>
      <c r="AT56" s="15" t="n">
        <v>20223.76923076923</v>
      </c>
      <c r="AV56" s="15" t="n">
        <v>4923.210526315789</v>
      </c>
      <c r="AW56" s="15" t="n">
        <v>5558.3</v>
      </c>
      <c r="AX56" s="15" t="n">
        <v>5970</v>
      </c>
      <c r="AY56" s="15" t="n">
        <v>6506</v>
      </c>
      <c r="AZ56" s="15" t="n">
        <v>7010.1</v>
      </c>
      <c r="BB56" s="57" t="n">
        <v>14945.23419783744</v>
      </c>
      <c r="BC56" s="57" t="n">
        <v>14876</v>
      </c>
      <c r="BD56" s="15" t="n">
        <v>69.23419783743999</v>
      </c>
      <c r="BE56" s="16" t="n">
        <v>5528</v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15">
        <f>BD57</f>
        <v/>
      </c>
      <c r="E57" s="58">
        <f t="array" ref="E57">_xll.BDP($B57,"px_last")</f>
        <v/>
      </c>
      <c r="F57" s="59">
        <f>$E57/AK57</f>
        <v/>
      </c>
      <c r="G57" s="59">
        <f>$E57/AL57</f>
        <v/>
      </c>
      <c r="H57" s="59">
        <f>$E57/AM57</f>
        <v/>
      </c>
      <c r="I57" s="60" t="n">
        <v>2.382778765557531</v>
      </c>
      <c r="J57" s="15" t="n">
        <v>28.2795652173913</v>
      </c>
      <c r="K57" s="61" t="n">
        <v>0.2630248101605511</v>
      </c>
      <c r="L57" s="61" t="n">
        <v>0.1189159846009212</v>
      </c>
      <c r="M57" s="61" t="n">
        <v>0.05057629086082094</v>
      </c>
      <c r="N57" s="61" t="n">
        <v>0.07108699967104815</v>
      </c>
      <c r="O57" s="61" t="n">
        <v>0.08722096750799158</v>
      </c>
      <c r="Q57" s="62">
        <f>_xll.BDP($B57,"chg_pct_ytd")/100</f>
        <v/>
      </c>
      <c r="T57" s="57">
        <f>F57/O57/100</f>
        <v/>
      </c>
      <c r="AB57" s="15" t="n">
        <v>6223</v>
      </c>
      <c r="AC57" s="15" t="n">
        <v>21449</v>
      </c>
      <c r="AD57" s="15" t="n">
        <v>15315</v>
      </c>
      <c r="AE57" s="15" t="n">
        <v>2687</v>
      </c>
      <c r="AF57" s="16">
        <f>IF(ISNUMBER(_xlfn.SINGLE(_xll.BDP($B57,"BS_LONG_TERM_INVESTMENTS"))),_xlfn.SINGLE(_xll.BDP($B57,"BS_LONG_TERM_INVESTMENTS")),0)</f>
        <v/>
      </c>
      <c r="AG57" s="15" t="n">
        <v>36764</v>
      </c>
      <c r="AH57" s="56" t="n">
        <v>0.1189159846009212</v>
      </c>
      <c r="AJ57" s="15" t="n">
        <v>8.712</v>
      </c>
      <c r="AK57" s="15" t="n">
        <v>9.602</v>
      </c>
      <c r="AL57" s="15" t="n">
        <v>10.348</v>
      </c>
      <c r="AM57" s="15" t="n">
        <v>11.299</v>
      </c>
      <c r="AN57" s="15" t="n">
        <v>12.34</v>
      </c>
      <c r="AP57" s="15" t="n">
        <v>24312.95</v>
      </c>
      <c r="AQ57" s="15" t="n">
        <v>26933.60869565217</v>
      </c>
      <c r="AR57" s="15" t="n">
        <v>28279.5652173913</v>
      </c>
      <c r="AS57" s="15" t="n">
        <v>29702.69565217391</v>
      </c>
      <c r="AT57" s="15" t="n">
        <v>31230.38461538462</v>
      </c>
      <c r="AV57" s="15" t="n">
        <v>6175.684210526316</v>
      </c>
      <c r="AW57" s="15" t="n">
        <v>7039</v>
      </c>
      <c r="AX57" s="15" t="n">
        <v>7438.227272727273</v>
      </c>
      <c r="AY57" s="15" t="n">
        <v>7981.863636363636</v>
      </c>
      <c r="AZ57" s="15" t="n">
        <v>8649.384615384615</v>
      </c>
      <c r="BB57" s="57">
        <f>_xll.BDP($B57,"CURR_ENTP_VAL","eqy_fund_crncy=USD")/1000</f>
        <v/>
      </c>
      <c r="BC57" s="57">
        <f>BB57-BD57</f>
        <v/>
      </c>
      <c r="BD57" s="15">
        <f t="array" ref="BD57">_xll.BDP($B57,"cur_mkt_cap")/1000000000</f>
        <v/>
      </c>
      <c r="BE57" s="16" t="n">
        <v>7462</v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15" t="n">
        <v>39.83442582467999</v>
      </c>
      <c r="E58" s="58" t="n">
        <v>544.78</v>
      </c>
      <c r="F58" s="59" t="n">
        <v>28.07854860323678</v>
      </c>
      <c r="G58" s="59" t="n">
        <v>24.80896215674666</v>
      </c>
      <c r="H58" s="59" t="n">
        <v>21.82699627388918</v>
      </c>
      <c r="I58" s="60" t="n">
        <v>3.130566879530415</v>
      </c>
      <c r="J58" s="15" t="n">
        <v>3.457111111111111</v>
      </c>
      <c r="K58" s="61" t="n">
        <v>0.5685382785884168</v>
      </c>
      <c r="L58" s="61" t="n">
        <v>0.3446624395759558</v>
      </c>
      <c r="M58" s="61" t="n">
        <v>0.08911315284555354</v>
      </c>
      <c r="N58" s="61" t="n">
        <v>0.1111640490848633</v>
      </c>
      <c r="O58" s="61" t="n">
        <v>0.1320946705238699</v>
      </c>
      <c r="Q58" s="62" t="n">
        <v>-0.05045924</v>
      </c>
      <c r="T58" s="57" t="n">
        <v>2.125638263215388</v>
      </c>
      <c r="AB58" s="15" t="n">
        <v>1713.567</v>
      </c>
      <c r="AC58" s="15" t="n">
        <v>6575.067</v>
      </c>
      <c r="AD58" s="15" t="n">
        <v>-2654.54</v>
      </c>
      <c r="AE58" s="15" t="n">
        <v>515.332</v>
      </c>
      <c r="AF58" s="16">
        <f>IF(ISNUMBER(_xlfn.SINGLE(_xll.BDP($B58,"BS_LONG_TERM_INVESTMENTS"))),_xlfn.SINGLE(_xll.BDP($B58,"BS_LONG_TERM_INVESTMENTS")),0)</f>
        <v/>
      </c>
      <c r="AG58" s="15" t="n">
        <v>3920.527</v>
      </c>
      <c r="AH58" s="56" t="n">
        <v>0.3446624395759558</v>
      </c>
      <c r="AJ58" s="15" t="n">
        <v>15.008</v>
      </c>
      <c r="AK58" s="15" t="n">
        <v>17.202</v>
      </c>
      <c r="AL58" s="15" t="n">
        <v>19.402</v>
      </c>
      <c r="AM58" s="15" t="n">
        <v>21.959</v>
      </c>
      <c r="AN58" s="15" t="n">
        <v>24.959</v>
      </c>
      <c r="AP58" s="15" t="n">
        <v>2860.833333333333</v>
      </c>
      <c r="AQ58" s="15" t="n">
        <v>3137.117647058823</v>
      </c>
      <c r="AR58" s="15" t="n">
        <v>3457.111111111111</v>
      </c>
      <c r="AS58" s="15" t="n">
        <v>3752</v>
      </c>
      <c r="AT58" s="15" t="n">
        <v>4052.75</v>
      </c>
      <c r="AV58" s="15" t="n">
        <v>1548.235294117647</v>
      </c>
      <c r="AW58" s="15" t="n">
        <v>1738</v>
      </c>
      <c r="AX58" s="15" t="n">
        <v>1965.5</v>
      </c>
      <c r="AY58" s="15" t="n">
        <v>2164.9375</v>
      </c>
      <c r="AZ58" s="15" t="n">
        <v>2384.428571428571</v>
      </c>
      <c r="BB58" s="57" t="n">
        <v>6099.569425824679</v>
      </c>
      <c r="BC58" s="57" t="n">
        <v>6059.735</v>
      </c>
      <c r="BD58" s="15" t="n">
        <v>39.83442582467999</v>
      </c>
      <c r="BE58" s="16" t="n">
        <v>1935.667</v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15" t="n">
        <v>25.85143274784</v>
      </c>
      <c r="E59" s="58" t="n">
        <v>1089.76</v>
      </c>
      <c r="F59" s="59" t="n">
        <v>25.96459460103404</v>
      </c>
      <c r="G59" s="59" t="n">
        <v>20.52510641503748</v>
      </c>
      <c r="H59" s="59" t="n">
        <v>17.25095376042804</v>
      </c>
      <c r="I59" s="60" t="n">
        <v>3.012473801398264</v>
      </c>
      <c r="J59" s="15" t="n">
        <v>2.496857142857143</v>
      </c>
      <c r="K59" s="61" t="n">
        <v>0.5846816950833429</v>
      </c>
      <c r="L59" s="61" t="n">
        <v>0.5604756638983051</v>
      </c>
      <c r="M59" s="61" t="n">
        <v>0.1813799940152347</v>
      </c>
      <c r="N59" s="61" t="n">
        <v>0.2273563558877805</v>
      </c>
      <c r="O59" s="61" t="n">
        <v>0.2886465030562864</v>
      </c>
      <c r="Q59" s="62" t="n">
        <v>-0.3554081</v>
      </c>
      <c r="T59" s="57" t="n">
        <v>0.8995291585420981</v>
      </c>
      <c r="AB59" s="15" t="n">
        <v>979.371</v>
      </c>
      <c r="AC59" s="15" t="n">
        <v>3084.493</v>
      </c>
      <c r="AD59" s="15" t="n">
        <v>-1745.784</v>
      </c>
      <c r="AE59" s="15" t="n">
        <v>134.136</v>
      </c>
      <c r="AF59" s="16" t="n">
        <v>54.625</v>
      </c>
      <c r="AG59" s="15" t="n">
        <v>1338.709</v>
      </c>
      <c r="AH59" s="56" t="n">
        <v>0.5604756638983051</v>
      </c>
      <c r="AJ59" s="15" t="n">
        <v>23.676</v>
      </c>
      <c r="AK59" s="15" t="n">
        <v>29.52</v>
      </c>
      <c r="AL59" s="15" t="n">
        <v>41.971</v>
      </c>
      <c r="AM59" s="15" t="n">
        <v>53.094</v>
      </c>
      <c r="AN59" s="15" t="n">
        <v>63.171</v>
      </c>
      <c r="AP59" s="15" t="n">
        <v>1711.4375</v>
      </c>
      <c r="AQ59" s="15" t="n">
        <v>1989.523809523809</v>
      </c>
      <c r="AR59" s="15" t="n">
        <v>2496.857142857143</v>
      </c>
      <c r="AS59" s="15" t="n">
        <v>2912</v>
      </c>
      <c r="AT59" s="15" t="n">
        <v>3280.333333333333</v>
      </c>
      <c r="AV59" s="15" t="n">
        <v>828.6875</v>
      </c>
      <c r="AW59" s="15" t="n">
        <v>1073.75</v>
      </c>
      <c r="AX59" s="15" t="n">
        <v>1459.866666666667</v>
      </c>
      <c r="AY59" s="15" t="n">
        <v>1745.8125</v>
      </c>
      <c r="AZ59" s="15" t="n">
        <v>1985.25</v>
      </c>
      <c r="BB59" s="57" t="n">
        <v>2976.20843274784</v>
      </c>
      <c r="BC59" s="57" t="n">
        <v>2950.357</v>
      </c>
      <c r="BD59" s="15" t="n">
        <v>25.85143274784</v>
      </c>
      <c r="BE59" s="16" t="n">
        <v>994.8049999999999</v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15" t="n">
        <v>114.21399080025</v>
      </c>
      <c r="E60" s="58" t="n">
        <v>195.25</v>
      </c>
      <c r="F60" s="59" t="n">
        <v>12.030191004313</v>
      </c>
      <c r="G60" s="59" t="n">
        <v>12.03835008323571</v>
      </c>
      <c r="H60" s="59" t="n">
        <v>12.12431693989071</v>
      </c>
      <c r="I60" s="15" t="n">
        <v>0</v>
      </c>
      <c r="J60" s="15" t="n">
        <v>91.72538888888889</v>
      </c>
      <c r="K60" s="61" t="n">
        <v>0.1010718761202239</v>
      </c>
      <c r="L60" s="15" t="n">
        <v>0.1715605609740768</v>
      </c>
      <c r="M60" s="61" t="n">
        <v>0.05503662631599959</v>
      </c>
      <c r="N60" s="15" t="n">
        <v>-0.07115267368357259</v>
      </c>
      <c r="O60" s="61" t="n">
        <v>-0.03466644389259321</v>
      </c>
      <c r="Q60" s="62" t="n">
        <v>-0.08855415000000001</v>
      </c>
      <c r="T60" s="57" t="n">
        <v>-3.470269705651394</v>
      </c>
      <c r="AB60" s="15" t="n">
        <v>14501</v>
      </c>
      <c r="AC60" s="15" t="n">
        <v>7102</v>
      </c>
      <c r="AD60" s="15" t="n">
        <v>30323</v>
      </c>
      <c r="AE60" s="15" t="n">
        <v>125</v>
      </c>
      <c r="AF60" s="16" t="n">
        <v>97373</v>
      </c>
      <c r="AG60" s="15" t="n">
        <v>37425</v>
      </c>
      <c r="AH60" s="56" t="n">
        <v>0.1715605609740768</v>
      </c>
      <c r="AJ60" s="15" t="n">
        <v>13.543</v>
      </c>
      <c r="AK60" s="15" t="n">
        <v>17.902</v>
      </c>
      <c r="AL60" s="15" t="n">
        <v>16.23</v>
      </c>
      <c r="AM60" s="15" t="n">
        <v>16.219</v>
      </c>
      <c r="AN60" s="15" t="n">
        <v>16.104</v>
      </c>
      <c r="AP60" s="15" t="n">
        <v>74754.78571428572</v>
      </c>
      <c r="AQ60" s="15" t="n">
        <v>86689.5</v>
      </c>
      <c r="AR60" s="15" t="n">
        <v>91725.38888888889</v>
      </c>
      <c r="AS60" s="15" t="n">
        <v>97609.16666666667</v>
      </c>
      <c r="AT60" s="15" t="n">
        <v>101805</v>
      </c>
      <c r="AV60" s="15" t="n">
        <v>8314.142857142857</v>
      </c>
      <c r="AW60" s="15" t="n">
        <v>10986.5</v>
      </c>
      <c r="AX60" s="15" t="n">
        <v>9270.857142857143</v>
      </c>
      <c r="AY60" s="15" t="n">
        <v>9100</v>
      </c>
      <c r="AZ60" s="15" t="n">
        <v>8804.25</v>
      </c>
      <c r="BB60" s="57" t="n">
        <v>7091.21399080025</v>
      </c>
      <c r="BC60" s="57" t="n">
        <v>6977</v>
      </c>
      <c r="BD60" s="15" t="n">
        <v>114.21399080025</v>
      </c>
      <c r="BE60" s="16">
        <f>_xll.BDP($B60,"EBITDA")</f>
        <v/>
      </c>
    </row>
    <row r="61">
      <c r="C61" s="15" t="n"/>
      <c r="D61" s="15" t="n"/>
      <c r="E61" s="58" t="n"/>
      <c r="F61" s="59" t="n"/>
      <c r="G61" s="59" t="n"/>
      <c r="H61" s="59" t="n"/>
      <c r="I61" s="15" t="n"/>
      <c r="J61" s="15" t="n"/>
      <c r="K61" s="61" t="n"/>
      <c r="L61" s="15" t="n"/>
      <c r="M61" s="61" t="n"/>
      <c r="N61" s="61" t="n"/>
      <c r="O61" s="6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58" t="n"/>
      <c r="F62" s="59" t="n"/>
      <c r="G62" s="59" t="n"/>
      <c r="H62" s="59" t="n"/>
      <c r="I62" s="15" t="n"/>
      <c r="J62" s="15" t="n"/>
      <c r="K62" s="61" t="n"/>
      <c r="L62" s="15" t="n"/>
      <c r="M62" s="61" t="n"/>
      <c r="N62" s="61" t="n"/>
      <c r="O62" s="6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15" t="n">
        <v>450.2895819984</v>
      </c>
      <c r="E63" s="58" t="n">
        <v>1014.96</v>
      </c>
      <c r="F63" s="59" t="n">
        <v>49.64343360234776</v>
      </c>
      <c r="G63" s="59" t="n">
        <v>44.48457223001403</v>
      </c>
      <c r="H63" s="59" t="n">
        <v>40.00630666141112</v>
      </c>
      <c r="I63" s="60" t="n">
        <v>-0.7485141158989599</v>
      </c>
      <c r="J63" s="15" t="n">
        <v>298.6201071428571</v>
      </c>
      <c r="K63" s="61" t="n">
        <v>0.03888694297255677</v>
      </c>
      <c r="L63" s="61" t="n">
        <v>0.2222203073907859</v>
      </c>
      <c r="M63" s="61" t="n">
        <v>0.08043773391070941</v>
      </c>
      <c r="N63" s="61" t="n">
        <v>0.1178151465247352</v>
      </c>
      <c r="O63" s="61" t="n">
        <v>0.119150850432697</v>
      </c>
      <c r="Q63" s="62" t="n">
        <v>0.1769835</v>
      </c>
      <c r="T63" s="57" t="n">
        <v>4.166435524552896</v>
      </c>
      <c r="AB63" s="15" t="n">
        <v>10940</v>
      </c>
      <c r="AC63" s="15" t="n">
        <v>8534</v>
      </c>
      <c r="AD63" s="15" t="n">
        <v>29164</v>
      </c>
      <c r="AE63" s="15" t="n">
        <v>14161</v>
      </c>
      <c r="AF63" s="16">
        <f>IF(ISNUMBER(_xlfn.SINGLE(_xll.BDP($B63,"BS_LONG_TERM_INVESTMENTS"))),_xlfn.SINGLE(_xll.BDP($B63,"BS_LONG_TERM_INVESTMENTS")),0)</f>
        <v/>
      </c>
      <c r="AG63" s="15" t="n">
        <v>37698</v>
      </c>
      <c r="AH63" s="56" t="n">
        <v>0.2222203073907859</v>
      </c>
      <c r="AJ63" s="15" t="n">
        <v>16.223</v>
      </c>
      <c r="AK63" s="15" t="n">
        <v>18.099</v>
      </c>
      <c r="AL63" s="15" t="n">
        <v>20.445</v>
      </c>
      <c r="AM63" s="15" t="n">
        <v>22.816</v>
      </c>
      <c r="AN63" s="15" t="n">
        <v>25.37</v>
      </c>
      <c r="AP63" s="15" t="n">
        <v>254883.5</v>
      </c>
      <c r="AQ63" s="15" t="n">
        <v>275078.6875</v>
      </c>
      <c r="AR63" s="15" t="n">
        <v>298620.1071428571</v>
      </c>
      <c r="AS63" s="15" t="n">
        <v>321381.8214285714</v>
      </c>
      <c r="AT63" s="15" t="n">
        <v>346941.4375</v>
      </c>
      <c r="AV63" s="15" t="n">
        <v>9198.645161290324</v>
      </c>
      <c r="AW63" s="15" t="n">
        <v>10408.24242424242</v>
      </c>
      <c r="AX63" s="15" t="n">
        <v>11612.42307692308</v>
      </c>
      <c r="AY63" s="15" t="n">
        <v>13088.58620689655</v>
      </c>
      <c r="AZ63" s="15" t="n">
        <v>14537.42105263158</v>
      </c>
      <c r="BB63" s="57" t="n">
        <v>-5176.7104180016</v>
      </c>
      <c r="BC63" s="57" t="n">
        <v>-5627</v>
      </c>
      <c r="BD63" s="15" t="n">
        <v>450.2895819984</v>
      </c>
      <c r="BE63" s="16" t="n">
        <v>13460</v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15" t="n">
        <v>76.49106573024001</v>
      </c>
      <c r="E64" s="58" t="n">
        <v>91.42</v>
      </c>
      <c r="F64" s="59" t="n">
        <v>28.27714197339932</v>
      </c>
      <c r="G64" s="59" t="n">
        <v>25.55772994129159</v>
      </c>
      <c r="H64" s="59" t="n">
        <v>23.5073283620468</v>
      </c>
      <c r="I64" s="60" t="n">
        <v>1.87518864415306</v>
      </c>
      <c r="J64" s="15" t="n">
        <v>18.91492592592593</v>
      </c>
      <c r="K64" s="61" t="n">
        <v>0.1956188144275937</v>
      </c>
      <c r="L64" s="61" t="n">
        <v>0.3662097792729755</v>
      </c>
      <c r="M64" s="61" t="n">
        <v>0.06395300429807382</v>
      </c>
      <c r="N64" s="61" t="n">
        <v>0.07018341308741638</v>
      </c>
      <c r="O64" s="61" t="n">
        <v>0.09328906772079071</v>
      </c>
      <c r="Q64" s="62" t="n">
        <v>0.002302389</v>
      </c>
      <c r="T64" s="57" t="n">
        <v>3.03113137093741</v>
      </c>
      <c r="AB64" s="15" t="n">
        <v>3460.612</v>
      </c>
      <c r="AC64" s="15" t="n">
        <v>8491.499</v>
      </c>
      <c r="AD64" s="15" t="n">
        <v>-763.3520000000001</v>
      </c>
      <c r="AE64" s="15" t="n">
        <v>193.793</v>
      </c>
      <c r="AF64" s="16">
        <f>IF(ISNUMBER(_xlfn.SINGLE(_xll.BDP($B64,"BS_LONG_TERM_INVESTMENTS"))),_xlfn.SINGLE(_xll.BDP($B64,"BS_LONG_TERM_INVESTMENTS")),0)</f>
        <v/>
      </c>
      <c r="AG64" s="15" t="n">
        <v>7728.147</v>
      </c>
      <c r="AH64" s="56" t="n">
        <v>0.3662097792729755</v>
      </c>
      <c r="AJ64" s="15" t="n">
        <v>2.727</v>
      </c>
      <c r="AK64" s="15" t="n">
        <v>2.976</v>
      </c>
      <c r="AL64" s="15" t="n">
        <v>3.233</v>
      </c>
      <c r="AM64" s="15" t="n">
        <v>3.577</v>
      </c>
      <c r="AN64" s="15" t="n">
        <v>3.889</v>
      </c>
      <c r="AP64" s="15" t="n">
        <v>16655.89655172414</v>
      </c>
      <c r="AQ64" s="15" t="n">
        <v>17762.21428571429</v>
      </c>
      <c r="AR64" s="15" t="n">
        <v>18914.92592592593</v>
      </c>
      <c r="AS64" s="15" t="n">
        <v>20121.76923076923</v>
      </c>
      <c r="AT64" s="15" t="n">
        <v>21392.64285714286</v>
      </c>
      <c r="AV64" s="15" t="n">
        <v>3272.862068965517</v>
      </c>
      <c r="AW64" s="15" t="n">
        <v>3466.666666666667</v>
      </c>
      <c r="AX64" s="15" t="n">
        <v>3700.115384615385</v>
      </c>
      <c r="AY64" s="15" t="n">
        <v>3966.12</v>
      </c>
      <c r="AZ64" s="15" t="n">
        <v>4249</v>
      </c>
      <c r="BB64" s="57" t="n">
        <v>8374.197065730241</v>
      </c>
      <c r="BC64" s="57" t="n">
        <v>8297.706</v>
      </c>
      <c r="BD64" s="15" t="n">
        <v>76.49106573024001</v>
      </c>
      <c r="BE64" s="16" t="n">
        <v>4424.998</v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15" t="n">
        <v>178.51749038366</v>
      </c>
      <c r="E65" s="58" t="n">
        <v>161.29</v>
      </c>
      <c r="F65" s="59" t="n">
        <v>34.47840957674219</v>
      </c>
      <c r="G65" s="59" t="n">
        <v>31.5204221223373</v>
      </c>
      <c r="H65" s="59" t="n">
        <v>28.46126698429504</v>
      </c>
      <c r="I65" s="60" t="n">
        <v>0.8612956810631229</v>
      </c>
      <c r="J65" s="15" t="n">
        <v>60.01713043478261</v>
      </c>
      <c r="K65" s="61" t="n">
        <v>0.114535415251008</v>
      </c>
      <c r="L65" s="61" t="n">
        <v>0.2385349799595503</v>
      </c>
      <c r="M65" s="61" t="n">
        <v>0.06292994429359466</v>
      </c>
      <c r="N65" s="61" t="n">
        <v>0.09892191393676275</v>
      </c>
      <c r="O65" s="61" t="n">
        <v>0.1055411919780795</v>
      </c>
      <c r="Q65" s="62" t="n">
        <v>0.04999674</v>
      </c>
      <c r="T65" s="57" t="n">
        <v>3.266820179925883</v>
      </c>
      <c r="AB65" s="15" t="n">
        <v>7178</v>
      </c>
      <c r="AC65" s="15" t="n">
        <v>13489</v>
      </c>
      <c r="AD65" s="15" t="n">
        <v>10190</v>
      </c>
      <c r="AE65" s="15" t="n">
        <v>6230</v>
      </c>
      <c r="AF65" s="16">
        <f>IF(ISNUMBER(_xlfn.SINGLE(_xll.BDP($B65,"BS_LONG_TERM_INVESTMENTS"))),_xlfn.SINGLE(_xll.BDP($B65,"BS_LONG_TERM_INVESTMENTS")),0)</f>
        <v/>
      </c>
      <c r="AG65" s="15" t="n">
        <v>23679</v>
      </c>
      <c r="AH65" s="56" t="n">
        <v>0.2385349799595503</v>
      </c>
      <c r="AJ65" s="15" t="n">
        <v>3.759</v>
      </c>
      <c r="AK65" s="15" t="n">
        <v>4.194</v>
      </c>
      <c r="AL65" s="15" t="n">
        <v>4.678</v>
      </c>
      <c r="AM65" s="15" t="n">
        <v>5.117</v>
      </c>
      <c r="AN65" s="15" t="n">
        <v>5.667</v>
      </c>
      <c r="AP65" s="15" t="n">
        <v>53984.6</v>
      </c>
      <c r="AQ65" s="15" t="n">
        <v>56260.17391304348</v>
      </c>
      <c r="AR65" s="15" t="n">
        <v>60017.13043478261</v>
      </c>
      <c r="AS65" s="15" t="n">
        <v>63938.05263157895</v>
      </c>
      <c r="AT65" s="15" t="n">
        <v>67563.94444444444</v>
      </c>
      <c r="AV65" s="15" t="n">
        <v>5699.25</v>
      </c>
      <c r="AW65" s="15" t="n">
        <v>6207</v>
      </c>
      <c r="AX65" s="15" t="n">
        <v>6874.086956521739</v>
      </c>
      <c r="AY65" s="15" t="n">
        <v>7515.473684210527</v>
      </c>
      <c r="AZ65" s="15" t="n">
        <v>8237.25</v>
      </c>
      <c r="BB65" s="57" t="n">
        <v>7437.51749038366</v>
      </c>
      <c r="BC65" s="57" t="n">
        <v>7259</v>
      </c>
      <c r="BD65" s="15" t="n">
        <v>178.51749038366</v>
      </c>
      <c r="BE65" s="16" t="n">
        <v>10621</v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15" t="n">
        <v>69.77132037824998</v>
      </c>
      <c r="E66" s="58" t="n">
        <v>304.95</v>
      </c>
      <c r="F66" s="59" t="n">
        <v>33.71475953565506</v>
      </c>
      <c r="G66" s="59" t="n">
        <v>29.33621933621934</v>
      </c>
      <c r="H66" s="59" t="n">
        <v>25.25884204423093</v>
      </c>
      <c r="I66" s="60" t="n">
        <v>4.284320557491289</v>
      </c>
      <c r="J66" s="15" t="n">
        <v>13.0714375</v>
      </c>
      <c r="K66" s="61" t="n">
        <v>0.2663100791749611</v>
      </c>
      <c r="L66" s="61" t="n">
        <v>0.2292507553625343</v>
      </c>
      <c r="M66" s="61" t="n">
        <v>0.0858669274366588</v>
      </c>
      <c r="N66" s="61" t="n">
        <v>0.1317374729222403</v>
      </c>
      <c r="O66" s="61" t="n">
        <v>0.1443194481275851</v>
      </c>
      <c r="Q66" s="62" t="n">
        <v>0.0616188</v>
      </c>
      <c r="T66" s="57" t="n">
        <v>2.336120320100561</v>
      </c>
      <c r="AB66" s="15" t="n">
        <v>2693</v>
      </c>
      <c r="AC66" s="15" t="n">
        <v>13214</v>
      </c>
      <c r="AD66" s="15" t="n">
        <v>-5346</v>
      </c>
      <c r="AE66" s="15" t="n">
        <v>918</v>
      </c>
      <c r="AF66" s="16">
        <f>IF(ISNUMBER(_xlfn.SINGLE(_xll.BDP($B66,"BS_LONG_TERM_INVESTMENTS"))),_xlfn.SINGLE(_xll.BDP($B66,"BS_LONG_TERM_INVESTMENTS")),0)</f>
        <v/>
      </c>
      <c r="AG66" s="15" t="n">
        <v>7868</v>
      </c>
      <c r="AH66" s="56" t="n">
        <v>0.2292507553625343</v>
      </c>
      <c r="AJ66" s="15" t="n">
        <v>7.06</v>
      </c>
      <c r="AK66" s="15" t="n">
        <v>8.057</v>
      </c>
      <c r="AL66" s="15" t="n">
        <v>9.045</v>
      </c>
      <c r="AM66" s="15" t="n">
        <v>10.395</v>
      </c>
      <c r="AN66" s="15" t="n">
        <v>12.073</v>
      </c>
      <c r="AP66" s="15" t="n">
        <v>11142.1</v>
      </c>
      <c r="AQ66" s="15" t="n">
        <v>11935.83333333333</v>
      </c>
      <c r="AR66" s="15" t="n">
        <v>13071.4375</v>
      </c>
      <c r="AS66" s="15" t="n">
        <v>13650.3125</v>
      </c>
      <c r="AT66" s="15" t="n">
        <v>15282.08333333333</v>
      </c>
      <c r="AV66" s="15" t="n">
        <v>2598.785714285714</v>
      </c>
      <c r="AW66" s="15" t="n">
        <v>2895.461538461538</v>
      </c>
      <c r="AX66" s="15" t="n">
        <v>3481.055555555555</v>
      </c>
      <c r="AY66" s="15" t="n">
        <v>3842.722222222222</v>
      </c>
      <c r="AZ66" s="15" t="n">
        <v>4197.153846153847</v>
      </c>
      <c r="BB66" s="57" t="n">
        <v>12365.77132037825</v>
      </c>
      <c r="BC66" s="57" t="n">
        <v>12296</v>
      </c>
      <c r="BD66" s="15" t="n">
        <v>69.77132037824998</v>
      </c>
      <c r="BE66" s="16" t="n">
        <v>2976</v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15" t="n">
        <v>132.84783186126</v>
      </c>
      <c r="E67" s="58" t="n">
        <v>4194.31</v>
      </c>
      <c r="F67" s="59" t="n">
        <v>15.64498140570623</v>
      </c>
      <c r="G67" s="59" t="n">
        <v>13.38060115739707</v>
      </c>
      <c r="H67" s="59" t="n">
        <v>11.58399571363076</v>
      </c>
      <c r="I67" s="60" t="n">
        <v>0.1717823878069433</v>
      </c>
      <c r="J67" s="15" t="n">
        <v>29.94669444444444</v>
      </c>
      <c r="K67" s="61" t="n">
        <v>0.3520347089267715</v>
      </c>
      <c r="L67" s="61" t="n">
        <v>0.5217339493670735</v>
      </c>
      <c r="M67" s="61" t="n">
        <v>0.09495410575127639</v>
      </c>
      <c r="N67" s="61" t="n">
        <v>0.1388654437837171</v>
      </c>
      <c r="O67" s="61" t="n">
        <v>0.1672217260060196</v>
      </c>
      <c r="Q67" s="62" t="n">
        <v>-0.2167971</v>
      </c>
      <c r="T67" s="57" t="n">
        <v>0.9355830596523712</v>
      </c>
      <c r="AB67" s="15" t="n">
        <v>8825</v>
      </c>
      <c r="AC67" s="15" t="n">
        <v>19408</v>
      </c>
      <c r="AD67" s="15" t="n">
        <v>-5578</v>
      </c>
      <c r="AE67" s="15" t="n">
        <v>17203</v>
      </c>
      <c r="AF67" s="16" t="n">
        <v>582</v>
      </c>
      <c r="AG67" s="15" t="n">
        <v>13830</v>
      </c>
      <c r="AH67" s="56" t="n">
        <v>0.5217339493670735</v>
      </c>
      <c r="AJ67" s="15" t="n">
        <v>182.871</v>
      </c>
      <c r="AK67" s="15" t="n">
        <v>227.689</v>
      </c>
      <c r="AL67" s="15" t="n">
        <v>268.093</v>
      </c>
      <c r="AM67" s="15" t="n">
        <v>313.462</v>
      </c>
      <c r="AN67" s="15" t="n">
        <v>362.078</v>
      </c>
      <c r="AP67" s="15" t="n">
        <v>23436.45714285714</v>
      </c>
      <c r="AQ67" s="15" t="n">
        <v>26703.58333333333</v>
      </c>
      <c r="AR67" s="15" t="n">
        <v>29946.69444444444</v>
      </c>
      <c r="AS67" s="15" t="n">
        <v>32508.27777777778</v>
      </c>
      <c r="AT67" s="15" t="n">
        <v>35055.59090909091</v>
      </c>
      <c r="AV67" s="15" t="n">
        <v>7399.366666666667</v>
      </c>
      <c r="AW67" s="15" t="n">
        <v>8741.041666666666</v>
      </c>
      <c r="AX67" s="15" t="n">
        <v>10542.27586206897</v>
      </c>
      <c r="AY67" s="15" t="n">
        <v>11765.39285714286</v>
      </c>
      <c r="AZ67" s="15" t="n">
        <v>12911.61111111111</v>
      </c>
      <c r="BB67" s="57" t="n">
        <v>2337.84783186126</v>
      </c>
      <c r="BC67" s="57" t="n">
        <v>2205</v>
      </c>
      <c r="BD67" s="15" t="n">
        <v>132.84783186126</v>
      </c>
      <c r="BE67" s="16" t="n">
        <v>9620</v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15" t="n">
        <v>146.76526528112</v>
      </c>
      <c r="E68" s="58" t="n">
        <v>71.84</v>
      </c>
      <c r="F68" s="59" t="n">
        <v>21.13562812591939</v>
      </c>
      <c r="G68" s="59" t="n">
        <v>16.34584755403868</v>
      </c>
      <c r="H68" s="59" t="n">
        <v>12.91853983096565</v>
      </c>
      <c r="I68" s="60" t="n">
        <v>0.739702154626109</v>
      </c>
      <c r="J68" s="15" t="n">
        <v>58.2098</v>
      </c>
      <c r="K68" s="61" t="n">
        <v>0.1459306721221382</v>
      </c>
      <c r="L68" s="61" t="n">
        <v>0.3520331515619392</v>
      </c>
      <c r="M68" s="61" t="n">
        <v>0.1333672987411902</v>
      </c>
      <c r="N68" s="61" t="n">
        <v>0.2780489479541419</v>
      </c>
      <c r="O68" s="61" t="n">
        <v>0.3071271920151546</v>
      </c>
      <c r="Q68" s="62" t="n">
        <v>-0.120793</v>
      </c>
      <c r="T68" s="57" t="n">
        <v>0.688171828330866</v>
      </c>
      <c r="AB68" s="15" t="n">
        <v>5565</v>
      </c>
      <c r="AC68" s="15" t="n">
        <v>12302</v>
      </c>
      <c r="AD68" s="15" t="n">
        <v>28083</v>
      </c>
      <c r="AE68" s="15" t="n">
        <v>7105</v>
      </c>
      <c r="AF68" s="16" t="n">
        <v>9178</v>
      </c>
      <c r="AG68" s="15" t="n">
        <v>40385</v>
      </c>
      <c r="AH68" s="56" t="n">
        <v>0.3520331515619392</v>
      </c>
      <c r="AJ68" s="15" t="n">
        <v>2.105</v>
      </c>
      <c r="AK68" s="15" t="n">
        <v>2.49</v>
      </c>
      <c r="AL68" s="15" t="n">
        <v>3.399</v>
      </c>
      <c r="AM68" s="15" t="n">
        <v>4.395</v>
      </c>
      <c r="AN68" s="15" t="n">
        <v>5.561</v>
      </c>
      <c r="AP68" s="15" t="n">
        <v>43758.4423076923</v>
      </c>
      <c r="AQ68" s="15" t="n">
        <v>51956.05660377358</v>
      </c>
      <c r="AR68" s="15" t="n">
        <v>58209.8</v>
      </c>
      <c r="AS68" s="15" t="n">
        <v>66748.11538461539</v>
      </c>
      <c r="AT68" s="15" t="n">
        <v>75639.42424242424</v>
      </c>
      <c r="AV68" s="15" t="n">
        <v>3216.15</v>
      </c>
      <c r="AW68" s="15" t="n">
        <v>6402</v>
      </c>
      <c r="AX68" s="15" t="n">
        <v>8494.595238095239</v>
      </c>
      <c r="AY68" s="15" t="n">
        <v>10803.63414634146</v>
      </c>
      <c r="AZ68" s="15" t="n">
        <v>13364.66666666667</v>
      </c>
      <c r="BB68" s="57" t="n">
        <v>5343.76526528112</v>
      </c>
      <c r="BC68" s="57" t="n">
        <v>5197</v>
      </c>
      <c r="BD68" s="15" t="n">
        <v>146.76526528112</v>
      </c>
      <c r="BE68" s="16" t="n">
        <v>6581</v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15" t="n">
        <v>15.3338314896</v>
      </c>
      <c r="E69" s="58" t="n">
        <v>72.90000000000001</v>
      </c>
      <c r="F69" s="59" t="n">
        <v>22.18502738892271</v>
      </c>
      <c r="G69" s="59" t="n">
        <v>17.81524926686217</v>
      </c>
      <c r="H69" s="59" t="n">
        <v>14.56834532374101</v>
      </c>
      <c r="I69" s="60" t="n">
        <v>6.511549183592195</v>
      </c>
      <c r="J69" s="15" t="n">
        <v>7.952</v>
      </c>
      <c r="K69" s="61" t="n">
        <v>0.1470489604292421</v>
      </c>
      <c r="L69" s="61" t="n">
        <v>0.0776623898337178</v>
      </c>
      <c r="M69" s="61" t="n">
        <v>0.05613934641274776</v>
      </c>
      <c r="N69" s="61" t="n">
        <v>0.1492251477329622</v>
      </c>
      <c r="O69" s="61" t="n">
        <v>0.2294012467363553</v>
      </c>
      <c r="Q69" s="62" t="n">
        <v>-0.1834677</v>
      </c>
      <c r="T69" s="57" t="n">
        <v>0.9670839938555069</v>
      </c>
      <c r="AB69" s="15" t="n">
        <v>754.9</v>
      </c>
      <c r="AC69" s="15" t="n">
        <v>6675.1</v>
      </c>
      <c r="AD69" s="15" t="n">
        <v>3116.9</v>
      </c>
      <c r="AE69" s="15" t="n">
        <v>134.9</v>
      </c>
      <c r="AF69" s="16">
        <f>IF(ISNUMBER(_xlfn.SINGLE(_xll.BDP($B69,"BS_LONG_TERM_INVESTMENTS"))),_xlfn.SINGLE(_xll.BDP($B69,"BS_LONG_TERM_INVESTMENTS")),0)</f>
        <v/>
      </c>
      <c r="AG69" s="15" t="n">
        <v>9792</v>
      </c>
      <c r="AH69" s="56" t="n">
        <v>0.0776623898337178</v>
      </c>
      <c r="AJ69" s="15" t="n">
        <v>2.518</v>
      </c>
      <c r="AK69" s="15" t="n">
        <v>2.693</v>
      </c>
      <c r="AL69" s="15" t="n">
        <v>3.286</v>
      </c>
      <c r="AM69" s="15" t="n">
        <v>4.092000000000001</v>
      </c>
      <c r="AN69" s="15" t="n">
        <v>5.004</v>
      </c>
      <c r="AP69" s="15" t="n">
        <v>4904.9</v>
      </c>
      <c r="AQ69" s="15" t="n">
        <v>7538.9</v>
      </c>
      <c r="AR69" s="15" t="n">
        <v>7952</v>
      </c>
      <c r="AS69" s="15" t="n">
        <v>8369.666666666668</v>
      </c>
      <c r="AT69" s="15" t="n">
        <v>8881.200000000001</v>
      </c>
      <c r="AV69" s="15" t="n">
        <v>719</v>
      </c>
      <c r="AW69" s="15" t="n">
        <v>1019.5</v>
      </c>
      <c r="AX69" s="15" t="n">
        <v>1169.333333333333</v>
      </c>
      <c r="AY69" s="15" t="n">
        <v>1349.444444444444</v>
      </c>
      <c r="AZ69" s="15" t="n">
        <v>1547.4</v>
      </c>
      <c r="BB69" s="57" t="n">
        <v>6555.533831489601</v>
      </c>
      <c r="BC69" s="57" t="n">
        <v>6540.200000000001</v>
      </c>
      <c r="BD69" s="15" t="n">
        <v>15.3338314896</v>
      </c>
      <c r="BE69" s="16" t="n">
        <v>1493.9</v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15" t="n">
        <v>21.77094199128</v>
      </c>
      <c r="E70" s="58" t="n">
        <v>87.86</v>
      </c>
      <c r="F70" s="59" t="n">
        <v>54.91249999999999</v>
      </c>
      <c r="G70" s="59" t="n">
        <v>40.63829787234042</v>
      </c>
      <c r="H70" s="59" t="n">
        <v>32.51665433012583</v>
      </c>
      <c r="I70" s="60" t="n">
        <v>4.217935349322211</v>
      </c>
      <c r="J70" s="15" t="n">
        <v>4.707199999999999</v>
      </c>
      <c r="K70" s="61" t="n">
        <v>0.1717009621921247</v>
      </c>
      <c r="L70" s="61" t="n">
        <v>0.03682395196538389</v>
      </c>
      <c r="M70" s="61" t="n">
        <v>0.07459845112029151</v>
      </c>
      <c r="N70" s="61" t="n">
        <v>0.2340746694978668</v>
      </c>
      <c r="O70" s="61" t="n">
        <v>0.0665675736164999</v>
      </c>
      <c r="Q70" s="62" t="n">
        <v>-0.1081109</v>
      </c>
      <c r="T70" s="57" t="n">
        <v>8.249136481427799</v>
      </c>
      <c r="AB70" s="15" t="n">
        <v>577</v>
      </c>
      <c r="AC70" s="15" t="n">
        <v>5100</v>
      </c>
      <c r="AD70" s="15" t="n">
        <v>8450</v>
      </c>
      <c r="AE70" s="15" t="n">
        <v>1055</v>
      </c>
      <c r="AF70" s="16">
        <f>IF(ISNUMBER(_xlfn.SINGLE(_xll.BDP($B70,"BS_LONG_TERM_INVESTMENTS"))),_xlfn.SINGLE(_xll.BDP($B70,"BS_LONG_TERM_INVESTMENTS")),0)</f>
        <v/>
      </c>
      <c r="AG70" s="15" t="n">
        <v>13550</v>
      </c>
      <c r="AH70" s="56" t="n">
        <v>0.03682395196538389</v>
      </c>
      <c r="AJ70" s="15" t="n">
        <v>1.249</v>
      </c>
      <c r="AK70" s="15" t="n">
        <v>2.227</v>
      </c>
      <c r="AL70" s="15" t="n">
        <v>1.6</v>
      </c>
      <c r="AM70" s="15" t="n">
        <v>2.162</v>
      </c>
      <c r="AN70" s="15" t="n">
        <v>2.702</v>
      </c>
      <c r="AP70" s="15" t="n">
        <v>3771.266666666666</v>
      </c>
      <c r="AQ70" s="15" t="n">
        <v>4392.6875</v>
      </c>
      <c r="AR70" s="15" t="n">
        <v>4707.2</v>
      </c>
      <c r="AS70" s="15" t="n">
        <v>5206.333333333333</v>
      </c>
      <c r="AT70" s="15" t="n">
        <v>5450.909090909091</v>
      </c>
      <c r="AV70" s="15" t="n">
        <v>438.9230769230769</v>
      </c>
      <c r="AW70" s="15" t="n">
        <v>593.2142857142858</v>
      </c>
      <c r="AX70" s="15" t="n">
        <v>808.2307692307693</v>
      </c>
      <c r="AY70" s="15" t="n">
        <v>971.1538461538462</v>
      </c>
      <c r="AZ70" s="15" t="n">
        <v>1114.9</v>
      </c>
      <c r="BB70" s="57" t="n">
        <v>4066.77094199128</v>
      </c>
      <c r="BC70" s="57" t="n">
        <v>4045</v>
      </c>
      <c r="BD70" s="15" t="n">
        <v>21.77094199128</v>
      </c>
      <c r="BE70" s="16" t="n">
        <v>970</v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15" t="n">
        <v>234.435433087</v>
      </c>
      <c r="E71" s="58" t="n">
        <v>471.05</v>
      </c>
      <c r="F71" s="59" t="n">
        <v>20.49469195962408</v>
      </c>
      <c r="G71" s="59" t="n">
        <v>17.86987860394537</v>
      </c>
      <c r="H71" s="59" t="n">
        <v>16.00414500730473</v>
      </c>
      <c r="I71" s="60" t="n">
        <v>0.9134865134865134</v>
      </c>
      <c r="J71" s="15" t="n">
        <v>81.99603703703704</v>
      </c>
      <c r="K71" s="61" t="n">
        <v>0.2204267505249802</v>
      </c>
      <c r="L71" s="61" t="n">
        <v>0.09870261771313467</v>
      </c>
      <c r="M71" s="61" t="n">
        <v>0.04423954891008353</v>
      </c>
      <c r="N71" s="61" t="n">
        <v>0.08257568698788109</v>
      </c>
      <c r="O71" s="61" t="n">
        <v>0.1104844901498485</v>
      </c>
      <c r="Q71" s="62" t="n">
        <v>-0.2696899</v>
      </c>
      <c r="T71" s="57" t="n">
        <v>1.854983620943305</v>
      </c>
      <c r="AB71" s="15" t="n">
        <v>17024</v>
      </c>
      <c r="AC71" s="15" t="n">
        <v>36362</v>
      </c>
      <c r="AD71" s="15" t="n">
        <v>68949</v>
      </c>
      <c r="AE71" s="15" t="n">
        <v>8794</v>
      </c>
      <c r="AF71" s="16" t="n">
        <v>1891</v>
      </c>
      <c r="AG71" s="15" t="n">
        <v>105311</v>
      </c>
      <c r="AH71" s="56" t="n">
        <v>0.09870261771313467</v>
      </c>
      <c r="AJ71" s="15" t="n">
        <v>27.188</v>
      </c>
      <c r="AK71" s="15" t="n">
        <v>21.493</v>
      </c>
      <c r="AL71" s="15" t="n">
        <v>22.984</v>
      </c>
      <c r="AM71" s="15" t="n">
        <v>26.36</v>
      </c>
      <c r="AN71" s="15" t="n">
        <v>29.433</v>
      </c>
      <c r="AP71" s="15" t="n">
        <v>84382.13333333333</v>
      </c>
      <c r="AQ71" s="15" t="n">
        <v>80813.86206896552</v>
      </c>
      <c r="AR71" s="15" t="n">
        <v>81996.03703703704</v>
      </c>
      <c r="AS71" s="15" t="n">
        <v>86673.26923076922</v>
      </c>
      <c r="AT71" s="15" t="n">
        <v>92020.85714285714</v>
      </c>
      <c r="AV71" s="15" t="n">
        <v>20450.25925925926</v>
      </c>
      <c r="AW71" s="15" t="n">
        <v>17150</v>
      </c>
      <c r="AX71" s="15" t="n">
        <v>18074.12</v>
      </c>
      <c r="AY71" s="15" t="n">
        <v>19843.32</v>
      </c>
      <c r="AZ71" s="15" t="n">
        <v>21759</v>
      </c>
      <c r="BB71" s="57" t="n">
        <v>27802.435433087</v>
      </c>
      <c r="BC71" s="57" t="n">
        <v>27568</v>
      </c>
      <c r="BD71" s="15" t="n">
        <v>234.435433087</v>
      </c>
      <c r="BE71" s="16" t="n">
        <v>25025</v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15" t="n">
        <v>176.03699451</v>
      </c>
      <c r="E72" s="58" t="n">
        <v>1667.5</v>
      </c>
      <c r="F72" s="59" t="n">
        <v>35.81400343642611</v>
      </c>
      <c r="G72" s="59" t="n">
        <v>31.11587982832618</v>
      </c>
      <c r="H72" s="59" t="n">
        <v>28.18532165917312</v>
      </c>
      <c r="I72" s="60" t="n">
        <v>-1.319946631087392</v>
      </c>
      <c r="J72" s="15" t="n">
        <v>17.20166666666667</v>
      </c>
      <c r="K72" s="61" t="n">
        <v>0.4053344775561615</v>
      </c>
      <c r="L72" s="61" t="n">
        <v>0.2173294125697606</v>
      </c>
      <c r="M72" s="61" t="n">
        <v>0.08807438089308395</v>
      </c>
      <c r="N72" s="61" t="n">
        <v>0.09494319457413192</v>
      </c>
      <c r="O72" s="61" t="n">
        <v>0.1167330564255629</v>
      </c>
      <c r="Q72" s="62" t="n">
        <v>-0.2141847</v>
      </c>
      <c r="T72" s="57" t="n">
        <v>3.068025847439677</v>
      </c>
      <c r="AB72" s="15" t="n">
        <v>6569</v>
      </c>
      <c r="AC72" s="15" t="n">
        <v>2346</v>
      </c>
      <c r="AD72" s="15" t="n">
        <v>18845</v>
      </c>
      <c r="AE72" s="15" t="n">
        <v>1896</v>
      </c>
      <c r="AF72" s="16" t="n">
        <v>1196</v>
      </c>
      <c r="AG72" s="15" t="n">
        <v>21191</v>
      </c>
      <c r="AH72" s="56" t="n">
        <v>0.2173294125697606</v>
      </c>
      <c r="AJ72" s="15" t="n">
        <v>42.852</v>
      </c>
      <c r="AK72" s="15" t="n">
        <v>42.481</v>
      </c>
      <c r="AL72" s="15" t="n">
        <v>46.56</v>
      </c>
      <c r="AM72" s="15" t="n">
        <v>53.59</v>
      </c>
      <c r="AN72" s="15" t="n">
        <v>59.162</v>
      </c>
      <c r="AP72" s="15" t="n">
        <v>14931.42307692308</v>
      </c>
      <c r="AQ72" s="15" t="n">
        <v>16059.25</v>
      </c>
      <c r="AR72" s="15" t="n">
        <v>17201.66666666667</v>
      </c>
      <c r="AS72" s="15" t="n">
        <v>18906.08333333333</v>
      </c>
      <c r="AT72" s="15" t="n">
        <v>20687.16666666667</v>
      </c>
      <c r="AV72" s="15" t="n">
        <v>6001.791666666667</v>
      </c>
      <c r="AW72" s="15" t="n">
        <v>6391.08</v>
      </c>
      <c r="AX72" s="15" t="n">
        <v>6972.428571428572</v>
      </c>
      <c r="AY72" s="15" t="n">
        <v>7692.619047619047</v>
      </c>
      <c r="AZ72" s="15" t="n">
        <v>8389.75</v>
      </c>
      <c r="BB72" s="57" t="n">
        <v>626.03699451</v>
      </c>
      <c r="BC72" s="57" t="n">
        <v>450</v>
      </c>
      <c r="BD72" s="15" t="n">
        <v>176.03699451</v>
      </c>
      <c r="BE72" s="16" t="n">
        <v>7495</v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15" t="n">
        <v>246.4036353708</v>
      </c>
      <c r="E73" s="58" t="n">
        <v>158.1</v>
      </c>
      <c r="F73" s="59" t="n">
        <v>18.73222748815166</v>
      </c>
      <c r="G73" s="59" t="n">
        <v>17.21284703320631</v>
      </c>
      <c r="H73" s="59" t="n">
        <v>15.78159313236175</v>
      </c>
      <c r="I73" s="60" t="n">
        <v>2.595586527293845</v>
      </c>
      <c r="J73" s="15" t="n">
        <v>43.6046875</v>
      </c>
      <c r="K73" s="61" t="n">
        <v>0.4068369943025048</v>
      </c>
      <c r="L73" s="61" t="n">
        <v>0.3031381061781715</v>
      </c>
      <c r="M73" s="61" t="n">
        <v>0.06730412822816079</v>
      </c>
      <c r="N73" s="61" t="n">
        <v>0.07962136665596731</v>
      </c>
      <c r="O73" s="61" t="n">
        <v>0.09944868645215732</v>
      </c>
      <c r="Q73" s="62" t="n">
        <v>-0.01433911</v>
      </c>
      <c r="T73" s="57" t="n">
        <v>1.883607331220342</v>
      </c>
      <c r="AB73" s="15" t="n">
        <v>14892</v>
      </c>
      <c r="AC73" s="15" t="n">
        <v>49568</v>
      </c>
      <c r="AD73" s="15" t="n">
        <v>-8028</v>
      </c>
      <c r="AE73" s="15" t="n">
        <v>4872</v>
      </c>
      <c r="AF73" s="16">
        <f>IF(ISNUMBER(_xlfn.SINGLE(_xll.BDP($B73,"BS_LONG_TERM_INVESTMENTS"))),_xlfn.SINGLE(_xll.BDP($B73,"BS_LONG_TERM_INVESTMENTS")),0)</f>
        <v/>
      </c>
      <c r="AG73" s="15" t="n">
        <v>41540</v>
      </c>
      <c r="AH73" s="56" t="n">
        <v>0.3031381061781715</v>
      </c>
      <c r="AJ73" s="15" t="n">
        <v>6.487</v>
      </c>
      <c r="AK73" s="15" t="n">
        <v>7.538</v>
      </c>
      <c r="AL73" s="15" t="n">
        <v>8.44</v>
      </c>
      <c r="AM73" s="15" t="n">
        <v>9.185</v>
      </c>
      <c r="AN73" s="15" t="n">
        <v>10.018</v>
      </c>
      <c r="AP73" s="15" t="n">
        <v>37635.3076923077</v>
      </c>
      <c r="AQ73" s="15" t="n">
        <v>40692.55555555555</v>
      </c>
      <c r="AR73" s="15" t="n">
        <v>43604.6875</v>
      </c>
      <c r="AS73" s="15" t="n">
        <v>46484.625</v>
      </c>
      <c r="AT73" s="15" t="n">
        <v>49474.28571428571</v>
      </c>
      <c r="AV73" s="15" t="n">
        <v>14621.41666666667</v>
      </c>
      <c r="AW73" s="15" t="n">
        <v>16529.6</v>
      </c>
      <c r="AX73" s="15" t="n">
        <v>17740</v>
      </c>
      <c r="AY73" s="15" t="n">
        <v>19235.33333333333</v>
      </c>
      <c r="AZ73" s="15" t="n">
        <v>20800.64285714286</v>
      </c>
      <c r="BB73" s="57" t="n">
        <v>44942.4036353708</v>
      </c>
      <c r="BC73" s="57" t="n">
        <v>44696</v>
      </c>
      <c r="BD73" s="15" t="n">
        <v>246.4036353708</v>
      </c>
      <c r="BE73" s="16" t="n">
        <v>17201</v>
      </c>
    </row>
    <row r="74">
      <c r="C74" s="15" t="n"/>
      <c r="D74" s="15" t="n"/>
      <c r="E74" s="58" t="n"/>
      <c r="F74" s="59" t="n"/>
      <c r="G74" s="59" t="n"/>
      <c r="H74" s="59" t="n"/>
      <c r="I74" s="15" t="n"/>
      <c r="J74" s="15" t="n"/>
      <c r="K74" s="61" t="n"/>
      <c r="L74" s="15" t="n"/>
      <c r="M74" s="61" t="n"/>
      <c r="N74" s="61" t="n"/>
      <c r="O74" s="6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58" t="n"/>
      <c r="F75" s="59" t="n"/>
      <c r="G75" s="59" t="n"/>
      <c r="H75" s="59" t="n"/>
      <c r="I75" s="15" t="n"/>
      <c r="J75" s="15" t="n"/>
      <c r="K75" s="61" t="n"/>
      <c r="L75" s="15" t="n"/>
      <c r="M75" s="61" t="n"/>
      <c r="N75" s="61" t="n"/>
      <c r="O75" s="6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15" t="n">
        <v>293.76429089832</v>
      </c>
      <c r="E76" s="58" t="n">
        <v>281.16</v>
      </c>
      <c r="F76" s="59" t="n">
        <v>37.7244062793506</v>
      </c>
      <c r="G76" s="59" t="n">
        <v>32.72346368715084</v>
      </c>
      <c r="H76" s="59" t="n">
        <v>28.69565217391305</v>
      </c>
      <c r="I76" s="60" t="n">
        <v>0.7963436209946924</v>
      </c>
      <c r="J76" s="15" t="n">
        <v>48.15166666666666</v>
      </c>
      <c r="K76" s="61" t="n">
        <v>0.2137052332815355</v>
      </c>
      <c r="L76" s="61" t="n">
        <v>0.1367356647922809</v>
      </c>
      <c r="M76" s="61" t="n">
        <v>0.1133403423012287</v>
      </c>
      <c r="N76" s="61" t="n">
        <v>0.1348126237311127</v>
      </c>
      <c r="O76" s="61" t="n">
        <v>0.1631066080696502</v>
      </c>
      <c r="Q76" s="62" t="n">
        <v>-0.08723176000000001</v>
      </c>
      <c r="T76" s="57" t="n">
        <v>2.312868051504169</v>
      </c>
      <c r="AB76" s="15" t="n">
        <v>8568</v>
      </c>
      <c r="AC76" s="15" t="n">
        <v>21557</v>
      </c>
      <c r="AD76" s="15" t="n">
        <v>18898</v>
      </c>
      <c r="AE76" s="15" t="n">
        <v>12392</v>
      </c>
      <c r="AF76" s="16" t="n">
        <v>38788</v>
      </c>
      <c r="AG76" s="15" t="n">
        <v>40455</v>
      </c>
      <c r="AH76" s="56" t="n">
        <v>0.1367356647922809</v>
      </c>
      <c r="AJ76" s="15" t="n">
        <v>4.305</v>
      </c>
      <c r="AK76" s="15" t="n">
        <v>6.227</v>
      </c>
      <c r="AL76" s="15" t="n">
        <v>7.453</v>
      </c>
      <c r="AM76" s="15" t="n">
        <v>8.592000000000001</v>
      </c>
      <c r="AN76" s="15" t="n">
        <v>9.798</v>
      </c>
      <c r="AP76" s="15" t="n">
        <v>34718.3125</v>
      </c>
      <c r="AQ76" s="15" t="n">
        <v>41973.35714285714</v>
      </c>
      <c r="AR76" s="15" t="n">
        <v>48151.66666666666</v>
      </c>
      <c r="AS76" s="15" t="n">
        <v>53221.5625</v>
      </c>
      <c r="AT76" s="15" t="n">
        <v>57923.86666666666</v>
      </c>
      <c r="AV76" s="15" t="n">
        <v>6963.0625</v>
      </c>
      <c r="AW76" s="15" t="n">
        <v>8914.428571428572</v>
      </c>
      <c r="AX76" s="15" t="n">
        <v>10290.26315789474</v>
      </c>
      <c r="AY76" s="15" t="n">
        <v>11698.23529411765</v>
      </c>
      <c r="AZ76" s="15" t="n">
        <v>13027.64705882353</v>
      </c>
      <c r="BB76" s="57" t="n">
        <v>9458.76429089832</v>
      </c>
      <c r="BC76" s="57" t="n">
        <v>9165</v>
      </c>
      <c r="BD76" s="15" t="n">
        <v>293.76429089832</v>
      </c>
      <c r="BE76" s="16" t="n">
        <v>10097</v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15" t="n">
        <v>182.56964655624</v>
      </c>
      <c r="E77" s="58" t="n">
        <v>491.46</v>
      </c>
      <c r="F77" s="59" t="n">
        <v>20.01140111568061</v>
      </c>
      <c r="G77" s="59" t="n">
        <v>18.2569932018277</v>
      </c>
      <c r="H77" s="59" t="n">
        <v>16.54357558824519</v>
      </c>
      <c r="I77" s="60" t="n">
        <v>2.921060131091479</v>
      </c>
      <c r="J77" s="15" t="n">
        <v>46.86569230769231</v>
      </c>
      <c r="K77" s="61" t="n">
        <v>0.2314525036132116</v>
      </c>
      <c r="L77" s="61" t="n">
        <v>0.08039549233396573</v>
      </c>
      <c r="M77" s="61" t="n">
        <v>0.05743380097571293</v>
      </c>
      <c r="N77" s="61" t="n">
        <v>0.08033315741963865</v>
      </c>
      <c r="O77" s="61" t="n">
        <v>0.09303020084653135</v>
      </c>
      <c r="Q77" s="62" t="n">
        <v>-0.1518509</v>
      </c>
      <c r="T77" s="57" t="n">
        <v>2.151065023356524</v>
      </c>
      <c r="AB77" s="15" t="n">
        <v>7746</v>
      </c>
      <c r="AC77" s="15" t="n">
        <v>40855</v>
      </c>
      <c r="AD77" s="15" t="n">
        <v>53536</v>
      </c>
      <c r="AE77" s="15" t="n">
        <v>9852</v>
      </c>
      <c r="AF77" s="16">
        <f>IF(ISNUMBER(_xlfn.SINGLE(_xll.BDP($B77,"BS_LONG_TERM_INVESTMENTS"))),_xlfn.SINGLE(_xll.BDP($B77,"BS_LONG_TERM_INVESTMENTS")),0)</f>
        <v/>
      </c>
      <c r="AG77" s="15" t="n">
        <v>94391</v>
      </c>
      <c r="AH77" s="56" t="n">
        <v>0.08039549233396573</v>
      </c>
      <c r="AJ77" s="15" t="n">
        <v>21.693</v>
      </c>
      <c r="AK77" s="15" t="n">
        <v>22.749</v>
      </c>
      <c r="AL77" s="15" t="n">
        <v>24.559</v>
      </c>
      <c r="AM77" s="15" t="n">
        <v>26.919</v>
      </c>
      <c r="AN77" s="15" t="n">
        <v>29.707</v>
      </c>
      <c r="AP77" s="15" t="n">
        <v>42769.31034482758</v>
      </c>
      <c r="AQ77" s="15" t="n">
        <v>44299.91304347826</v>
      </c>
      <c r="AR77" s="15" t="n">
        <v>46865.6923076923</v>
      </c>
      <c r="AS77" s="15" t="n">
        <v>49300.61538461539</v>
      </c>
      <c r="AT77" s="15" t="n">
        <v>52379.63157894737</v>
      </c>
      <c r="AV77" s="15" t="n">
        <v>9666.52</v>
      </c>
      <c r="AW77" s="15" t="n">
        <v>10081.90909090909</v>
      </c>
      <c r="AX77" s="15" t="n">
        <v>10847.18181818182</v>
      </c>
      <c r="AY77" s="15" t="n">
        <v>11670.40909090909</v>
      </c>
      <c r="AZ77" s="15" t="n">
        <v>12712.05882352941</v>
      </c>
      <c r="BB77" s="57" t="n">
        <v>31185.56964655624</v>
      </c>
      <c r="BC77" s="57" t="n">
        <v>31003</v>
      </c>
      <c r="BD77" s="15" t="n">
        <v>182.56964655624</v>
      </c>
      <c r="BE77" s="16" t="n">
        <v>10907</v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15" t="n">
        <v>135.25551295928</v>
      </c>
      <c r="E78" s="58" t="n">
        <v>191.12</v>
      </c>
      <c r="F78" s="59" t="n">
        <v>22.73073263558516</v>
      </c>
      <c r="G78" s="59" t="n">
        <v>21.00912388699571</v>
      </c>
      <c r="H78" s="59" t="n">
        <v>19.112</v>
      </c>
      <c r="I78" s="60" t="n">
        <v>2.113072719630097</v>
      </c>
      <c r="J78" s="15" t="n">
        <v>25.63434782608696</v>
      </c>
      <c r="K78" s="61" t="n">
        <v>0.2895767491910574</v>
      </c>
      <c r="L78" s="61" t="n">
        <v>0.05732198856824242</v>
      </c>
      <c r="M78" s="61" t="n">
        <v>0.05760520819786308</v>
      </c>
      <c r="N78" s="61" t="n">
        <v>0.08032773360430334</v>
      </c>
      <c r="O78" s="61" t="n">
        <v>0.08942819472920771</v>
      </c>
      <c r="Q78" s="62" t="n">
        <v>-0.1651232</v>
      </c>
      <c r="T78" s="57" t="n">
        <v>2.541785921589356</v>
      </c>
      <c r="AB78" s="15" t="n">
        <v>4690</v>
      </c>
      <c r="AC78" s="15" t="n">
        <v>19696</v>
      </c>
      <c r="AD78" s="15" t="n">
        <v>52541</v>
      </c>
      <c r="AE78" s="15" t="n">
        <v>4615</v>
      </c>
      <c r="AF78" s="16">
        <f>IF(ISNUMBER(_xlfn.SINGLE(_xll.BDP($B78,"BS_LONG_TERM_INVESTMENTS"))),_xlfn.SINGLE(_xll.BDP($B78,"BS_LONG_TERM_INVESTMENTS")),0)</f>
        <v/>
      </c>
      <c r="AG78" s="15" t="n">
        <v>72237</v>
      </c>
      <c r="AH78" s="56" t="n">
        <v>0.05732198856824242</v>
      </c>
      <c r="AJ78" s="15" t="n">
        <v>7.512</v>
      </c>
      <c r="AK78" s="15" t="n">
        <v>7.734</v>
      </c>
      <c r="AL78" s="15" t="n">
        <v>8.407999999999999</v>
      </c>
      <c r="AM78" s="15" t="n">
        <v>9.097</v>
      </c>
      <c r="AN78" s="15" t="n">
        <v>10</v>
      </c>
      <c r="AP78" s="15" t="n">
        <v>23781.96</v>
      </c>
      <c r="AQ78" s="15" t="n">
        <v>24528.79166666667</v>
      </c>
      <c r="AR78" s="15" t="n">
        <v>25634.34782608696</v>
      </c>
      <c r="AS78" s="15" t="n">
        <v>27135.69565217391</v>
      </c>
      <c r="AT78" s="15" t="n">
        <v>29016.625</v>
      </c>
      <c r="AV78" s="15" t="n">
        <v>6865.5</v>
      </c>
      <c r="AW78" s="15" t="n">
        <v>6896.823529411765</v>
      </c>
      <c r="AX78" s="15" t="n">
        <v>7423.11111111111</v>
      </c>
      <c r="AY78" s="15" t="n">
        <v>8009.666666666667</v>
      </c>
      <c r="AZ78" s="15" t="n">
        <v>8695.923076923076</v>
      </c>
      <c r="BB78" s="57" t="n">
        <v>15216.25551295928</v>
      </c>
      <c r="BC78" s="57" t="n">
        <v>15081</v>
      </c>
      <c r="BD78" s="15" t="n">
        <v>135.25551295928</v>
      </c>
      <c r="BE78" s="16" t="n">
        <v>7387</v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15" t="n">
        <v>157.33951104</v>
      </c>
      <c r="E79" s="58" t="n">
        <v>128</v>
      </c>
      <c r="F79" s="59" t="n">
        <v>29.14389799635701</v>
      </c>
      <c r="G79" s="59" t="n">
        <v>24.82063215047508</v>
      </c>
      <c r="H79" s="59" t="n">
        <v>22.3074241896131</v>
      </c>
      <c r="I79" s="60" t="n">
        <v>0.6823001030776025</v>
      </c>
      <c r="J79" s="15" t="n">
        <v>31.518</v>
      </c>
      <c r="K79" s="61" t="n">
        <v>0.2637056185103918</v>
      </c>
      <c r="L79" s="61" t="n">
        <v>0.1878147015884535</v>
      </c>
      <c r="M79" s="61" t="n">
        <v>0.1873621994647836</v>
      </c>
      <c r="N79" s="61" t="n">
        <v>0.2104805692330827</v>
      </c>
      <c r="O79" s="61" t="n">
        <v>0.199711257865856</v>
      </c>
      <c r="Q79" s="62" t="n">
        <v>-0.05283409</v>
      </c>
      <c r="T79" s="57" t="n">
        <v>1.45930170926732</v>
      </c>
      <c r="AB79" s="15" t="n">
        <v>5868.6</v>
      </c>
      <c r="AC79" s="15" t="n">
        <v>16067.7</v>
      </c>
      <c r="AD79" s="15" t="n">
        <v>13509.7</v>
      </c>
      <c r="AE79" s="15" t="n">
        <v>11130.6</v>
      </c>
      <c r="AF79" s="16">
        <f>IF(ISNUMBER(_xlfn.SINGLE(_xll.BDP($B79,"BS_LONG_TERM_INVESTMENTS"))),_xlfn.SINGLE(_xll.BDP($B79,"BS_LONG_TERM_INVESTMENTS")),0)</f>
        <v/>
      </c>
      <c r="AG79" s="15" t="n">
        <v>29577.4</v>
      </c>
      <c r="AH79" s="56" t="n">
        <v>0.1878147015884535</v>
      </c>
      <c r="AJ79" s="15" t="n">
        <v>1.846</v>
      </c>
      <c r="AK79" s="15" t="n">
        <v>3.323</v>
      </c>
      <c r="AL79" s="15" t="n">
        <v>4.392</v>
      </c>
      <c r="AM79" s="15" t="n">
        <v>5.157</v>
      </c>
      <c r="AN79" s="15" t="n">
        <v>5.738</v>
      </c>
      <c r="AP79" s="15" t="n">
        <v>14983.38888888889</v>
      </c>
      <c r="AQ79" s="15" t="n">
        <v>22889.52631578947</v>
      </c>
      <c r="AR79" s="15" t="n">
        <v>31518</v>
      </c>
      <c r="AS79" s="15" t="n">
        <v>35419.33333333334</v>
      </c>
      <c r="AT79" s="15" t="n">
        <v>38316.55555555555</v>
      </c>
      <c r="AV79" s="15" t="n">
        <v>3209.941176470588</v>
      </c>
      <c r="AW79" s="15" t="n">
        <v>5968.294117647059</v>
      </c>
      <c r="AX79" s="15" t="n">
        <v>8311.473684210527</v>
      </c>
      <c r="AY79" s="15" t="n">
        <v>9525.777777777779</v>
      </c>
      <c r="AZ79" s="15" t="n">
        <v>10585.8</v>
      </c>
      <c r="BB79" s="57" t="n">
        <v>5094.439511039998</v>
      </c>
      <c r="BC79" s="57" t="n">
        <v>4937.099999999999</v>
      </c>
      <c r="BD79" s="15" t="n">
        <v>157.33951104</v>
      </c>
      <c r="BE79" s="16" t="n">
        <v>7440.3</v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15" t="n">
        <v>72.95673708456</v>
      </c>
      <c r="E80" s="58" t="n">
        <v>438.96</v>
      </c>
      <c r="F80" s="59" t="n">
        <v>26.14257638020368</v>
      </c>
      <c r="G80" s="59" t="n">
        <v>24.10146598583429</v>
      </c>
      <c r="H80" s="59" t="n">
        <v>21.83663317082877</v>
      </c>
      <c r="I80" s="60" t="n">
        <v>2.422134609969023</v>
      </c>
      <c r="J80" s="15" t="n">
        <v>12.69838461538462</v>
      </c>
      <c r="K80" s="61" t="n">
        <v>0.3119097523004137</v>
      </c>
      <c r="L80" s="61" t="n">
        <v>0.2061977610718687</v>
      </c>
      <c r="M80" s="61" t="n">
        <v>0.07193640333571771</v>
      </c>
      <c r="N80" s="80" t="n">
        <v>0.0990568080126899</v>
      </c>
      <c r="O80" s="61" t="n">
        <v>0.09873875326758896</v>
      </c>
      <c r="Q80" s="62" t="n">
        <v>0.1451529</v>
      </c>
      <c r="T80" s="57" t="n">
        <v>2.647651050378919</v>
      </c>
      <c r="AB80" s="15" t="n">
        <v>2988</v>
      </c>
      <c r="AC80" s="15" t="n">
        <v>9766</v>
      </c>
      <c r="AD80" s="15" t="n">
        <v>2427</v>
      </c>
      <c r="AE80" s="15" t="n">
        <v>1165</v>
      </c>
      <c r="AF80" s="16" t="n">
        <v>187</v>
      </c>
      <c r="AG80" s="15" t="n">
        <v>12193</v>
      </c>
      <c r="AH80" s="56" t="n">
        <v>0.2061977610718687</v>
      </c>
      <c r="AJ80" s="15" t="n">
        <v>13.689</v>
      </c>
      <c r="AK80" s="15" t="n">
        <v>15.155</v>
      </c>
      <c r="AL80" s="15" t="n">
        <v>16.791</v>
      </c>
      <c r="AM80" s="15" t="n">
        <v>18.213</v>
      </c>
      <c r="AN80" s="15" t="n">
        <v>20.102</v>
      </c>
      <c r="AP80" s="15" t="n">
        <v>10805.55555555555</v>
      </c>
      <c r="AQ80" s="15" t="n">
        <v>11646.58333333333</v>
      </c>
      <c r="AR80" s="15" t="n">
        <v>12698.38461538462</v>
      </c>
      <c r="AS80" s="15" t="n">
        <v>13473.92307692308</v>
      </c>
      <c r="AT80" s="15" t="n">
        <v>14345.16666666667</v>
      </c>
      <c r="AV80" s="15" t="n">
        <v>3139</v>
      </c>
      <c r="AW80" s="15" t="n">
        <v>3489.272727272727</v>
      </c>
      <c r="AX80" s="15" t="n">
        <v>3960.75</v>
      </c>
      <c r="AY80" s="15" t="n">
        <v>4266.615384615385</v>
      </c>
      <c r="AZ80" s="15" t="n">
        <v>4632.285714285714</v>
      </c>
      <c r="BB80" s="57" t="n">
        <v>8673.95673708456</v>
      </c>
      <c r="BC80" s="57" t="n">
        <v>8601</v>
      </c>
      <c r="BD80" s="15" t="n">
        <v>72.95673708456</v>
      </c>
      <c r="BE80" s="16" t="n">
        <v>3553</v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15" t="n">
        <v>33.18896421675001</v>
      </c>
      <c r="E81" s="58" t="n">
        <v>412.81</v>
      </c>
      <c r="F81" s="59" t="n">
        <v>52.87690534136031</v>
      </c>
      <c r="G81" s="59" t="n">
        <v>39.22557962751805</v>
      </c>
      <c r="H81" s="59" t="n">
        <v>29.53495027545253</v>
      </c>
      <c r="I81" s="60" t="n">
        <v>8.673322267014465</v>
      </c>
      <c r="J81" s="15" t="n">
        <v>3.590611111111111</v>
      </c>
      <c r="K81" s="61" t="n">
        <v>0.03938790982655381</v>
      </c>
      <c r="L81" s="61" t="n">
        <v>0.01803064938393492</v>
      </c>
      <c r="M81" s="61" t="n">
        <v>0.2991464765131988</v>
      </c>
      <c r="N81" s="15" t="n">
        <v>0</v>
      </c>
      <c r="O81" s="61" t="n">
        <v>0.304033913333577</v>
      </c>
      <c r="Q81" s="62" t="n">
        <v>-0.2731322</v>
      </c>
      <c r="T81" s="57" t="n">
        <v>1.73917786873155</v>
      </c>
      <c r="AB81" s="15" t="n">
        <v>-62.076</v>
      </c>
      <c r="AC81" s="15" t="n">
        <v>1916.654</v>
      </c>
      <c r="AD81" s="15" t="n">
        <v>3242.658</v>
      </c>
      <c r="AE81" s="15" t="n">
        <v>1201.147</v>
      </c>
      <c r="AF81" s="16" t="n">
        <v>422.899</v>
      </c>
      <c r="AG81" s="15" t="n">
        <v>5159.312</v>
      </c>
      <c r="AH81" s="56" t="n">
        <v>0.01803064938393492</v>
      </c>
      <c r="AJ81" s="15" t="n">
        <v>5.251</v>
      </c>
      <c r="AK81" s="15" t="n">
        <v>6.303</v>
      </c>
      <c r="AL81" s="15" t="n">
        <v>7.807</v>
      </c>
      <c r="AM81" s="15" t="n">
        <v>10.524</v>
      </c>
      <c r="AN81" s="15" t="n">
        <v>13.977</v>
      </c>
      <c r="AP81" s="15" t="n">
        <v>2074.785714285714</v>
      </c>
      <c r="AQ81" s="15" t="n">
        <v>2738</v>
      </c>
      <c r="AR81" s="15" t="n">
        <v>3590.611111111111</v>
      </c>
      <c r="AS81" s="15" t="n">
        <v>4618.055555555556</v>
      </c>
      <c r="AT81" s="15" t="n">
        <v>6003.545454545455</v>
      </c>
      <c r="AV81" s="15" t="n">
        <v>87.71538461538461</v>
      </c>
      <c r="AW81" s="15" t="n">
        <v>-26.10692307692308</v>
      </c>
      <c r="AX81" s="15" t="n">
        <v>141.4266666666666</v>
      </c>
      <c r="AY81" s="15" t="n">
        <v>391.7785714285714</v>
      </c>
      <c r="AZ81" s="15" t="n">
        <v>752.3</v>
      </c>
      <c r="BB81" s="57" t="n">
        <v>748.6959642167501</v>
      </c>
      <c r="BC81" s="57" t="n">
        <v>715.5070000000001</v>
      </c>
      <c r="BD81" s="15" t="n">
        <v>33.18896421675001</v>
      </c>
      <c r="BE81" s="16" t="n">
        <v>41.669</v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15" t="n">
        <v>36.51377480987999</v>
      </c>
      <c r="E82" s="58" t="n">
        <v>279.88</v>
      </c>
      <c r="F82" s="59" t="n">
        <v>30.07522028798624</v>
      </c>
      <c r="G82" s="59" t="n">
        <v>25.85257712913356</v>
      </c>
      <c r="H82" s="59" t="n">
        <v>22.00141498309881</v>
      </c>
      <c r="I82" s="60" t="n">
        <v>1.943334558973731</v>
      </c>
      <c r="J82" s="15" t="n">
        <v>7.975571428571429</v>
      </c>
      <c r="K82" s="61" t="n">
        <v>0.2249856207745477</v>
      </c>
      <c r="L82" s="61" t="n">
        <v>0.09196634608047222</v>
      </c>
      <c r="M82" s="61" t="n">
        <v>0.05118366647714345</v>
      </c>
      <c r="N82" s="61" t="n">
        <v>0.1169552989811939</v>
      </c>
      <c r="O82" s="61" t="n">
        <v>0.1482757462565898</v>
      </c>
      <c r="Q82" s="62" t="n">
        <v>-0.01872239</v>
      </c>
      <c r="T82" s="57" t="n">
        <v>2.028330394368163</v>
      </c>
      <c r="AB82" s="15" t="n">
        <v>1619.6</v>
      </c>
      <c r="AC82" s="15" t="n">
        <v>4940</v>
      </c>
      <c r="AD82" s="15" t="n">
        <v>8548.9</v>
      </c>
      <c r="AE82" s="15" t="n">
        <v>183.3</v>
      </c>
      <c r="AF82" s="16" t="n">
        <v>33.7</v>
      </c>
      <c r="AG82" s="15" t="n">
        <v>13488.9</v>
      </c>
      <c r="AH82" s="56" t="n">
        <v>0.09196634608047222</v>
      </c>
      <c r="AJ82" s="15" t="n">
        <v>7.084000000000001</v>
      </c>
      <c r="AK82" s="15" t="n">
        <v>8.402000000000001</v>
      </c>
      <c r="AL82" s="15" t="n">
        <v>9.306000000000001</v>
      </c>
      <c r="AM82" s="15" t="n">
        <v>10.826</v>
      </c>
      <c r="AN82" s="15" t="n">
        <v>12.721</v>
      </c>
      <c r="AP82" s="15" t="n">
        <v>7380.363636363636</v>
      </c>
      <c r="AQ82" s="15" t="n">
        <v>7998.833333333333</v>
      </c>
      <c r="AR82" s="15" t="n">
        <v>7975.571428571428</v>
      </c>
      <c r="AS82" s="15" t="n">
        <v>8528.75</v>
      </c>
      <c r="AT82" s="15" t="n">
        <v>9291</v>
      </c>
      <c r="AV82" s="15" t="n">
        <v>1364.904761904762</v>
      </c>
      <c r="AW82" s="15" t="n">
        <v>1660.086956521739</v>
      </c>
      <c r="AX82" s="15" t="n">
        <v>1794.388888888889</v>
      </c>
      <c r="AY82" s="15" t="n">
        <v>2032.294117647059</v>
      </c>
      <c r="AZ82" s="15" t="n">
        <v>2313.333333333333</v>
      </c>
      <c r="BB82" s="57" t="n">
        <v>4793.213774809879</v>
      </c>
      <c r="BC82" s="57" t="n">
        <v>4756.7</v>
      </c>
      <c r="BD82" s="15" t="n">
        <v>36.51377480987999</v>
      </c>
      <c r="BE82" s="16" t="n">
        <v>2447</v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15" t="n">
        <v>70.03930620087</v>
      </c>
      <c r="E83" s="58" t="n">
        <v>104.63</v>
      </c>
      <c r="F83" s="59" t="n">
        <v>17.46453012852612</v>
      </c>
      <c r="G83" s="59" t="n">
        <v>15.67960437584295</v>
      </c>
      <c r="H83" s="59" t="n">
        <v>14.12964213369345</v>
      </c>
      <c r="I83" s="60" t="n">
        <v>1.984597156398104</v>
      </c>
      <c r="J83" s="15" t="n">
        <v>39.76308333333333</v>
      </c>
      <c r="K83" s="61" t="n">
        <v>0.1509680844268649</v>
      </c>
      <c r="L83" s="61" t="n">
        <v>0.09503239634673716</v>
      </c>
      <c r="M83" s="61" t="n">
        <v>0.05591885451265677</v>
      </c>
      <c r="N83" s="61" t="n">
        <v>0.08416068567031076</v>
      </c>
      <c r="O83" s="61" t="n">
        <v>0.09806171029236577</v>
      </c>
      <c r="Q83" s="62" t="n">
        <v>-0.1616186</v>
      </c>
      <c r="T83" s="57" t="n">
        <v>1.780973437691078</v>
      </c>
      <c r="AB83" s="15" t="n">
        <v>5440</v>
      </c>
      <c r="AC83" s="15" t="n">
        <v>19171</v>
      </c>
      <c r="AD83" s="15" t="n">
        <v>25478</v>
      </c>
      <c r="AE83" s="15" t="n">
        <v>4096</v>
      </c>
      <c r="AF83" s="16">
        <f>IF(ISNUMBER(_xlfn.SINGLE(_xll.BDP($B83,"BS_LONG_TERM_INVESTMENTS"))),_xlfn.SINGLE(_xll.BDP($B83,"BS_LONG_TERM_INVESTMENTS")),0)</f>
        <v/>
      </c>
      <c r="AG83" s="15" t="n">
        <v>44649</v>
      </c>
      <c r="AH83" s="56" t="n">
        <v>0.09503239634673716</v>
      </c>
      <c r="AJ83" s="15" t="n">
        <v>5.476</v>
      </c>
      <c r="AK83" s="15" t="n">
        <v>5.593</v>
      </c>
      <c r="AL83" s="15" t="n">
        <v>5.991000000000001</v>
      </c>
      <c r="AM83" s="15" t="n">
        <v>6.673</v>
      </c>
      <c r="AN83" s="15" t="n">
        <v>7.405</v>
      </c>
      <c r="AP83" s="15" t="n">
        <v>35998.92857142857</v>
      </c>
      <c r="AQ83" s="15" t="n">
        <v>37612.74074074074</v>
      </c>
      <c r="AR83" s="15" t="n">
        <v>39763.08333333334</v>
      </c>
      <c r="AS83" s="15" t="n">
        <v>41837.08695652174</v>
      </c>
      <c r="AT83" s="15" t="n">
        <v>44281.9375</v>
      </c>
      <c r="AV83" s="15" t="n">
        <v>5120.636363636364</v>
      </c>
      <c r="AW83" s="15" t="n">
        <v>5499.666666666667</v>
      </c>
      <c r="AX83" s="15" t="n">
        <v>6002.95652173913</v>
      </c>
      <c r="AY83" s="15" t="n">
        <v>6486.714285714286</v>
      </c>
      <c r="AZ83" s="15" t="n">
        <v>7008.375</v>
      </c>
      <c r="BB83" s="57" t="n">
        <v>15145.03930620087</v>
      </c>
      <c r="BC83" s="57" t="n">
        <v>15075</v>
      </c>
      <c r="BD83" s="15" t="n">
        <v>70.03930620087</v>
      </c>
      <c r="BE83" s="16" t="n">
        <v>7618</v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15" t="n">
        <v>232.9019028056</v>
      </c>
      <c r="E84" s="58" t="n">
        <v>502.6</v>
      </c>
      <c r="F84" s="59" t="n">
        <v>28.1900274833137</v>
      </c>
      <c r="G84" s="59" t="n">
        <v>25.78229198727814</v>
      </c>
      <c r="H84" s="59" t="n">
        <v>23.59845994929101</v>
      </c>
      <c r="I84" s="60" t="n">
        <v>1.827575150300601</v>
      </c>
      <c r="J84" s="15" t="n">
        <v>35.55140740740741</v>
      </c>
      <c r="K84" s="61" t="n">
        <v>0.3014767588269913</v>
      </c>
      <c r="L84" s="61" t="n">
        <v>0.1033492778381417</v>
      </c>
      <c r="M84" s="61" t="n">
        <v>0.0513686224743688</v>
      </c>
      <c r="N84" s="61" t="n">
        <v>0.07042822842444485</v>
      </c>
      <c r="O84" s="61" t="n">
        <v>0.09048566797907465</v>
      </c>
      <c r="Q84" s="62" t="n">
        <v>0.178733</v>
      </c>
      <c r="T84" s="57" t="n">
        <v>3.115413535968239</v>
      </c>
      <c r="AB84" s="15" t="n">
        <v>8695</v>
      </c>
      <c r="AC84" s="15" t="n">
        <v>27855</v>
      </c>
      <c r="AD84" s="15" t="n">
        <v>39741</v>
      </c>
      <c r="AE84" s="15" t="n">
        <v>5056</v>
      </c>
      <c r="AF84" s="16" t="n">
        <v>29</v>
      </c>
      <c r="AG84" s="15" t="n">
        <v>67596</v>
      </c>
      <c r="AH84" s="56" t="n">
        <v>0.1033492778381417</v>
      </c>
      <c r="AJ84" s="15" t="n">
        <v>15.482</v>
      </c>
      <c r="AK84" s="15" t="n">
        <v>16.424</v>
      </c>
      <c r="AL84" s="15" t="n">
        <v>17.829</v>
      </c>
      <c r="AM84" s="15" t="n">
        <v>19.494</v>
      </c>
      <c r="AN84" s="15" t="n">
        <v>21.298</v>
      </c>
      <c r="AP84" s="15" t="n">
        <v>33253.88235294117</v>
      </c>
      <c r="AQ84" s="15" t="n">
        <v>33872.83333333333</v>
      </c>
      <c r="AR84" s="15" t="n">
        <v>35551.40740740741</v>
      </c>
      <c r="AS84" s="15" t="n">
        <v>37341.51851851852</v>
      </c>
      <c r="AT84" s="15" t="n">
        <v>39365.57142857143</v>
      </c>
      <c r="AV84" s="15" t="n">
        <v>9610.799999999999</v>
      </c>
      <c r="AW84" s="15" t="n">
        <v>10116.24</v>
      </c>
      <c r="AX84" s="15" t="n">
        <v>10717.92307692308</v>
      </c>
      <c r="AY84" s="15" t="n">
        <v>11525.38461538462</v>
      </c>
      <c r="AZ84" s="15" t="n">
        <v>12407.71428571428</v>
      </c>
      <c r="BB84" s="57" t="n">
        <v>23031.9019028056</v>
      </c>
      <c r="BC84" s="57" t="n">
        <v>22799</v>
      </c>
      <c r="BD84" s="15" t="n">
        <v>232.9019028056</v>
      </c>
      <c r="BE84" s="16" t="n">
        <v>12769</v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15" t="n">
        <v>160.47730585584</v>
      </c>
      <c r="E85" s="58" t="n">
        <v>452.07</v>
      </c>
      <c r="F85" s="59" t="n">
        <v>45.47530429534252</v>
      </c>
      <c r="G85" s="59" t="n">
        <v>39.89674344718031</v>
      </c>
      <c r="H85" s="59" t="n">
        <v>34.74521558681116</v>
      </c>
      <c r="I85" s="60" t="n">
        <v>-1.59112239827748</v>
      </c>
      <c r="J85" s="15" t="n">
        <v>11.3920625</v>
      </c>
      <c r="K85" s="61" t="n">
        <v>0.3743729460753924</v>
      </c>
      <c r="L85" s="61" t="n">
        <v>0.1392379642040497</v>
      </c>
      <c r="M85" s="61" t="n">
        <v>0.1440815902993724</v>
      </c>
      <c r="N85" s="61" t="n">
        <v>0.1599557753798313</v>
      </c>
      <c r="O85" s="61" t="n">
        <v>0.14594862688765</v>
      </c>
      <c r="Q85" s="62" t="n">
        <v>-0.2017974</v>
      </c>
      <c r="T85" s="57" t="n">
        <v>3.115843243276898</v>
      </c>
      <c r="AB85" s="15" t="n">
        <v>2945.5</v>
      </c>
      <c r="AC85" s="15" t="n">
        <v>170.9</v>
      </c>
      <c r="AD85" s="15" t="n">
        <v>17941.7</v>
      </c>
      <c r="AE85" s="15" t="n">
        <v>3368</v>
      </c>
      <c r="AF85" s="16" t="n">
        <v>3099.2</v>
      </c>
      <c r="AG85" s="15" t="n">
        <v>18112.6</v>
      </c>
      <c r="AH85" s="56" t="n">
        <v>0.1392379642040497</v>
      </c>
      <c r="AJ85" s="15" t="n">
        <v>6.924</v>
      </c>
      <c r="AK85" s="15" t="n">
        <v>8.646000000000001</v>
      </c>
      <c r="AL85" s="15" t="n">
        <v>9.941000000000001</v>
      </c>
      <c r="AM85" s="15" t="n">
        <v>11.331</v>
      </c>
      <c r="AN85" s="15" t="n">
        <v>13.011</v>
      </c>
      <c r="AP85" s="15" t="n">
        <v>8193.206896551725</v>
      </c>
      <c r="AQ85" s="15" t="n">
        <v>9948</v>
      </c>
      <c r="AR85" s="15" t="n">
        <v>11392.0625</v>
      </c>
      <c r="AS85" s="15" t="n">
        <v>12959.90625</v>
      </c>
      <c r="AT85" s="15" t="n">
        <v>14897.27272727273</v>
      </c>
      <c r="AV85" s="15" t="n">
        <v>2902.869565217391</v>
      </c>
      <c r="AW85" s="15" t="n">
        <v>3673.346153846154</v>
      </c>
      <c r="AX85" s="15" t="n">
        <v>4264.88</v>
      </c>
      <c r="AY85" s="15" t="n">
        <v>4940.28</v>
      </c>
      <c r="AZ85" s="15" t="n">
        <v>5733.055555555556</v>
      </c>
      <c r="BB85" s="57" t="n">
        <v>-3036.62269414416</v>
      </c>
      <c r="BC85" s="57" t="n">
        <v>-3197.1</v>
      </c>
      <c r="BD85" s="15" t="n">
        <v>160.47730585584</v>
      </c>
      <c r="BE85" s="16" t="n">
        <v>3661.6</v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15" t="n">
        <v>70.85776979203999</v>
      </c>
      <c r="E86" s="58" t="n">
        <v>78.97</v>
      </c>
      <c r="F86" s="81" t="n">
        <v>15.30426356589147</v>
      </c>
      <c r="G86" s="81" t="n">
        <v>13.42114208021754</v>
      </c>
      <c r="H86" s="81" t="n">
        <v>11.80948108269777</v>
      </c>
      <c r="I86" s="60" t="n">
        <v>3.069480859989512</v>
      </c>
      <c r="J86" s="15" t="n">
        <v>15.92455172413793</v>
      </c>
      <c r="K86" s="61" t="n">
        <v>0.4057301920014452</v>
      </c>
      <c r="L86" s="61" t="n">
        <v>0.04574831718267919</v>
      </c>
      <c r="M86" s="61" t="n">
        <v>0.06229582634056774</v>
      </c>
      <c r="N86" s="61" t="n">
        <v>0.09864345815175724</v>
      </c>
      <c r="O86" s="61" t="n">
        <v>0.131338234923968</v>
      </c>
      <c r="Q86" s="62" t="n">
        <v>0.07252483</v>
      </c>
      <c r="T86" s="57" t="n">
        <v>1.165255766894625</v>
      </c>
      <c r="AB86" s="15" t="n">
        <v>5609</v>
      </c>
      <c r="AC86" s="15" t="n">
        <v>23598</v>
      </c>
      <c r="AD86" s="15" t="n">
        <v>46825</v>
      </c>
      <c r="AE86" s="15" t="n">
        <v>184</v>
      </c>
      <c r="AF86" s="16" t="n">
        <v>473</v>
      </c>
      <c r="AG86" s="15" t="n">
        <v>70423</v>
      </c>
      <c r="AH86" s="56" t="n">
        <v>0.04574831718267919</v>
      </c>
      <c r="AJ86" s="15" t="n">
        <v>4.205</v>
      </c>
      <c r="AK86" s="15" t="n">
        <v>4.618</v>
      </c>
      <c r="AL86" s="15" t="n">
        <v>5.16</v>
      </c>
      <c r="AM86" s="15" t="n">
        <v>5.884</v>
      </c>
      <c r="AN86" s="15" t="n">
        <v>6.687</v>
      </c>
      <c r="AP86" s="15" t="n">
        <v>14533.56666666667</v>
      </c>
      <c r="AQ86" s="15" t="n">
        <v>15082.82142857143</v>
      </c>
      <c r="AR86" s="15" t="n">
        <v>15924.55172413793</v>
      </c>
      <c r="AS86" s="15" t="n">
        <v>16904.72413793103</v>
      </c>
      <c r="AT86" s="15" t="n">
        <v>18080.85714285714</v>
      </c>
      <c r="AV86" s="15" t="n">
        <v>5562.904761904762</v>
      </c>
      <c r="AW86" s="15" t="n">
        <v>5908.785714285714</v>
      </c>
      <c r="AX86" s="15" t="n">
        <v>6461.071428571428</v>
      </c>
      <c r="AY86" s="15" t="n">
        <v>7097.75</v>
      </c>
      <c r="AZ86" s="15" t="n">
        <v>7835.533333333333</v>
      </c>
      <c r="BB86" s="57" t="n">
        <v>23484.85776979204</v>
      </c>
      <c r="BC86" s="57" t="n">
        <v>23414</v>
      </c>
      <c r="BD86" s="15" t="n">
        <v>70.85776979203999</v>
      </c>
      <c r="BE86" s="16" t="n">
        <v>7742</v>
      </c>
    </row>
    <row r="87">
      <c r="C87" s="15" t="n"/>
      <c r="D87" s="15" t="n"/>
      <c r="E87" s="58" t="n"/>
      <c r="F87" s="59" t="n"/>
      <c r="G87" s="59" t="n"/>
      <c r="H87" s="59" t="n"/>
      <c r="I87" s="60" t="n"/>
      <c r="J87" s="15" t="n"/>
      <c r="K87" s="61" t="n"/>
      <c r="L87" s="61" t="n"/>
      <c r="M87" s="61" t="n"/>
      <c r="N87" s="61" t="n"/>
      <c r="O87" s="6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58" t="n"/>
      <c r="F88" s="59" t="n"/>
      <c r="G88" s="59" t="n"/>
      <c r="H88" s="59" t="n"/>
      <c r="I88" s="60" t="n"/>
      <c r="J88" s="15" t="n"/>
      <c r="K88" s="61" t="n"/>
      <c r="L88" s="61" t="n"/>
      <c r="M88" s="61" t="n"/>
      <c r="N88" s="61" t="n"/>
      <c r="O88" s="6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15" t="n">
        <v>3757.1973488</v>
      </c>
      <c r="E89" s="58" t="n">
        <v>255.92</v>
      </c>
      <c r="F89" s="59" t="n">
        <v>30.07285546415981</v>
      </c>
      <c r="G89" s="59" t="n">
        <v>27.29813333333333</v>
      </c>
      <c r="H89" s="59" t="n">
        <v>24.90705596107056</v>
      </c>
      <c r="I89" s="60" t="n">
        <v>-0.3550378673921858</v>
      </c>
      <c r="J89" s="15" t="n">
        <v>464.4405555555555</v>
      </c>
      <c r="K89" s="61" t="n">
        <v>0.3236299654593827</v>
      </c>
      <c r="L89" s="61" t="n">
        <v>0.6878849332302649</v>
      </c>
      <c r="M89" s="61" t="n">
        <v>0.08241437998376999</v>
      </c>
      <c r="N89" s="61" t="n">
        <v>0.09456204323940698</v>
      </c>
      <c r="O89" s="61" t="n">
        <v>0.116275116729869</v>
      </c>
      <c r="Q89" s="62" t="n">
        <v>-0.05863307</v>
      </c>
      <c r="T89" s="57" t="n">
        <v>2.586353495909639</v>
      </c>
      <c r="AB89" s="15" t="n">
        <v>141070</v>
      </c>
      <c r="AC89" s="15" t="n">
        <v>112377</v>
      </c>
      <c r="AD89" s="15" t="n">
        <v>73733</v>
      </c>
      <c r="AE89" s="15" t="n">
        <v>35934</v>
      </c>
      <c r="AF89" s="16" t="n">
        <v>77723</v>
      </c>
      <c r="AG89" s="15" t="n">
        <v>186110</v>
      </c>
      <c r="AH89" s="56" t="n">
        <v>0.6878849332302649</v>
      </c>
      <c r="AJ89" s="15" t="n">
        <v>6.648000000000001</v>
      </c>
      <c r="AK89" s="15" t="n">
        <v>7.387</v>
      </c>
      <c r="AL89" s="15" t="n">
        <v>8.51</v>
      </c>
      <c r="AM89" s="15" t="n">
        <v>9.375</v>
      </c>
      <c r="AN89" s="15" t="n">
        <v>10.275</v>
      </c>
      <c r="AP89" s="15" t="n">
        <v>390254.9574468085</v>
      </c>
      <c r="AQ89" s="15" t="n">
        <v>415118.22</v>
      </c>
      <c r="AR89" s="15" t="n">
        <v>464440.5555555556</v>
      </c>
      <c r="AS89" s="15" t="n">
        <v>496783.5111111111</v>
      </c>
      <c r="AT89" s="15" t="n">
        <v>526444.3333333333</v>
      </c>
      <c r="AV89" s="15" t="n">
        <v>122664.5714285714</v>
      </c>
      <c r="AW89" s="15" t="n">
        <v>131985.7333333333</v>
      </c>
      <c r="AX89" s="15" t="n">
        <v>150306.8809523809</v>
      </c>
      <c r="AY89" s="15" t="n">
        <v>161407.0238095238</v>
      </c>
      <c r="AZ89" s="15" t="n">
        <v>173080.5</v>
      </c>
      <c r="BB89" s="57" t="n">
        <v>80200.19734879999</v>
      </c>
      <c r="BC89" s="57" t="n">
        <v>76443</v>
      </c>
      <c r="BD89" s="15" t="n">
        <v>3757.1973488</v>
      </c>
      <c r="BE89" s="16" t="n">
        <v>152902</v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15" t="n">
        <v>416.558517719</v>
      </c>
      <c r="E90" s="58" t="n">
        <v>98.66</v>
      </c>
      <c r="F90" s="59" t="n">
        <v>31.06423173803526</v>
      </c>
      <c r="G90" s="59" t="n">
        <v>25.64595788926436</v>
      </c>
      <c r="H90" s="59" t="n">
        <v>21.98306595365419</v>
      </c>
      <c r="I90" s="60" t="n">
        <v>0.5793179088245439</v>
      </c>
      <c r="J90" s="15" t="n">
        <v>51.23733333333334</v>
      </c>
      <c r="K90" s="61" t="n">
        <v>0.3177707431468476</v>
      </c>
      <c r="L90" s="61" t="n">
        <v>0.2765215522467273</v>
      </c>
      <c r="M90" s="61" t="n">
        <v>0.1177580261662126</v>
      </c>
      <c r="N90" s="61" t="n">
        <v>0.1989509948468162</v>
      </c>
      <c r="O90" s="61" t="n">
        <v>0.2065740517391585</v>
      </c>
      <c r="Q90" s="62" t="n">
        <v>0.05226107</v>
      </c>
      <c r="T90" s="57" t="n">
        <v>1.503781887245941</v>
      </c>
      <c r="AB90" s="15" t="n">
        <v>13326.603</v>
      </c>
      <c r="AC90" s="15" t="n">
        <v>16975.837</v>
      </c>
      <c r="AD90" s="15" t="n">
        <v>26615.488</v>
      </c>
      <c r="AE90" s="15" t="n">
        <v>9033.681</v>
      </c>
      <c r="AF90" s="16">
        <f>IF(ISNUMBER(_xlfn.SINGLE(_xll.BDP($B90,"BS_LONG_TERM_INVESTMENTS"))),_xlfn.SINGLE(_xll.BDP($B90,"BS_LONG_TERM_INVESTMENTS")),0)</f>
        <v/>
      </c>
      <c r="AG90" s="15" t="n">
        <v>43591.325</v>
      </c>
      <c r="AH90" s="56" t="n">
        <v>0.2765215522467273</v>
      </c>
      <c r="AJ90" s="15" t="n">
        <v>1.982</v>
      </c>
      <c r="AK90" s="15" t="n">
        <v>2.555</v>
      </c>
      <c r="AL90" s="15" t="n">
        <v>3.176</v>
      </c>
      <c r="AM90" s="15" t="n">
        <v>3.847</v>
      </c>
      <c r="AN90" s="15" t="n">
        <v>4.488</v>
      </c>
      <c r="AP90" s="15" t="n">
        <v>38862.5576923077</v>
      </c>
      <c r="AQ90" s="15" t="n">
        <v>45092.90697674418</v>
      </c>
      <c r="AR90" s="15" t="n">
        <v>51237.33333333334</v>
      </c>
      <c r="AS90" s="15" t="n">
        <v>57161.77551020408</v>
      </c>
      <c r="AT90" s="15" t="n">
        <v>62972.6</v>
      </c>
      <c r="AV90" s="15" t="n">
        <v>10340.98039215686</v>
      </c>
      <c r="AW90" s="15" t="n">
        <v>13252.36363636364</v>
      </c>
      <c r="AX90" s="15" t="n">
        <v>16281.72549019608</v>
      </c>
      <c r="AY90" s="15" t="n">
        <v>19463.20833333333</v>
      </c>
      <c r="AZ90" s="15" t="n">
        <v>22840.08108108108</v>
      </c>
      <c r="BB90" s="57" t="n">
        <v>8358.714517719</v>
      </c>
      <c r="BC90" s="57" t="n">
        <v>7942.155999999999</v>
      </c>
      <c r="BD90" s="15" t="n">
        <v>416.558517719</v>
      </c>
      <c r="BE90" s="16" t="n">
        <v>14163.629</v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15" t="n">
        <v>116.836844</v>
      </c>
      <c r="E91" s="58" t="n">
        <v>422.48</v>
      </c>
      <c r="F91" s="59" t="n">
        <v>18.20877510559434</v>
      </c>
      <c r="G91" s="59" t="n">
        <v>16.02366684366229</v>
      </c>
      <c r="H91" s="59" t="n">
        <v>14.14774629964503</v>
      </c>
      <c r="I91" s="60" t="n">
        <v>0.6124589137580216</v>
      </c>
      <c r="J91" s="15" t="n">
        <v>21.24362068965517</v>
      </c>
      <c r="K91" s="61" t="n">
        <v>0.4073037863583504</v>
      </c>
      <c r="L91" s="61" t="n">
        <v>0.172629358515485</v>
      </c>
      <c r="M91" s="61" t="n">
        <v>0.1248140058937053</v>
      </c>
      <c r="N91" s="61" t="n">
        <v>0.1320694083818665</v>
      </c>
      <c r="O91" s="61" t="n">
        <v>0.1411334158695068</v>
      </c>
      <c r="Q91" s="62" t="n">
        <v>-0.3622173</v>
      </c>
      <c r="T91" s="57" t="n">
        <v>1.290181704553253</v>
      </c>
      <c r="AB91" s="15" t="n">
        <v>5448</v>
      </c>
      <c r="AC91" s="15" t="n">
        <v>6639</v>
      </c>
      <c r="AD91" s="15" t="n">
        <v>19710</v>
      </c>
      <c r="AE91" s="15" t="n">
        <v>2884</v>
      </c>
      <c r="AF91" s="16" t="n">
        <v>94</v>
      </c>
      <c r="AG91" s="15" t="n">
        <v>26349</v>
      </c>
      <c r="AH91" s="56" t="n">
        <v>0.172629358515485</v>
      </c>
      <c r="AJ91" s="15" t="n">
        <v>16.817</v>
      </c>
      <c r="AK91" s="15" t="n">
        <v>20.096</v>
      </c>
      <c r="AL91" s="15" t="n">
        <v>23.202</v>
      </c>
      <c r="AM91" s="15" t="n">
        <v>26.366</v>
      </c>
      <c r="AN91" s="15" t="n">
        <v>29.862</v>
      </c>
      <c r="AP91" s="15" t="n">
        <v>16190.42307692308</v>
      </c>
      <c r="AQ91" s="15" t="n">
        <v>18749.65517241379</v>
      </c>
      <c r="AR91" s="15" t="n">
        <v>21243.62068965517</v>
      </c>
      <c r="AS91" s="15" t="n">
        <v>23866.93103448276</v>
      </c>
      <c r="AT91" s="15" t="n">
        <v>26683.04761904762</v>
      </c>
      <c r="AV91" s="15" t="n">
        <v>6376.666666666667</v>
      </c>
      <c r="AW91" s="15" t="n">
        <v>7554</v>
      </c>
      <c r="AX91" s="15" t="n">
        <v>8652.607142857143</v>
      </c>
      <c r="AY91" s="15" t="n">
        <v>9740.833333333334</v>
      </c>
      <c r="AZ91" s="15" t="n">
        <v>10959.63636363636</v>
      </c>
      <c r="BB91" s="57" t="n">
        <v>3871.836844</v>
      </c>
      <c r="BC91" s="57" t="n">
        <v>3755</v>
      </c>
      <c r="BD91" s="15" t="n">
        <v>116.836844</v>
      </c>
      <c r="BE91" s="16" t="n">
        <v>6389</v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15" t="n">
        <v>511.27976062302</v>
      </c>
      <c r="E92" s="58" t="n">
        <v>1317.23</v>
      </c>
      <c r="F92" s="59" t="n">
        <v>44.77784954278138</v>
      </c>
      <c r="G92" s="59" t="n">
        <v>34.57841129836719</v>
      </c>
      <c r="H92" s="59" t="n">
        <v>29.43991238853005</v>
      </c>
      <c r="I92" s="60" t="n">
        <v>-0.6576949313402735</v>
      </c>
      <c r="J92" s="15" t="n">
        <v>37.65132558139535</v>
      </c>
      <c r="K92" s="61" t="n">
        <v>0.3584874521508829</v>
      </c>
      <c r="L92" s="61" t="n">
        <v>0.3781530207345341</v>
      </c>
      <c r="M92" s="61" t="n">
        <v>0.1483016107161348</v>
      </c>
      <c r="N92" s="61" t="n">
        <v>0.2055161755381809</v>
      </c>
      <c r="O92" s="61" t="n">
        <v>0.2159224696946984</v>
      </c>
      <c r="Q92" s="62" t="n">
        <v>0.2312172</v>
      </c>
      <c r="T92" s="57" t="n">
        <v>2.073792950131342</v>
      </c>
      <c r="AB92" s="15" t="n">
        <v>12054</v>
      </c>
      <c r="AC92" s="15" t="n">
        <v>4451.7</v>
      </c>
      <c r="AD92" s="15" t="n">
        <v>24185</v>
      </c>
      <c r="AE92" s="15" t="n">
        <v>12916</v>
      </c>
      <c r="AF92" s="16" t="n">
        <v>1667.1</v>
      </c>
      <c r="AG92" s="15" t="n">
        <v>28636.7</v>
      </c>
      <c r="AH92" s="56" t="n">
        <v>0.3781530207345341</v>
      </c>
      <c r="AJ92" s="15" t="n">
        <v>19.071</v>
      </c>
      <c r="AK92" s="15" t="n">
        <v>24.889</v>
      </c>
      <c r="AL92" s="15" t="n">
        <v>29.417</v>
      </c>
      <c r="AM92" s="15" t="n">
        <v>38.094</v>
      </c>
      <c r="AN92" s="15" t="n">
        <v>44.743</v>
      </c>
      <c r="AP92" s="15" t="n">
        <v>28057.3</v>
      </c>
      <c r="AQ92" s="15" t="n">
        <v>32503.38461538462</v>
      </c>
      <c r="AR92" s="15" t="n">
        <v>37651.32558139535</v>
      </c>
      <c r="AS92" s="15" t="n">
        <v>44355.11904761905</v>
      </c>
      <c r="AT92" s="15" t="n">
        <v>49214.88888888888</v>
      </c>
      <c r="AV92" s="15" t="n">
        <v>8761.083333333334</v>
      </c>
      <c r="AW92" s="15" t="n">
        <v>11291.71875</v>
      </c>
      <c r="AX92" s="15" t="n">
        <v>13497.52777777778</v>
      </c>
      <c r="AY92" s="15" t="n">
        <v>17352.38888888889</v>
      </c>
      <c r="AZ92" s="15" t="n">
        <v>19782.40909090909</v>
      </c>
      <c r="BB92" s="57" t="n">
        <v>-7953.02023937698</v>
      </c>
      <c r="BC92" s="57" t="n">
        <v>-8464.299999999999</v>
      </c>
      <c r="BD92" s="15" t="n">
        <v>511.27976062302</v>
      </c>
      <c r="BE92" s="16" t="n">
        <v>13486.8</v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15" t="n">
        <v>276.54923035349</v>
      </c>
      <c r="E93" s="58" t="n">
        <v>348.47</v>
      </c>
      <c r="F93" s="59" t="n">
        <v>31.50723327305606</v>
      </c>
      <c r="G93" s="59" t="n">
        <v>25.08061033539657</v>
      </c>
      <c r="H93" s="59" t="n">
        <v>23.04543350307519</v>
      </c>
      <c r="I93" s="60" t="n">
        <v>-0.157224470364199</v>
      </c>
      <c r="J93" s="15" t="n">
        <v>31.46390909090909</v>
      </c>
      <c r="K93" s="61" t="n">
        <v>0.3125316259417957</v>
      </c>
      <c r="L93" s="61" t="n">
        <v>0.2340690135871654</v>
      </c>
      <c r="M93" s="61" t="n">
        <v>0.1314616914327358</v>
      </c>
      <c r="N93" s="61" t="n">
        <v>0.1675122667418523</v>
      </c>
      <c r="O93" s="61" t="n">
        <v>0.1738297652045877</v>
      </c>
      <c r="Q93" s="62" t="n">
        <v>0.3559672</v>
      </c>
      <c r="T93" s="57" t="n">
        <v>1.812533845165921</v>
      </c>
      <c r="AB93" s="15" t="n">
        <v>7945</v>
      </c>
      <c r="AC93" s="15" t="n">
        <v>7050</v>
      </c>
      <c r="AD93" s="15" t="n">
        <v>20415</v>
      </c>
      <c r="AE93" s="15" t="n">
        <v>7241</v>
      </c>
      <c r="AF93" s="16" t="n">
        <v>4327</v>
      </c>
      <c r="AG93" s="15" t="n">
        <v>27465</v>
      </c>
      <c r="AH93" s="56" t="n">
        <v>0.2340690135871654</v>
      </c>
      <c r="AJ93" s="15" t="n">
        <v>8.535</v>
      </c>
      <c r="AK93" s="15" t="n">
        <v>9.349</v>
      </c>
      <c r="AL93" s="15" t="n">
        <v>11.06</v>
      </c>
      <c r="AM93" s="15" t="n">
        <v>13.894</v>
      </c>
      <c r="AN93" s="15" t="n">
        <v>15.121</v>
      </c>
      <c r="AP93" s="15" t="n">
        <v>27100.59375</v>
      </c>
      <c r="AQ93" s="15" t="n">
        <v>28239.90322580645</v>
      </c>
      <c r="AR93" s="15" t="n">
        <v>31463.90909090909</v>
      </c>
      <c r="AS93" s="15" t="n">
        <v>37551.54545454546</v>
      </c>
      <c r="AT93" s="15" t="n">
        <v>40905.6</v>
      </c>
      <c r="AV93" s="15" t="n">
        <v>7887.137931034483</v>
      </c>
      <c r="AW93" s="15" t="n">
        <v>8511.5</v>
      </c>
      <c r="AX93" s="15" t="n">
        <v>9833.466666666665</v>
      </c>
      <c r="AY93" s="15" t="n">
        <v>12408.34482758621</v>
      </c>
      <c r="AZ93" s="15" t="n">
        <v>13545.35714285714</v>
      </c>
      <c r="BB93" s="57" t="n">
        <v>85.54923035349003</v>
      </c>
      <c r="BC93" s="57" t="n">
        <v>-191</v>
      </c>
      <c r="BD93" s="15" t="n">
        <v>276.54923035349</v>
      </c>
      <c r="BE93" s="16" t="n">
        <v>8402</v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15" t="n">
        <v>272.78153724</v>
      </c>
      <c r="E94" s="58" t="n">
        <v>218.44</v>
      </c>
      <c r="F94" s="59" t="n">
        <v>40.99080502908613</v>
      </c>
      <c r="G94" s="59" t="n">
        <v>31.1345496009122</v>
      </c>
      <c r="H94" s="59" t="n">
        <v>27.55645263025104</v>
      </c>
      <c r="I94" s="60" t="n">
        <v>-0.2310458636440326</v>
      </c>
      <c r="J94" s="15" t="n">
        <v>22.4134</v>
      </c>
      <c r="K94" s="61" t="n">
        <v>0.3444411278161077</v>
      </c>
      <c r="L94" s="61" t="n">
        <v>0.4248195929431116</v>
      </c>
      <c r="M94" s="61" t="n">
        <v>0.1900748481170675</v>
      </c>
      <c r="N94" s="61" t="n">
        <v>0.2411328488432289</v>
      </c>
      <c r="O94" s="61" t="n">
        <v>0.2545108916092862</v>
      </c>
      <c r="Q94" s="62" t="n">
        <v>0.2760837</v>
      </c>
      <c r="T94" s="57" t="n">
        <v>1.610571742918311</v>
      </c>
      <c r="AB94" s="15" t="n">
        <v>6942.178</v>
      </c>
      <c r="AC94" s="15" t="n">
        <v>4756.555</v>
      </c>
      <c r="AD94" s="15" t="n">
        <v>9861.618999999999</v>
      </c>
      <c r="AE94" s="15" t="n">
        <v>6390.659</v>
      </c>
      <c r="AF94" s="16">
        <f>IF(ISNUMBER(_xlfn.SINGLE(_xll.BDP($B94,"BS_LONG_TERM_INVESTMENTS"))),_xlfn.SINGLE(_xll.BDP($B94,"BS_LONG_TERM_INVESTMENTS")),0)</f>
        <v/>
      </c>
      <c r="AG94" s="15" t="n">
        <v>14618.174</v>
      </c>
      <c r="AH94" s="56" t="n">
        <v>0.4248195929431116</v>
      </c>
      <c r="AJ94" s="15" t="n">
        <v>2.977</v>
      </c>
      <c r="AK94" s="15" t="n">
        <v>4.015</v>
      </c>
      <c r="AL94" s="15" t="n">
        <v>5.329</v>
      </c>
      <c r="AM94" s="15" t="n">
        <v>7.016</v>
      </c>
      <c r="AN94" s="15" t="n">
        <v>7.927</v>
      </c>
      <c r="AP94" s="15" t="n">
        <v>14869.96153846154</v>
      </c>
      <c r="AQ94" s="15" t="n">
        <v>18262.03225806452</v>
      </c>
      <c r="AR94" s="15" t="n">
        <v>22413.4</v>
      </c>
      <c r="AS94" s="15" t="n">
        <v>27927.53333333333</v>
      </c>
      <c r="AT94" s="15" t="n">
        <v>30780.23529411765</v>
      </c>
      <c r="AV94" s="15" t="n">
        <v>4436.296296296297</v>
      </c>
      <c r="AW94" s="15" t="n">
        <v>5858.448275862069</v>
      </c>
      <c r="AX94" s="15" t="n">
        <v>7720.096774193548</v>
      </c>
      <c r="AY94" s="15" t="n">
        <v>10072.36666666667</v>
      </c>
      <c r="AZ94" s="15" t="n">
        <v>11200.5</v>
      </c>
      <c r="BB94" s="57" t="n">
        <v>-1361.322462759999</v>
      </c>
      <c r="BC94" s="57" t="n">
        <v>-1634.103999999999</v>
      </c>
      <c r="BD94" s="15" t="n">
        <v>272.78153724</v>
      </c>
      <c r="BE94" s="16" t="n">
        <v>7343.529</v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15" t="n">
        <v>177.42199827599</v>
      </c>
      <c r="E95" s="58" t="n">
        <v>194.87</v>
      </c>
      <c r="F95" s="59" t="n">
        <v>30.05397902529303</v>
      </c>
      <c r="G95" s="59" t="n">
        <v>24.9130657120941</v>
      </c>
      <c r="H95" s="59" t="n">
        <v>19.32850624876017</v>
      </c>
      <c r="I95" s="60" t="n">
        <v>1.233856893542757</v>
      </c>
      <c r="J95" s="15" t="n">
        <v>19.52989189189189</v>
      </c>
      <c r="K95" s="61" t="n">
        <v>0.3631511669169812</v>
      </c>
      <c r="L95" s="61" t="n">
        <v>0.1737826248977697</v>
      </c>
      <c r="M95" s="61" t="n">
        <v>0.1128426344332814</v>
      </c>
      <c r="N95" s="61" t="n">
        <v>0.1845662944470265</v>
      </c>
      <c r="O95" s="61" t="n">
        <v>0.2116363216142532</v>
      </c>
      <c r="Q95" s="62" t="n">
        <v>0.1232347</v>
      </c>
      <c r="T95" s="57" t="n">
        <v>1.420076610482393</v>
      </c>
      <c r="AB95" s="15" t="n">
        <v>6023</v>
      </c>
      <c r="AC95" s="15" t="n">
        <v>14779</v>
      </c>
      <c r="AD95" s="15" t="n">
        <v>16273</v>
      </c>
      <c r="AE95" s="15" t="n">
        <v>3225</v>
      </c>
      <c r="AF95" s="16" t="n">
        <v>16</v>
      </c>
      <c r="AG95" s="15" t="n">
        <v>31052</v>
      </c>
      <c r="AH95" s="56" t="n">
        <v>0.1737826248977697</v>
      </c>
      <c r="AJ95" s="15" t="n">
        <v>5.087</v>
      </c>
      <c r="AK95" s="15" t="n">
        <v>5.668</v>
      </c>
      <c r="AL95" s="15" t="n">
        <v>6.484</v>
      </c>
      <c r="AM95" s="15" t="n">
        <v>7.822</v>
      </c>
      <c r="AN95" s="48" t="n">
        <v>10.082</v>
      </c>
      <c r="AP95" s="15" t="n">
        <v>15491.58620689655</v>
      </c>
      <c r="AQ95" s="15" t="n">
        <v>17687.11428571429</v>
      </c>
      <c r="AR95" s="15" t="n">
        <v>19529.89189189189</v>
      </c>
      <c r="AS95" s="15" t="n">
        <v>21596.69444444444</v>
      </c>
      <c r="AT95" s="15" t="n">
        <v>24375.76470588235</v>
      </c>
      <c r="AV95" s="15" t="n">
        <v>5337.592592592592</v>
      </c>
      <c r="AW95" s="15" t="n">
        <v>6043.548387096774</v>
      </c>
      <c r="AX95" s="15" t="n">
        <v>7092.30303030303</v>
      </c>
      <c r="AY95" s="15" t="n">
        <v>8389</v>
      </c>
      <c r="AZ95" s="15" t="n">
        <v>10045.46666666667</v>
      </c>
      <c r="BB95" s="57" t="n">
        <v>11731.42199827599</v>
      </c>
      <c r="BC95" s="57" t="n">
        <v>11554</v>
      </c>
      <c r="BD95" s="15" t="n">
        <v>177.42199827599</v>
      </c>
      <c r="BE95" s="16" t="n">
        <v>8124</v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15" t="n">
        <v>3570.257675</v>
      </c>
      <c r="E96" s="58" t="n">
        <v>294.46</v>
      </c>
      <c r="F96" s="59" t="n">
        <v>24.07882901300188</v>
      </c>
      <c r="G96" s="59" t="n">
        <v>20.94757060539233</v>
      </c>
      <c r="H96" s="59" t="n">
        <v>17.92427562697833</v>
      </c>
      <c r="I96" s="60" t="n">
        <v>-0.416245440333507</v>
      </c>
      <c r="J96" s="15" t="n">
        <v>407.3702121212121</v>
      </c>
      <c r="K96" s="61" t="n">
        <v>0.3902683523782836</v>
      </c>
      <c r="L96" s="61" t="n">
        <v>0.2513086696597137</v>
      </c>
      <c r="M96" s="61" t="n">
        <v>0.1663290321644957</v>
      </c>
      <c r="N96" s="61" t="n">
        <v>0.1856441550732943</v>
      </c>
      <c r="O96" s="61" t="n">
        <v>0.146251336278151</v>
      </c>
      <c r="Q96" s="62" t="n">
        <v>-0.06163158</v>
      </c>
      <c r="T96" s="57" t="n">
        <v>1.646400615937421</v>
      </c>
      <c r="AB96" s="15" t="n">
        <v>129039</v>
      </c>
      <c r="AC96" s="15" t="n">
        <v>62941</v>
      </c>
      <c r="AD96" s="15" t="n">
        <v>415265</v>
      </c>
      <c r="AE96" s="15" t="n">
        <v>30708</v>
      </c>
      <c r="AF96" s="16" t="n">
        <v>68687</v>
      </c>
      <c r="AG96" s="15" t="n">
        <v>478206</v>
      </c>
      <c r="AH96" s="56" t="n">
        <v>0.2513086696597137</v>
      </c>
      <c r="AJ96" s="15" t="n">
        <v>8.249000000000001</v>
      </c>
      <c r="AK96" s="15" t="n">
        <v>10.908</v>
      </c>
      <c r="AL96" s="15" t="n">
        <v>12.229</v>
      </c>
      <c r="AM96" s="15" t="n">
        <v>14.057</v>
      </c>
      <c r="AN96" s="15" t="n">
        <v>16.428</v>
      </c>
      <c r="AP96" s="15" t="n">
        <v>298454.78125</v>
      </c>
      <c r="AQ96" s="15" t="n">
        <v>340854.8484848485</v>
      </c>
      <c r="AR96" s="15" t="n">
        <v>407370.2121212121</v>
      </c>
      <c r="AS96" s="15" t="n">
        <v>473490.4615384616</v>
      </c>
      <c r="AT96" s="15" t="n">
        <v>540795.0833333333</v>
      </c>
      <c r="AV96" s="15" t="n">
        <v>111599.9152542373</v>
      </c>
      <c r="AW96" s="15" t="n">
        <v>130993.803030303</v>
      </c>
      <c r="AX96" s="15" t="n">
        <v>158983.7014925373</v>
      </c>
      <c r="AY96" s="15" t="n">
        <v>187091.6140350877</v>
      </c>
      <c r="AZ96" s="15" t="n">
        <v>218330.2162162162</v>
      </c>
      <c r="BB96" s="57" t="n">
        <v>35803.257675</v>
      </c>
      <c r="BC96" s="57" t="n">
        <v>32233</v>
      </c>
      <c r="BD96" s="15" t="n">
        <v>3570.257675</v>
      </c>
      <c r="BE96" s="16" t="n">
        <v>153520</v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15" t="n">
        <v>12.7654999013</v>
      </c>
      <c r="E97" s="58" t="n">
        <v>150.79</v>
      </c>
      <c r="F97" s="59" t="n">
        <v>42.63217415889171</v>
      </c>
      <c r="G97" s="59" t="n">
        <v>35.33864541832668</v>
      </c>
      <c r="H97" s="59" t="n">
        <v>27.94995366079703</v>
      </c>
      <c r="I97" s="15" t="n">
        <v>-1.837257980115123</v>
      </c>
      <c r="J97" s="15" t="n">
        <v>1.445642857142857</v>
      </c>
      <c r="K97" s="61" t="n">
        <v>0.2073719057265675</v>
      </c>
      <c r="L97" s="61" t="n">
        <v>0.04788709576583394</v>
      </c>
      <c r="M97" s="61" t="n">
        <v>0.1774325078581764</v>
      </c>
      <c r="N97" s="61" t="n">
        <v>0.3903253043295936</v>
      </c>
      <c r="O97" s="61" t="n">
        <v>0.3065274146409722</v>
      </c>
      <c r="Q97" s="62" t="n">
        <v>-0.2498383</v>
      </c>
      <c r="T97" s="57" t="n">
        <v>1.390811135402871</v>
      </c>
      <c r="AB97" s="15" t="n">
        <v>90.98399999999999</v>
      </c>
      <c r="AC97" s="15" t="n">
        <v>715.693</v>
      </c>
      <c r="AD97" s="15" t="n">
        <v>1457.23</v>
      </c>
      <c r="AE97" s="15" t="n">
        <v>697.902</v>
      </c>
      <c r="AF97" s="16" t="n">
        <v>333.754</v>
      </c>
      <c r="AG97" s="15" t="n">
        <v>2172.923</v>
      </c>
      <c r="AH97" s="56" t="n">
        <v>0.04788709576583394</v>
      </c>
      <c r="AJ97" s="15" t="n">
        <v>1.272</v>
      </c>
      <c r="AK97" s="15" t="n">
        <v>2.419</v>
      </c>
      <c r="AL97" s="15" t="n">
        <v>3.537</v>
      </c>
      <c r="AM97" s="15" t="n">
        <v>4.267</v>
      </c>
      <c r="AN97" s="15" t="n">
        <v>5.395</v>
      </c>
      <c r="AP97" s="15" t="n">
        <v>972.8666666666667</v>
      </c>
      <c r="AQ97" s="15" t="n">
        <v>1183.866666666667</v>
      </c>
      <c r="AR97" s="15" t="n">
        <v>1445.642857142857</v>
      </c>
      <c r="AS97" s="15" t="n">
        <v>1677</v>
      </c>
      <c r="AT97" s="15" t="n">
        <v>1932.461538461539</v>
      </c>
      <c r="AV97" s="15" t="n">
        <v>99.9875</v>
      </c>
      <c r="AW97" s="15" t="n">
        <v>192.2</v>
      </c>
      <c r="AX97" s="15" t="n">
        <v>299.7857142857143</v>
      </c>
      <c r="AY97" s="15" t="n">
        <v>390.2857142857143</v>
      </c>
      <c r="AZ97" s="15" t="n">
        <v>516.5384615384615</v>
      </c>
      <c r="BB97" s="57" t="n">
        <v>30.55649990129994</v>
      </c>
      <c r="BC97" s="57" t="n">
        <v>17.79099999999994</v>
      </c>
      <c r="BD97" s="15" t="n">
        <v>12.7654999013</v>
      </c>
      <c r="BE97" s="16" t="n">
        <v>116.571</v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15" t="n">
        <v>28.41631572334</v>
      </c>
      <c r="E98" s="58" t="n">
        <v>173.98</v>
      </c>
      <c r="F98" s="59" t="n">
        <v>21.90907946102506</v>
      </c>
      <c r="G98" s="59" t="n">
        <v>19.62770758122743</v>
      </c>
      <c r="H98" s="59" t="n">
        <v>17.59506472491909</v>
      </c>
      <c r="I98" s="60" t="n">
        <v>-6.662559862976005</v>
      </c>
      <c r="J98" s="15" t="n">
        <v>3.169607142857143</v>
      </c>
      <c r="K98" s="61" t="n">
        <v>0.447360909230902</v>
      </c>
      <c r="L98" s="61" t="n">
        <v>0.1104497409512005</v>
      </c>
      <c r="M98" s="61" t="n">
        <v>0.1399762160469546</v>
      </c>
      <c r="N98" s="61" t="n">
        <v>0.172832013049856</v>
      </c>
      <c r="O98" s="61" t="n">
        <v>0.1528751129972787</v>
      </c>
      <c r="Q98" s="62" t="n">
        <v>-0.2206245</v>
      </c>
      <c r="T98" s="57" t="n">
        <v>1.433135781977479</v>
      </c>
      <c r="AB98" s="15" t="n">
        <v>916.369</v>
      </c>
      <c r="AC98" s="15" t="n">
        <v>95.85900000000001</v>
      </c>
      <c r="AD98" s="15" t="n">
        <v>7214.751999999999</v>
      </c>
      <c r="AE98" s="15" t="n">
        <v>1421.233</v>
      </c>
      <c r="AF98" s="16">
        <f>IF(ISNUMBER(_xlfn.SINGLE(_xll.BDP($B98,"BS_LONG_TERM_INVESTMENTS"))),_xlfn.SINGLE(_xll.BDP($B98,"BS_LONG_TERM_INVESTMENTS")),0)</f>
        <v/>
      </c>
      <c r="AG98" s="15" t="n">
        <v>7310.611</v>
      </c>
      <c r="AH98" s="56" t="n">
        <v>0.1104497409512005</v>
      </c>
      <c r="AJ98" s="15" t="n">
        <v>4.76</v>
      </c>
      <c r="AK98" s="15" t="n">
        <v>6.453</v>
      </c>
      <c r="AL98" s="15" t="n">
        <v>7.941</v>
      </c>
      <c r="AM98" s="15" t="n">
        <v>8.864000000000001</v>
      </c>
      <c r="AN98" s="15" t="n">
        <v>9.888</v>
      </c>
      <c r="AP98" s="15" t="n">
        <v>2354.2</v>
      </c>
      <c r="AQ98" s="15" t="n">
        <v>2724.555555555555</v>
      </c>
      <c r="AR98" s="15" t="n">
        <v>3169.607142857143</v>
      </c>
      <c r="AS98" s="15" t="n">
        <v>3595.740740740741</v>
      </c>
      <c r="AT98" s="15" t="n">
        <v>4036.296296296296</v>
      </c>
      <c r="AV98" s="15" t="n">
        <v>830.4583333333334</v>
      </c>
      <c r="AW98" s="15" t="n">
        <v>1120.368421052632</v>
      </c>
      <c r="AX98" s="15" t="n">
        <v>1417.958333333333</v>
      </c>
      <c r="AY98" s="15" t="n">
        <v>1593.461538461539</v>
      </c>
      <c r="AZ98" s="15" t="n">
        <v>1807.458333333333</v>
      </c>
      <c r="BB98" s="57" t="n">
        <v>-1296.95768427666</v>
      </c>
      <c r="BC98" s="57" t="n">
        <v>-1325.374</v>
      </c>
      <c r="BD98" s="15" t="n">
        <v>28.41631572334</v>
      </c>
      <c r="BE98" s="16" t="n">
        <v>971.341</v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15" t="n">
        <v>106.692</v>
      </c>
      <c r="E99" s="58" t="n">
        <v>102</v>
      </c>
      <c r="F99" s="59" t="n">
        <v>24.44870565675935</v>
      </c>
      <c r="G99" s="59" t="n">
        <v>20.33087502491529</v>
      </c>
      <c r="H99" s="59" t="n">
        <v>16.91542288557214</v>
      </c>
      <c r="I99" s="60" t="n">
        <v>-2.824658545588778</v>
      </c>
      <c r="J99" s="15" t="n">
        <v>15.98144186046512</v>
      </c>
      <c r="K99" s="61" t="n">
        <v>0.3202881636937417</v>
      </c>
      <c r="L99" s="61" t="n">
        <v>0.1020279673462508</v>
      </c>
      <c r="M99" s="61" t="n">
        <v>0.1935547688231058</v>
      </c>
      <c r="N99" s="61" t="n">
        <v>0.2196905342648501</v>
      </c>
      <c r="O99" s="61" t="n">
        <v>0.2009854970582741</v>
      </c>
      <c r="Q99" s="62" t="n">
        <v>-0.3341602</v>
      </c>
      <c r="T99" s="57" t="n">
        <v>1.216441286291948</v>
      </c>
      <c r="AB99" s="15" t="n">
        <v>1824</v>
      </c>
      <c r="AC99" s="15" t="n">
        <v>2403</v>
      </c>
      <c r="AD99" s="15" t="n">
        <v>12964</v>
      </c>
      <c r="AE99" s="15" t="n">
        <v>3726</v>
      </c>
      <c r="AF99" s="16" t="n">
        <v>3771</v>
      </c>
      <c r="AG99" s="15" t="n">
        <v>15367</v>
      </c>
      <c r="AH99" s="56" t="n">
        <v>0.1020279673462508</v>
      </c>
      <c r="AJ99" s="15" t="n">
        <v>2.782</v>
      </c>
      <c r="AK99" s="15" t="n">
        <v>3.481</v>
      </c>
      <c r="AL99" s="15" t="n">
        <v>4.172</v>
      </c>
      <c r="AM99" s="15" t="n">
        <v>5.017</v>
      </c>
      <c r="AN99" s="15" t="n">
        <v>6.03</v>
      </c>
      <c r="AP99" s="15" t="n">
        <v>10991.92857142857</v>
      </c>
      <c r="AQ99" s="15" t="n">
        <v>13242.16279069767</v>
      </c>
      <c r="AR99" s="15" t="n">
        <v>15981.44186046512</v>
      </c>
      <c r="AS99" s="15" t="n">
        <v>18934.62790697674</v>
      </c>
      <c r="AT99" s="15" t="n">
        <v>22515.72727272727</v>
      </c>
      <c r="AV99" s="15" t="n">
        <v>3246.108108108108</v>
      </c>
      <c r="AW99" s="15" t="n">
        <v>4113.756097560976</v>
      </c>
      <c r="AX99" s="15" t="n">
        <v>5118.666666666667</v>
      </c>
      <c r="AY99" s="15" t="n">
        <v>6165.488372093023</v>
      </c>
      <c r="AZ99" s="15" t="n">
        <v>7464.272727272727</v>
      </c>
      <c r="BB99" s="57" t="n">
        <v>-1216.308</v>
      </c>
      <c r="BC99" s="57" t="n">
        <v>-1323</v>
      </c>
      <c r="BD99" s="15" t="n">
        <v>106.692</v>
      </c>
      <c r="BE99" s="16" t="n">
        <v>2709</v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15" t="n">
        <v>153.9623819489279</v>
      </c>
      <c r="E100" s="58" t="n">
        <v>118.25</v>
      </c>
      <c r="F100" s="59" t="n">
        <v>64.09214092140921</v>
      </c>
      <c r="G100" s="59" t="n">
        <v>49.55993294216261</v>
      </c>
      <c r="H100" s="59" t="n">
        <v>35.80078716318499</v>
      </c>
      <c r="I100" s="60" t="n">
        <v>-3.729152768512341</v>
      </c>
      <c r="J100" s="15" t="n">
        <v>14.66109803921569</v>
      </c>
      <c r="K100" s="61" t="n">
        <v>0.1808319980592492</v>
      </c>
      <c r="L100" s="61" t="n">
        <v>0.09816323427765761</v>
      </c>
      <c r="M100" s="61" t="n">
        <v>0.2537306123922491</v>
      </c>
      <c r="N100" s="61" t="n">
        <v>0.3575050674069207</v>
      </c>
      <c r="O100" s="61" t="n">
        <v>0.315468300345189</v>
      </c>
      <c r="Q100" s="62" t="n">
        <v>-0.2653911</v>
      </c>
      <c r="T100" s="57" t="n">
        <v>2.031650750686483</v>
      </c>
      <c r="AB100" s="15" t="n">
        <v>1468</v>
      </c>
      <c r="AC100" s="15" t="n">
        <v>188</v>
      </c>
      <c r="AD100" s="15" t="n">
        <v>13473</v>
      </c>
      <c r="AE100" s="15" t="n">
        <v>1545</v>
      </c>
      <c r="AF100" s="16" t="n">
        <v>975</v>
      </c>
      <c r="AG100" s="15" t="n">
        <v>13661</v>
      </c>
      <c r="AH100" s="56" t="n">
        <v>0.09816323427765761</v>
      </c>
      <c r="AJ100" s="15" t="n">
        <v>1.298</v>
      </c>
      <c r="AK100" s="15" t="n">
        <v>1.451</v>
      </c>
      <c r="AL100" s="15" t="n">
        <v>1.845</v>
      </c>
      <c r="AM100" s="15" t="n">
        <v>2.386</v>
      </c>
      <c r="AN100" s="15" t="n">
        <v>3.303</v>
      </c>
      <c r="AP100" s="15" t="n">
        <v>8799.58</v>
      </c>
      <c r="AQ100" s="15" t="n">
        <v>11475</v>
      </c>
      <c r="AR100" s="15" t="n">
        <v>14661.09803921569</v>
      </c>
      <c r="AS100" s="15" t="n">
        <v>18131.45833333333</v>
      </c>
      <c r="AT100" s="15" t="n">
        <v>22613.375</v>
      </c>
      <c r="AV100" s="15" t="n">
        <v>1454.325581395349</v>
      </c>
      <c r="AW100" s="15" t="n">
        <v>1925.119047619048</v>
      </c>
      <c r="AX100" s="15" t="n">
        <v>2651.195652173913</v>
      </c>
      <c r="AY100" s="15" t="n">
        <v>3500.5</v>
      </c>
      <c r="AZ100" s="15" t="n">
        <v>4815.95</v>
      </c>
      <c r="BB100" s="57" t="n">
        <v>-1203.037618051072</v>
      </c>
      <c r="BC100" s="57" t="n">
        <v>-1357</v>
      </c>
      <c r="BD100" s="15" t="n">
        <v>153.9623819489279</v>
      </c>
      <c r="BE100" s="16" t="n">
        <v>1522</v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15" t="n">
        <v>1489.2898772772</v>
      </c>
      <c r="E102" s="58" t="n">
        <v>314.55</v>
      </c>
      <c r="F102" s="59" t="n">
        <v>28.09736489504243</v>
      </c>
      <c r="G102" s="59" t="n">
        <v>18.07550856223423</v>
      </c>
      <c r="H102" s="59" t="n">
        <v>14.21823441667043</v>
      </c>
      <c r="I102" s="60" t="n">
        <v>1.419857146766646</v>
      </c>
      <c r="J102" s="15" t="n">
        <v>103.7797555555556</v>
      </c>
      <c r="K102" s="61" t="n">
        <v>0.6590145453218063</v>
      </c>
      <c r="L102" s="61" t="n">
        <v>0.1900357389159896</v>
      </c>
      <c r="M102" s="61" t="n">
        <v>0.4457558360536007</v>
      </c>
      <c r="N102" s="61" t="n">
        <v>0.4636467831871205</v>
      </c>
      <c r="O102" s="61" t="n">
        <v>0.4854847478580779</v>
      </c>
      <c r="Q102" s="62" t="n">
        <v>-0.09115864</v>
      </c>
      <c r="T102" s="57" t="n">
        <v>0.5787486634545346</v>
      </c>
      <c r="AA102" s="61">
        <f t="array" ref="AA102">_xll.BDP(B102,"CHG_PCT_1YR")/100</f>
        <v/>
      </c>
      <c r="AB102" s="15" t="n">
        <v>27787</v>
      </c>
      <c r="AC102" s="15" t="n">
        <v>66461</v>
      </c>
      <c r="AD102" s="15" t="n">
        <v>81292</v>
      </c>
      <c r="AE102" s="15" t="n">
        <v>16178</v>
      </c>
      <c r="AF102" s="16">
        <f>IF(ISNUMBER(_xlfn.SINGLE(_xll.BDP($B102,"BS_LONG_TERM_INVESTMENTS"))),_xlfn.SINGLE(_xll.BDP($B102,"BS_LONG_TERM_INVESTMENTS")),0)</f>
        <v/>
      </c>
      <c r="AG102" s="15" t="n">
        <v>147753</v>
      </c>
      <c r="AH102" s="56" t="n">
        <v>0.1900357389159896</v>
      </c>
      <c r="AJ102" s="15" t="n">
        <v>4.73</v>
      </c>
      <c r="AK102" s="15" t="n">
        <v>6.749000000000001</v>
      </c>
      <c r="AL102" s="15" t="n">
        <v>11.195</v>
      </c>
      <c r="AM102" s="15" t="n">
        <v>17.402</v>
      </c>
      <c r="AN102" s="15" t="n">
        <v>22.123</v>
      </c>
      <c r="AO102" s="15">
        <f t="array" ref="AO102">_xll.BDP($B102,"EQY_FISCAL_YR_END")</f>
        <v/>
      </c>
      <c r="AP102" s="15" t="n">
        <v>51577.78048780488</v>
      </c>
      <c r="AQ102" s="15" t="n">
        <v>63377.95918367347</v>
      </c>
      <c r="AR102" s="15" t="n">
        <v>103779.7555555556</v>
      </c>
      <c r="AS102" s="15" t="n">
        <v>157222.3111111111</v>
      </c>
      <c r="AT102" s="15" t="n">
        <v>191523.96</v>
      </c>
      <c r="AV102" s="15" t="n">
        <v>30632.53125</v>
      </c>
      <c r="AW102" s="15" t="n">
        <v>41515</v>
      </c>
      <c r="AX102" s="15" t="n">
        <v>68392.36842105264</v>
      </c>
      <c r="AY102" s="15" t="n">
        <v>104888.4102564103</v>
      </c>
      <c r="AZ102" s="15" t="n">
        <v>130170.8947368421</v>
      </c>
      <c r="BB102" s="57" t="n">
        <v>51772.2898772772</v>
      </c>
      <c r="BC102" s="57" t="n">
        <v>50283</v>
      </c>
      <c r="BD102" s="15" t="n">
        <v>1489.2898772772</v>
      </c>
      <c r="BE102" s="16" t="n">
        <v>36541</v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15" t="n">
        <v>93.64627300000002</v>
      </c>
      <c r="E103" s="58" t="n">
        <v>107.11</v>
      </c>
      <c r="F103" s="59" t="n">
        <v>37.75467042650687</v>
      </c>
      <c r="G103" s="59" t="n">
        <v>28.08337703198741</v>
      </c>
      <c r="H103" s="59" t="n">
        <v>19.75834716841911</v>
      </c>
      <c r="I103" s="60" t="n">
        <v>0.8232255595944136</v>
      </c>
      <c r="J103" s="15" t="n">
        <v>8.178444444444445</v>
      </c>
      <c r="K103" s="61" t="n">
        <v>0.3529972930195908</v>
      </c>
      <c r="L103" s="61" t="n">
        <v>0.06470955415841996</v>
      </c>
      <c r="M103" s="61" t="n">
        <v>0.3735266636030947</v>
      </c>
      <c r="N103" s="61" t="n">
        <v>0.4844404002677112</v>
      </c>
      <c r="O103" s="61" t="n">
        <v>0.5140241150906555</v>
      </c>
      <c r="Q103" s="62" t="n">
        <v>0.2604142</v>
      </c>
      <c r="T103" s="57" t="n">
        <v>0.7344922021770962</v>
      </c>
      <c r="AA103" s="61">
        <f t="array" ref="AA103">_xll.BDP(B103,"CHG_PCT_1YR")/100</f>
        <v/>
      </c>
      <c r="AB103" s="15" t="n">
        <v>1322.9</v>
      </c>
      <c r="AC103" s="15" t="n">
        <v>4790.3</v>
      </c>
      <c r="AD103" s="15" t="n">
        <v>14308.4</v>
      </c>
      <c r="AE103" s="15" t="n">
        <v>2638.8</v>
      </c>
      <c r="AF103" s="16">
        <f>IF(ISNUMBER(_xlfn.SINGLE(_xll.BDP($B103,"BS_LONG_TERM_INVESTMENTS"))),_xlfn.SINGLE(_xll.BDP($B103,"BS_LONG_TERM_INVESTMENTS")),0)</f>
        <v/>
      </c>
      <c r="AG103" s="15" t="n">
        <v>19098.7</v>
      </c>
      <c r="AH103" s="56" t="n">
        <v>0.06470955415841996</v>
      </c>
      <c r="AJ103" s="15" t="n">
        <v>1.512</v>
      </c>
      <c r="AK103" s="15" t="n">
        <v>1.562</v>
      </c>
      <c r="AL103" s="15" t="n">
        <v>2.837</v>
      </c>
      <c r="AM103" s="15" t="n">
        <v>3.814</v>
      </c>
      <c r="AN103" s="15" t="n">
        <v>5.421</v>
      </c>
      <c r="AO103" s="15">
        <f t="array" ref="AO103">_xll.BDP($B103,"EQY_FISCAL_YR_END")</f>
        <v/>
      </c>
      <c r="AP103" s="15" t="n">
        <v>5501.733333333333</v>
      </c>
      <c r="AQ103" s="15" t="n">
        <v>5752.676470588235</v>
      </c>
      <c r="AR103" s="15" t="n">
        <v>8178.444444444444</v>
      </c>
      <c r="AS103" s="15" t="n">
        <v>10861.68292682927</v>
      </c>
      <c r="AT103" s="15" t="n">
        <v>14906.69047619048</v>
      </c>
      <c r="AV103" s="15" t="n">
        <v>1593.772727272727</v>
      </c>
      <c r="AW103" s="15" t="n">
        <v>1654.655172413793</v>
      </c>
      <c r="AX103" s="15" t="n">
        <v>2886.96875</v>
      </c>
      <c r="AY103" s="15" t="n">
        <v>3852.459459459459</v>
      </c>
      <c r="AZ103" s="15" t="n">
        <v>5412.473684210527</v>
      </c>
      <c r="BB103" s="57" t="n">
        <v>2245.146273</v>
      </c>
      <c r="BC103" s="57" t="n">
        <v>2151.5</v>
      </c>
      <c r="BD103" s="15" t="n">
        <v>93.64627300000002</v>
      </c>
      <c r="BE103" s="16" t="n">
        <v>2685.7</v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15" t="n">
        <v>159.17822193208</v>
      </c>
      <c r="E104" s="58" t="n">
        <v>126.68</v>
      </c>
      <c r="F104" s="59" t="n">
        <v>35.84606677985285</v>
      </c>
      <c r="G104" s="59" t="n">
        <v>29.61889174655132</v>
      </c>
      <c r="H104" s="59" t="n">
        <v>25.56093623890234</v>
      </c>
      <c r="I104" s="60" t="n">
        <v>-2.734492325705704</v>
      </c>
      <c r="J104" s="15" t="n">
        <v>11.43458620689655</v>
      </c>
      <c r="K104" s="61" t="n">
        <v>0.4632504252652443</v>
      </c>
      <c r="L104" s="61" t="n">
        <v>0.2841425435984195</v>
      </c>
      <c r="M104" s="61" t="n">
        <v>0.22650270223825</v>
      </c>
      <c r="N104" s="61" t="n">
        <v>0.2192539865675267</v>
      </c>
      <c r="O104" s="61" t="n">
        <v>0.1993112031146433</v>
      </c>
      <c r="Q104" s="62" t="n">
        <v>-0.0331985</v>
      </c>
      <c r="T104" s="57" t="n">
        <v>1.798497335808779</v>
      </c>
      <c r="AA104" s="61">
        <f t="array" ref="AA104">_xll.BDP(B104,"CHG_PCT_1YR")/100</f>
        <v/>
      </c>
      <c r="AB104" s="15" t="n">
        <v>3856.1</v>
      </c>
      <c r="AC104" s="15">
        <f t="array" ref="AC104">_xll.BDP($B104,"SHORT_AND_LONG_TERM_DEBT")</f>
        <v/>
      </c>
      <c r="AD104" s="15" t="n">
        <v>12370.5</v>
      </c>
      <c r="AE104" s="15" t="n">
        <v>1963.9</v>
      </c>
      <c r="AF104" s="16">
        <f>IF(ISNUMBER(_xlfn.SINGLE(_xll.BDP($B104,"BS_LONG_TERM_INVESTMENTS"))),_xlfn.SINGLE(_xll.BDP($B104,"BS_LONG_TERM_INVESTMENTS")),0)</f>
        <v/>
      </c>
      <c r="AG104" s="15">
        <f>SUM(AC104,AD104,-AE104,-AF104)</f>
        <v/>
      </c>
      <c r="AH104" s="56" t="n">
        <v>0.2841425435984195</v>
      </c>
      <c r="AJ104" s="15" t="n">
        <v>2.191</v>
      </c>
      <c r="AK104" s="15" t="n">
        <v>2.873</v>
      </c>
      <c r="AL104" s="15" t="n">
        <v>3.534</v>
      </c>
      <c r="AM104" s="15" t="n">
        <v>4.277</v>
      </c>
      <c r="AN104" s="15" t="n">
        <v>4.956</v>
      </c>
      <c r="AO104" s="15">
        <f t="array" ref="AO104">_xll.BDP($B104,"EQY_FISCAL_YR_END")</f>
        <v/>
      </c>
      <c r="AP104" s="15" t="n">
        <v>6967</v>
      </c>
      <c r="AQ104" s="15" t="n">
        <v>8896.120000000001</v>
      </c>
      <c r="AR104" s="15" t="n">
        <v>11434.58620689655</v>
      </c>
      <c r="AS104" s="15" t="n">
        <v>14002.39285714286</v>
      </c>
      <c r="AT104" s="15" t="n">
        <v>16413.6875</v>
      </c>
      <c r="AV104" s="15" t="n">
        <v>3273</v>
      </c>
      <c r="AW104" s="15" t="n">
        <v>4286.181818181818</v>
      </c>
      <c r="AX104" s="15" t="n">
        <v>5297.076923076924</v>
      </c>
      <c r="AY104" s="15" t="n">
        <v>6478.4</v>
      </c>
      <c r="AZ104" s="15" t="n">
        <v>7768.785714285714</v>
      </c>
      <c r="BB104" s="57" t="n">
        <v>-1804.72177806792</v>
      </c>
      <c r="BC104" s="57" t="n">
        <v>-1963.9</v>
      </c>
      <c r="BD104" s="15" t="n">
        <v>159.17822193208</v>
      </c>
      <c r="BE104" s="16" t="n">
        <v>3928.7</v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15" t="n">
        <v>48.40031491232001</v>
      </c>
      <c r="E105" s="58" t="n">
        <v>258.16</v>
      </c>
      <c r="F105" s="59" t="n">
        <v>47.7631822386679</v>
      </c>
      <c r="G105" s="59" t="n">
        <v>34.40757030521125</v>
      </c>
      <c r="H105" s="59" t="n">
        <v>28.65896980461812</v>
      </c>
      <c r="I105" s="60" t="n">
        <v>1.821405221325515</v>
      </c>
      <c r="J105" s="15" t="n">
        <v>6.9655</v>
      </c>
      <c r="K105" s="61" t="n">
        <v>0.2048139514675714</v>
      </c>
      <c r="L105" s="61" t="n">
        <v>0.02728208233742803</v>
      </c>
      <c r="M105" s="61" t="n">
        <v>0.2116813113145664</v>
      </c>
      <c r="N105" s="61" t="n">
        <v>0.3201940959709235</v>
      </c>
      <c r="O105" s="61" t="n">
        <v>0.3695068343133865</v>
      </c>
      <c r="Q105" s="62" t="n">
        <v>0.3987105</v>
      </c>
      <c r="T105" s="57" t="n">
        <v>1.292619724542333</v>
      </c>
      <c r="AA105" s="61">
        <f t="array" ref="AA105">_xll.BDP(B105,"CHG_PCT_1YR")/100</f>
        <v/>
      </c>
      <c r="AB105" s="15" t="n">
        <v>520.828</v>
      </c>
      <c r="AC105" s="15" t="n">
        <v>3893.658</v>
      </c>
      <c r="AD105" s="15" t="n">
        <v>8481.282999999999</v>
      </c>
      <c r="AE105" s="15" t="n">
        <v>909.2</v>
      </c>
      <c r="AF105" s="16">
        <f>IF(ISNUMBER(_xlfn.SINGLE(_xll.BDP($B105,"BS_LONG_TERM_INVESTMENTS"))),_xlfn.SINGLE(_xll.BDP($B105,"BS_LONG_TERM_INVESTMENTS")),0)</f>
        <v/>
      </c>
      <c r="AG105" s="15" t="n">
        <v>12374.941</v>
      </c>
      <c r="AH105" s="56" t="n">
        <v>0.02728208233742803</v>
      </c>
      <c r="AJ105" s="15" t="n">
        <v>1.65</v>
      </c>
      <c r="AK105" s="15" t="n">
        <v>3.507</v>
      </c>
      <c r="AL105" s="15" t="n">
        <v>5.405</v>
      </c>
      <c r="AM105" s="15" t="n">
        <v>7.503</v>
      </c>
      <c r="AN105" s="15" t="n">
        <v>9.008000000000001</v>
      </c>
      <c r="AO105" s="15">
        <f t="array" ref="AO105">_xll.BDP($B105,"EQY_FISCAL_YR_END")</f>
        <v/>
      </c>
      <c r="AP105" s="15" t="n">
        <v>4669.941176470588</v>
      </c>
      <c r="AQ105" s="15" t="n">
        <v>5792.263157894738</v>
      </c>
      <c r="AR105" s="15" t="n">
        <v>6965.5</v>
      </c>
      <c r="AS105" s="15" t="n">
        <v>8857.863636363636</v>
      </c>
      <c r="AT105" s="15" t="n">
        <v>10304.18181818182</v>
      </c>
      <c r="AV105" s="15" t="n">
        <v>695.8461538461538</v>
      </c>
      <c r="AW105" s="15" t="n">
        <v>1047.0625</v>
      </c>
      <c r="AX105" s="15" t="n">
        <v>1426.631578947368</v>
      </c>
      <c r="AY105" s="15" t="n">
        <v>1949.909090909091</v>
      </c>
      <c r="AZ105" s="15" t="n">
        <v>2409.272727272727</v>
      </c>
      <c r="BB105" s="57" t="n">
        <v>3032.85831491232</v>
      </c>
      <c r="BC105" s="57" t="n">
        <v>2984.458</v>
      </c>
      <c r="BD105" s="15" t="n">
        <v>48.40031491232001</v>
      </c>
      <c r="BE105" s="16" t="n">
        <v>1802.319</v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15" t="n">
        <v>18.712446413</v>
      </c>
      <c r="E106" s="58" t="n">
        <v>101.45</v>
      </c>
      <c r="F106" s="59" t="n">
        <v>30.65880930794802</v>
      </c>
      <c r="G106" s="59" t="n">
        <v>21.47089947089947</v>
      </c>
      <c r="H106" s="59" t="n">
        <v>18.75231053604436</v>
      </c>
      <c r="I106" s="60" t="n">
        <v>-3.598371029068367</v>
      </c>
      <c r="J106" s="15" t="n">
        <v>1.328769230769231</v>
      </c>
      <c r="K106" s="61" t="n">
        <v>0.4721160896916367</v>
      </c>
      <c r="L106" s="61" t="n">
        <v>0.2544554975877668</v>
      </c>
      <c r="M106" s="61" t="n">
        <v>0.8147417787566986</v>
      </c>
      <c r="N106" s="61" t="n">
        <v>1.276846779838332</v>
      </c>
      <c r="O106" s="61" t="n">
        <v>1.045628326784741</v>
      </c>
      <c r="Q106" s="62" t="n">
        <v>-0.2949475</v>
      </c>
      <c r="T106" s="57" t="n">
        <v>0.2932094370685466</v>
      </c>
      <c r="AA106" s="61">
        <f t="array" ref="AA106">_xll.BDP(B106,"CHG_PCT_1YR")/100</f>
        <v/>
      </c>
      <c r="AB106" s="15" t="n">
        <v>322.948</v>
      </c>
      <c r="AC106" s="15" t="n">
        <v>27.927</v>
      </c>
      <c r="AD106" s="15" t="n">
        <v>681.582</v>
      </c>
      <c r="AE106" s="15" t="n">
        <v>236.328</v>
      </c>
      <c r="AF106" s="16">
        <f>IF(ISNUMBER(_xlfn.SINGLE(_xll.BDP($B106,"BS_LONG_TERM_INVESTMENTS"))),_xlfn.SINGLE(_xll.BDP($B106,"BS_LONG_TERM_INVESTMENTS")),0)</f>
        <v/>
      </c>
      <c r="AG106" s="15" t="n">
        <v>709.509</v>
      </c>
      <c r="AH106" s="56" t="n">
        <v>0.2544554975877668</v>
      </c>
      <c r="AJ106" s="15" t="n">
        <v>0.07000000000000001</v>
      </c>
      <c r="AK106" s="15" t="n">
        <v>0.632</v>
      </c>
      <c r="AL106" s="15" t="n">
        <v>3.309</v>
      </c>
      <c r="AM106" s="15" t="n">
        <v>4.725000000000001</v>
      </c>
      <c r="AN106" s="15" t="n">
        <v>5.41</v>
      </c>
      <c r="AO106" s="15">
        <f t="array" ref="AO106">_xll.BDP($B106,"EQY_FISCAL_YR_END")</f>
        <v/>
      </c>
      <c r="AP106" s="15" t="n">
        <v>194.3636363636364</v>
      </c>
      <c r="AQ106" s="15" t="n">
        <v>427.1111111111111</v>
      </c>
      <c r="AR106" s="15" t="n">
        <v>1328.769230769231</v>
      </c>
      <c r="AS106" s="15" t="n">
        <v>2033.4375</v>
      </c>
      <c r="AT106" s="15" t="n">
        <v>2552.615384615385</v>
      </c>
      <c r="AV106" s="15" t="n">
        <v>0.7505714285714286</v>
      </c>
      <c r="AW106" s="15" t="n">
        <v>103.9</v>
      </c>
      <c r="AX106" s="15" t="n">
        <v>627.3333333333334</v>
      </c>
      <c r="AY106" s="15" t="n">
        <v>957.625</v>
      </c>
      <c r="AZ106" s="15" t="n">
        <v>1226.357142857143</v>
      </c>
      <c r="BB106" s="57" t="n">
        <v>-189.688553587</v>
      </c>
      <c r="BC106" s="57" t="n">
        <v>-208.401</v>
      </c>
      <c r="BD106" s="15" t="n">
        <v>18.712446413</v>
      </c>
      <c r="BE106" s="16" t="n">
        <v>357.158</v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15" t="n">
        <v>19.93892688142</v>
      </c>
      <c r="E107" s="58" t="n">
        <v>117.14</v>
      </c>
      <c r="F107" s="59" t="n">
        <v>48.00819672131148</v>
      </c>
      <c r="G107" s="59" t="n">
        <v>33.36371404158359</v>
      </c>
      <c r="H107" s="59" t="n">
        <v>26.44243792325057</v>
      </c>
      <c r="I107" s="60" t="n">
        <v>-6.423462707764685</v>
      </c>
      <c r="J107" s="15" t="n">
        <v>1.349782608695652</v>
      </c>
      <c r="K107" s="61" t="n">
        <v>0.3109142642400816</v>
      </c>
      <c r="L107" s="16" t="n">
        <v>0.1578237216021166</v>
      </c>
      <c r="M107" s="61" t="n">
        <v>0.4115407099185293</v>
      </c>
      <c r="N107" s="61" t="n">
        <v>0.3901715023497474</v>
      </c>
      <c r="O107" s="61" t="n">
        <v>0.3546653075683088</v>
      </c>
      <c r="Q107" s="62" t="n">
        <v>-0.2958644</v>
      </c>
      <c r="T107" s="57" t="n">
        <v>1.353619756340703</v>
      </c>
      <c r="AA107" s="61">
        <f>133/36-1</f>
        <v/>
      </c>
      <c r="AB107" s="15" t="n">
        <v>173.423</v>
      </c>
      <c r="AC107" s="15" t="n">
        <v>30.974</v>
      </c>
      <c r="AD107" s="15" t="n">
        <v>1363.634</v>
      </c>
      <c r="AE107" s="15" t="n">
        <v>167.611</v>
      </c>
      <c r="AF107" s="16">
        <f>IF(ISNUMBER(_xlfn.SINGLE(_xll.BDP($B107,"BS_LONG_TERM_INVESTMENTS"))),_xlfn.SINGLE(_xll.BDP($B107,"BS_LONG_TERM_INVESTMENTS")),0)</f>
        <v/>
      </c>
      <c r="AG107" s="15" t="n">
        <v>1394.608</v>
      </c>
      <c r="AH107" s="56" t="n">
        <v>0.1578237216021166</v>
      </c>
      <c r="AJ107" s="15" t="n">
        <v>0.722</v>
      </c>
      <c r="AK107" s="15" t="n">
        <v>1.782</v>
      </c>
      <c r="AL107" s="15" t="n">
        <v>2.44</v>
      </c>
      <c r="AM107" s="15" t="n">
        <v>3.511</v>
      </c>
      <c r="AN107" s="15" t="n">
        <v>4.43</v>
      </c>
      <c r="AO107" s="15">
        <f t="array" ref="AO107">_xll.BDP($B107,"EQY_FISCAL_YR_END")</f>
        <v/>
      </c>
      <c r="AP107" s="15" t="n">
        <v>383.0769230769231</v>
      </c>
      <c r="AQ107" s="15" t="n">
        <v>831.7272727272727</v>
      </c>
      <c r="AR107" s="15" t="n">
        <v>1349.782608695652</v>
      </c>
      <c r="AS107" s="15" t="n">
        <v>1862.608695652174</v>
      </c>
      <c r="AT107" s="15" t="n">
        <v>2339.166666666667</v>
      </c>
      <c r="AV107" s="15" t="n">
        <v>113.6666666666667</v>
      </c>
      <c r="AW107" s="15" t="n">
        <v>324.2</v>
      </c>
      <c r="AX107" s="15" t="n">
        <v>419.6666666666667</v>
      </c>
      <c r="AY107" s="15" t="n">
        <v>673.1111111111112</v>
      </c>
      <c r="AZ107" s="15" t="n">
        <v>871</v>
      </c>
      <c r="BB107" s="57" t="n">
        <v>-116.69807311858</v>
      </c>
      <c r="BC107" s="57" t="n">
        <v>-136.637</v>
      </c>
      <c r="BD107" s="15" t="n">
        <v>19.93892688142</v>
      </c>
      <c r="BE107" s="16" t="n">
        <v>186.131</v>
      </c>
    </row>
    <row r="108">
      <c r="D108" s="15" t="n"/>
      <c r="AA108" s="61" t="n"/>
    </row>
    <row r="109">
      <c r="A109" s="36" t="inlineStr">
        <is>
          <t xml:space="preserve">Compute </t>
        </is>
      </c>
      <c r="D109" s="15" t="n"/>
      <c r="AA109" s="61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15" t="n">
        <v>4310.577</v>
      </c>
      <c r="E110" s="58" t="n">
        <v>177.39</v>
      </c>
      <c r="F110" s="59" t="n">
        <v>37.8391638225256</v>
      </c>
      <c r="G110" s="59" t="n">
        <v>21.20114736464682</v>
      </c>
      <c r="H110" s="59" t="n">
        <v>15.94086987778576</v>
      </c>
      <c r="I110" s="60" t="n">
        <v>-0.3825537994330209</v>
      </c>
      <c r="J110" s="15" t="n">
        <v>213.7625373134328</v>
      </c>
      <c r="K110" s="61" t="n">
        <v>0.634749080822908</v>
      </c>
      <c r="L110" s="61" t="n">
        <v>0.9212258247945241</v>
      </c>
      <c r="M110" s="61" t="n">
        <v>0.5466261185716828</v>
      </c>
      <c r="N110" s="61" t="n">
        <v>0.5536841449287351</v>
      </c>
      <c r="O110" s="61" t="n">
        <v>0.5646732581179688</v>
      </c>
      <c r="Q110" s="62" t="n">
        <v>-0.04884718</v>
      </c>
      <c r="T110" s="57" t="n">
        <v>0.6701072395147926</v>
      </c>
      <c r="AA110" s="61">
        <f t="array" ref="AA110">_xll.BDP(B110,"CHG_PCT_1YR")/100</f>
        <v/>
      </c>
      <c r="AB110" s="15" t="n">
        <v>130387</v>
      </c>
      <c r="AC110" s="15" t="n">
        <v>11412</v>
      </c>
      <c r="AD110" s="15" t="n">
        <v>157293</v>
      </c>
      <c r="AE110" s="15" t="n">
        <v>10605</v>
      </c>
      <c r="AF110" s="16">
        <f>IF(ISNUMBER(_xlfn.SINGLE(_xll.BDP($B110,"BS_LONG_TERM_INVESTMENTS"))),_xlfn.SINGLE(_xll.BDP($B110,"BS_LONG_TERM_INVESTMENTS")),0)</f>
        <v/>
      </c>
      <c r="AG110" s="15" t="n">
        <v>168705</v>
      </c>
      <c r="AH110" s="56" t="n">
        <v>0.9212258247945241</v>
      </c>
      <c r="AJ110" s="15" t="n">
        <v>1.241</v>
      </c>
      <c r="AK110" s="15" t="n">
        <v>2.905</v>
      </c>
      <c r="AL110" s="15" t="n">
        <v>4.688</v>
      </c>
      <c r="AM110" s="15" t="n">
        <v>8.367000000000001</v>
      </c>
      <c r="AN110" s="15" t="n">
        <v>11.128</v>
      </c>
      <c r="AO110" s="15">
        <f t="array" ref="AO110">_xll.BDP($B110,"EQY_FISCAL_YR_END")</f>
        <v/>
      </c>
      <c r="AP110" s="15" t="n">
        <v>59315.83333333334</v>
      </c>
      <c r="AQ110" s="15" t="n">
        <v>129608.5166666667</v>
      </c>
      <c r="AR110" s="15" t="n">
        <v>213762.5373134328</v>
      </c>
      <c r="AS110" s="15" t="n">
        <v>366102.7846153846</v>
      </c>
      <c r="AT110" s="15" t="n">
        <v>479501.0476190476</v>
      </c>
      <c r="AV110" s="15" t="n">
        <v>35621.57142857143</v>
      </c>
      <c r="AW110" s="15" t="n">
        <v>85879.85365853659</v>
      </c>
      <c r="AX110" s="15" t="n">
        <v>135685.5740740741</v>
      </c>
      <c r="AY110" s="15" t="n">
        <v>243682.3584905661</v>
      </c>
      <c r="AZ110" s="15" t="n">
        <v>322091.6730769231</v>
      </c>
      <c r="BB110" s="57" t="n">
        <v>5117.577</v>
      </c>
      <c r="BC110" s="57" t="n">
        <v>807</v>
      </c>
      <c r="BD110" s="15" t="n">
        <v>4310.577</v>
      </c>
      <c r="BE110" s="16" t="n">
        <v>133692</v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15" t="n">
        <v>354.5986844325</v>
      </c>
      <c r="E111" s="58" t="n">
        <v>217.5</v>
      </c>
      <c r="F111" s="59" t="n">
        <v>32.36607142857143</v>
      </c>
      <c r="G111" s="59" t="n">
        <v>19.79251979251979</v>
      </c>
      <c r="H111" s="59" t="n">
        <v>14.90440622216131</v>
      </c>
      <c r="I111" s="60" t="n">
        <v>-1.001045088085996</v>
      </c>
      <c r="J111" s="15" t="n">
        <v>46.92082352941177</v>
      </c>
      <c r="K111" s="61" t="n">
        <v>0.2682011645491868</v>
      </c>
      <c r="L111" s="61" t="n">
        <v>0.06195488669864194</v>
      </c>
      <c r="M111" s="61" t="n">
        <v>0.3582619971864791</v>
      </c>
      <c r="N111" s="61" t="n">
        <v>0.5599923131742912</v>
      </c>
      <c r="O111" s="61" t="n">
        <v>0.5422683086370326</v>
      </c>
      <c r="Q111" s="62" t="n">
        <v>0.0155958</v>
      </c>
      <c r="T111" s="57" t="n">
        <v>0.5968645209955589</v>
      </c>
      <c r="AA111" s="61">
        <f t="array" ref="AA111">_xll.BDP(B111,"CHG_PCT_1YR")/100</f>
        <v/>
      </c>
      <c r="AB111" s="15" t="n">
        <v>3694</v>
      </c>
      <c r="AC111" s="15" t="n">
        <v>3847</v>
      </c>
      <c r="AD111" s="15" t="n">
        <v>62999</v>
      </c>
      <c r="AE111" s="15" t="n">
        <v>5539</v>
      </c>
      <c r="AF111" s="16">
        <f>IF(ISNUMBER(_xlfn.SINGLE(_xll.BDP($B111,"BS_LONG_TERM_INVESTMENTS"))),_xlfn.SINGLE(_xll.BDP($B111,"BS_LONG_TERM_INVESTMENTS")),0)</f>
        <v/>
      </c>
      <c r="AG111" s="15" t="n">
        <v>66846</v>
      </c>
      <c r="AH111" s="56" t="n">
        <v>0.06195488669864194</v>
      </c>
      <c r="AJ111" s="15" t="n">
        <v>3.32</v>
      </c>
      <c r="AK111" s="15" t="n">
        <v>3.978</v>
      </c>
      <c r="AL111" s="15" t="n">
        <v>6.72</v>
      </c>
      <c r="AM111" s="15" t="n">
        <v>10.989</v>
      </c>
      <c r="AN111" s="15" t="n">
        <v>14.593</v>
      </c>
      <c r="AO111" s="15">
        <f t="array" ref="AO111">_xll.BDP($B111,"EQY_FISCAL_YR_END")</f>
        <v/>
      </c>
      <c r="AP111" s="15" t="n">
        <v>25662.1</v>
      </c>
      <c r="AQ111" s="15" t="n">
        <v>34078.73684210526</v>
      </c>
      <c r="AR111" s="15" t="n">
        <v>46920.82352941177</v>
      </c>
      <c r="AS111" s="15" t="n">
        <v>67324.2</v>
      </c>
      <c r="AT111" s="15" t="n">
        <v>85395.33333333333</v>
      </c>
      <c r="AV111" s="15" t="n">
        <v>6129.6</v>
      </c>
      <c r="AW111" s="15" t="n">
        <v>7369.263157894738</v>
      </c>
      <c r="AX111" s="15" t="n">
        <v>12584.21951219512</v>
      </c>
      <c r="AY111" s="15" t="n">
        <v>20905.05</v>
      </c>
      <c r="AZ111" s="15" t="n">
        <v>27976.375</v>
      </c>
      <c r="BB111" s="57" t="n">
        <v>-1337.4013155675</v>
      </c>
      <c r="BC111" s="57" t="n">
        <v>-1692</v>
      </c>
      <c r="BD111" s="15" t="n">
        <v>354.5986844325</v>
      </c>
      <c r="BE111" s="16" t="n">
        <v>6894</v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15" t="n">
        <v>135.2956</v>
      </c>
      <c r="E112" s="58" t="n">
        <v>126.8</v>
      </c>
      <c r="F112" s="59" t="n">
        <v>11.34980307912639</v>
      </c>
      <c r="G112" s="59" t="n">
        <v>11.38751683879659</v>
      </c>
      <c r="H112" s="59" t="n">
        <v>10.24149907115742</v>
      </c>
      <c r="I112" s="60" t="n">
        <v>0.2182149362477231</v>
      </c>
      <c r="J112" s="15" t="n">
        <v>43.81502941176471</v>
      </c>
      <c r="K112" s="61" t="n">
        <v>0.3103957747509416</v>
      </c>
      <c r="L112" s="61" t="n">
        <v>0.1287838400539461</v>
      </c>
      <c r="M112" s="61" t="n">
        <v>0.02719829821142628</v>
      </c>
      <c r="N112" s="61" t="n">
        <v>-0.02911023157216031</v>
      </c>
      <c r="O112" s="61" t="n">
        <v>0.01272878935469324</v>
      </c>
      <c r="Q112" s="62" t="n">
        <v>-0.2586963</v>
      </c>
      <c r="T112" s="57" t="n">
        <v>8.916639880556744</v>
      </c>
      <c r="AA112" s="61">
        <f t="array" ref="AA112">_xll.BDP(B112,"CHG_PCT_1YR")/100</f>
        <v/>
      </c>
      <c r="AB112" s="15" t="n">
        <v>12166</v>
      </c>
      <c r="AC112" s="15" t="n">
        <v>15643</v>
      </c>
      <c r="AD112" s="15" t="n">
        <v>21206</v>
      </c>
      <c r="AE112" s="15" t="n">
        <v>5520</v>
      </c>
      <c r="AF112" s="16" t="n">
        <v>163</v>
      </c>
      <c r="AG112" s="15" t="n">
        <v>36849</v>
      </c>
      <c r="AH112" s="56" t="n">
        <v>0.1287838400539461</v>
      </c>
      <c r="AJ112" s="15" t="n">
        <v>10.081</v>
      </c>
      <c r="AK112" s="15" t="n">
        <v>11.92</v>
      </c>
      <c r="AL112" s="15" t="n">
        <v>11.172</v>
      </c>
      <c r="AM112" s="15" t="n">
        <v>11.135</v>
      </c>
      <c r="AN112" s="15" t="n">
        <v>12.381</v>
      </c>
      <c r="AO112" s="15">
        <f t="array" ref="AO112">_xll.BDP($B112,"EQY_FISCAL_YR_END")</f>
        <v/>
      </c>
      <c r="AP112" s="15" t="n">
        <v>38612.97142857143</v>
      </c>
      <c r="AQ112" s="15" t="n">
        <v>43685.21212121212</v>
      </c>
      <c r="AR112" s="15" t="n">
        <v>43815.02941176471</v>
      </c>
      <c r="AS112" s="15" t="n">
        <v>44140.79411764706</v>
      </c>
      <c r="AT112" s="15" t="n">
        <v>47347.52941176471</v>
      </c>
      <c r="AV112" s="15" t="n">
        <v>13151.3</v>
      </c>
      <c r="AW112" s="15" t="n">
        <v>15294.72727272727</v>
      </c>
      <c r="AX112" s="15" t="n">
        <v>13600</v>
      </c>
      <c r="AY112" s="15" t="n">
        <v>13132.73333333333</v>
      </c>
      <c r="AZ112" s="15" t="n">
        <v>13997.53333333333</v>
      </c>
      <c r="BB112" s="57" t="n">
        <v>10258.2956</v>
      </c>
      <c r="BC112" s="57" t="n">
        <v>10123</v>
      </c>
      <c r="BD112" s="15" t="n">
        <v>135.2956</v>
      </c>
      <c r="BE112" s="16" t="n">
        <v>13725</v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15" t="n">
        <v>158.35482</v>
      </c>
      <c r="E113" s="58" t="n">
        <v>149.11</v>
      </c>
      <c r="F113" s="59" t="n">
        <v>84.72159090909092</v>
      </c>
      <c r="G113" s="59" t="n">
        <v>69.28903345724908</v>
      </c>
      <c r="H113" s="59" t="n">
        <v>51.41724137931035</v>
      </c>
      <c r="I113" s="60" t="n">
        <v>-2.825295723384895</v>
      </c>
      <c r="J113" s="15" t="n">
        <v>4.898853658536585</v>
      </c>
      <c r="K113" s="61" t="n">
        <v>0.4250257374519895</v>
      </c>
      <c r="L113" s="61" t="n">
        <v>0.1148647941138345</v>
      </c>
      <c r="M113" s="61" t="n">
        <v>0.2307612562081498</v>
      </c>
      <c r="N113" s="61" t="n">
        <v>0.2274070225038789</v>
      </c>
      <c r="O113" s="61" t="n">
        <v>0.2159653798449683</v>
      </c>
      <c r="Q113" s="62" t="n">
        <v>0.3641021</v>
      </c>
      <c r="T113" s="57" t="n">
        <v>3.922924635879541</v>
      </c>
      <c r="AA113" s="61">
        <f t="array" ref="AA113">_xll.BDP(B113,"CHG_PCT_1YR")/100</f>
        <v/>
      </c>
      <c r="AB113" s="15" t="n">
        <v>872</v>
      </c>
      <c r="AC113" s="15" t="n">
        <v>346</v>
      </c>
      <c r="AD113" s="15" t="n">
        <v>6839</v>
      </c>
      <c r="AE113" s="15" t="n">
        <v>2085</v>
      </c>
      <c r="AF113" s="16" t="n">
        <v>565</v>
      </c>
      <c r="AG113" s="15" t="n">
        <v>7185</v>
      </c>
      <c r="AH113" s="56" t="n">
        <v>0.1148647941138345</v>
      </c>
      <c r="AJ113" s="15" t="n">
        <v>1.203</v>
      </c>
      <c r="AK113" s="15" t="n">
        <v>1.613</v>
      </c>
      <c r="AL113" s="15" t="n">
        <v>1.76</v>
      </c>
      <c r="AM113" s="15" t="n">
        <v>2.152</v>
      </c>
      <c r="AN113" s="15" t="n">
        <v>2.9</v>
      </c>
      <c r="AO113" s="15">
        <f t="array" ref="AO113">_xll.BDP($B113,"EQY_FISCAL_YR_END")</f>
        <v/>
      </c>
      <c r="AP113" s="15" t="n">
        <v>3182.379310344827</v>
      </c>
      <c r="AQ113" s="15" t="n">
        <v>3999.682926829269</v>
      </c>
      <c r="AR113" s="15" t="n">
        <v>4898.853658536585</v>
      </c>
      <c r="AS113" s="15" t="n">
        <v>5954.813953488372</v>
      </c>
      <c r="AT113" s="15" t="n">
        <v>7456.705882352941</v>
      </c>
      <c r="AV113" s="15" t="n">
        <v>1353.5</v>
      </c>
      <c r="AW113" s="15" t="n">
        <v>1839.588235294118</v>
      </c>
      <c r="AX113" s="15" t="n">
        <v>2082.138888888889</v>
      </c>
      <c r="AY113" s="15" t="n">
        <v>2517.230769230769</v>
      </c>
      <c r="AZ113" s="15" t="n">
        <v>3401.625</v>
      </c>
      <c r="BB113" s="57" t="n">
        <v>-1580.64518</v>
      </c>
      <c r="BC113" s="57" t="n">
        <v>-1739</v>
      </c>
      <c r="BD113" s="15" t="n">
        <v>158.35482</v>
      </c>
      <c r="BE113" s="16" t="n">
        <v>1099</v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15" t="n">
        <v>252.95849528664</v>
      </c>
      <c r="E114" s="58" t="n">
        <v>50.38</v>
      </c>
      <c r="F114" s="59" t="n">
        <v>94.52157598499062</v>
      </c>
      <c r="G114" s="59" t="n">
        <v>49.78260869565218</v>
      </c>
      <c r="H114" s="59" t="n">
        <v>36.08882521489971</v>
      </c>
      <c r="I114" s="60" t="n">
        <v>0.1104087652760219</v>
      </c>
      <c r="J114" s="15" t="n">
        <v>53.98210416666667</v>
      </c>
      <c r="K114" s="61" t="n">
        <v>0.0764247268841191</v>
      </c>
      <c r="L114" s="61" t="n">
        <v>-0.02365847325564048</v>
      </c>
      <c r="M114" s="61" t="n">
        <v>0.05671155478072798</v>
      </c>
      <c r="N114" s="61" t="n">
        <v>0.5942019352289447</v>
      </c>
      <c r="O114" s="61" t="n">
        <v>0.5919757200614335</v>
      </c>
      <c r="Q114" s="62" t="n">
        <v>0.3653116</v>
      </c>
      <c r="T114" s="57" t="n">
        <v>1.59671372966414</v>
      </c>
      <c r="AA114" s="61">
        <f t="array" ref="AA114">_xll.BDP(B114,"CHG_PCT_1YR")/100</f>
        <v/>
      </c>
      <c r="AB114" s="15" t="n">
        <v>-2214</v>
      </c>
      <c r="AC114" s="15" t="n">
        <v>46976</v>
      </c>
      <c r="AD114" s="15" t="n">
        <v>126360</v>
      </c>
      <c r="AE114" s="15" t="n">
        <v>14265</v>
      </c>
      <c r="AF114" s="16" t="n">
        <v>16540</v>
      </c>
      <c r="AG114" s="15" t="n">
        <v>173336</v>
      </c>
      <c r="AH114" s="56" t="n">
        <v>-0.02365847325564048</v>
      </c>
      <c r="AJ114" s="15" t="n">
        <v>-0.143</v>
      </c>
      <c r="AK114" s="15" t="n">
        <v>0.346</v>
      </c>
      <c r="AL114" s="15" t="n">
        <v>0.533</v>
      </c>
      <c r="AM114" s="15" t="n">
        <v>1.012</v>
      </c>
      <c r="AN114" s="15" t="n">
        <v>1.396</v>
      </c>
      <c r="AO114" s="15">
        <f t="array" ref="AO114">_xll.BDP($B114,"EQY_FISCAL_YR_END")</f>
        <v/>
      </c>
      <c r="AP114" s="15" t="n">
        <v>52681.41025641026</v>
      </c>
      <c r="AQ114" s="15" t="n">
        <v>52601.63043478261</v>
      </c>
      <c r="AR114" s="15" t="n">
        <v>53982.10416666666</v>
      </c>
      <c r="AS114" s="15" t="n">
        <v>57997.63043478261</v>
      </c>
      <c r="AT114" s="15" t="n">
        <v>62068.11764705883</v>
      </c>
      <c r="AV114" s="15" t="n">
        <v>-1065.222222222222</v>
      </c>
      <c r="AW114" s="15" t="n">
        <v>2575.135135135135</v>
      </c>
      <c r="AX114" s="15" t="n">
        <v>4125.567567567567</v>
      </c>
      <c r="AY114" s="15" t="n">
        <v>7208.736842105262</v>
      </c>
      <c r="AZ114" s="15" t="n">
        <v>10433.5</v>
      </c>
      <c r="BB114" s="57" t="n">
        <v>32963.95849528664</v>
      </c>
      <c r="BC114" s="57" t="n">
        <v>32711</v>
      </c>
      <c r="BD114" s="15" t="n">
        <v>252.95849528664</v>
      </c>
      <c r="BE114" s="16" t="n">
        <v>9604</v>
      </c>
    </row>
    <row r="115">
      <c r="D115" s="15" t="n"/>
      <c r="AA115" s="61" t="n"/>
    </row>
    <row r="116">
      <c r="A116" s="36" t="inlineStr">
        <is>
          <t>Foundries</t>
        </is>
      </c>
      <c r="D116" s="15" t="n"/>
      <c r="AA116" s="61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15" t="n">
        <v>1758.43262265216</v>
      </c>
      <c r="E117" s="58" t="n">
        <v>339.04</v>
      </c>
      <c r="F117" s="59" t="n">
        <v>0.7493391564188024</v>
      </c>
      <c r="G117" s="59" t="n">
        <v>0.5601411587441101</v>
      </c>
      <c r="H117" s="59" t="n">
        <v>0.4429116371427079</v>
      </c>
      <c r="I117" s="60" t="n">
        <v>-0.763631216250258</v>
      </c>
      <c r="J117" s="15" t="n">
        <v>5029.845</v>
      </c>
      <c r="K117" s="61" t="n">
        <v>0.5431366696001093</v>
      </c>
      <c r="L117" s="61" t="n">
        <v>0.2683910127032517</v>
      </c>
      <c r="M117" s="61" t="n">
        <v>0.2516117510079781</v>
      </c>
      <c r="N117" s="61" t="n">
        <v>0.2787078209098977</v>
      </c>
      <c r="O117" s="61" t="n">
        <v>0.3323382377114008</v>
      </c>
      <c r="Q117" s="62" t="n">
        <v>0.1156668</v>
      </c>
      <c r="T117" s="57" t="n">
        <v>0.02254748540459919</v>
      </c>
      <c r="AA117" s="61">
        <f t="array" ref="AA117">_xll.BDP(B117,"CHG_PCT_1YR")/100</f>
        <v/>
      </c>
      <c r="AB117" s="15" t="n">
        <v>1936091.677</v>
      </c>
      <c r="AC117" s="15" t="n">
        <v>1064582.701</v>
      </c>
      <c r="AD117" s="15" t="n">
        <v>5460795.282999999</v>
      </c>
      <c r="AE117" s="15" t="n">
        <v>2767856.402</v>
      </c>
      <c r="AF117" s="16" t="n">
        <v>134337.102</v>
      </c>
      <c r="AG117" s="15" t="n">
        <v>6525377.983999999</v>
      </c>
      <c r="AH117" s="56" t="n">
        <v>0.2683910127032517</v>
      </c>
      <c r="AJ117" s="15" t="n">
        <v>224.592</v>
      </c>
      <c r="AK117" s="15" t="n">
        <v>323.661</v>
      </c>
      <c r="AL117" s="15" t="n">
        <v>452.452</v>
      </c>
      <c r="AM117" s="15" t="n">
        <v>605.2760000000001</v>
      </c>
      <c r="AN117" s="15" t="n">
        <v>765.48</v>
      </c>
      <c r="AO117" s="15">
        <f t="array" ref="AO117">_xll.BDP($B117,"EQY_FISCAL_YR_END")</f>
        <v/>
      </c>
      <c r="AP117" s="15" t="n">
        <v>2878185.023809524</v>
      </c>
      <c r="AQ117" s="15" t="n">
        <v>3794835.354166667</v>
      </c>
      <c r="AR117" s="15" t="n">
        <v>5029845</v>
      </c>
      <c r="AS117" s="15" t="n">
        <v>6247522.80952381</v>
      </c>
      <c r="AT117" s="15" t="n">
        <v>7440495.08</v>
      </c>
      <c r="AV117" s="15" t="n">
        <v>1309263.972222222</v>
      </c>
      <c r="AW117" s="15" t="n">
        <v>1894338.5</v>
      </c>
      <c r="AX117" s="15" t="n">
        <v>2731893.261904762</v>
      </c>
      <c r="AY117" s="15" t="n">
        <v>3374501.685714286</v>
      </c>
      <c r="AZ117" s="15" t="n">
        <v>3960696.368421053</v>
      </c>
      <c r="BB117" s="57" t="n">
        <v>-1701515.268377347</v>
      </c>
      <c r="BC117" s="57" t="n">
        <v>-1703273.701</v>
      </c>
      <c r="BD117" s="15" t="n">
        <v>1758.43262265216</v>
      </c>
      <c r="BE117" s="16" t="n">
        <v>2624188.047</v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15" t="n">
        <v>24.32011990625</v>
      </c>
      <c r="E118" s="58" t="n">
        <v>43.75</v>
      </c>
      <c r="F118" s="59" t="n">
        <v>24.11797133406836</v>
      </c>
      <c r="G118" s="59" t="n">
        <v>18.63287904599659</v>
      </c>
      <c r="H118" s="59" t="n">
        <v>14.50596816976127</v>
      </c>
      <c r="I118" s="60" t="n">
        <v>-1.081004263382283</v>
      </c>
      <c r="J118" s="15" t="n">
        <v>7.234100000000001</v>
      </c>
      <c r="K118" s="61" t="n">
        <v>0.1592918722900337</v>
      </c>
      <c r="L118" s="61" t="n">
        <v>0.05955738144602473</v>
      </c>
      <c r="M118" s="61" t="n">
        <v>0.08959924267381569</v>
      </c>
      <c r="N118" s="61" t="n">
        <v>0.2233512872275609</v>
      </c>
      <c r="O118" s="61" t="n">
        <v>0.2261662157639597</v>
      </c>
      <c r="Q118" s="62" t="n">
        <v>0.2528638</v>
      </c>
      <c r="T118" s="57" t="n">
        <v>1.066382582942418</v>
      </c>
      <c r="AA118" s="61">
        <f t="array" ref="AA118">_xll.BDP(B118,"CHG_PCT_1YR")/100</f>
        <v/>
      </c>
      <c r="AB118" s="15" t="n">
        <v>797</v>
      </c>
      <c r="AC118" s="15" t="n">
        <v>1707</v>
      </c>
      <c r="AD118" s="15" t="n">
        <v>11983</v>
      </c>
      <c r="AE118" s="15" t="n">
        <v>1809</v>
      </c>
      <c r="AF118" s="16" t="n">
        <v>939</v>
      </c>
      <c r="AG118" s="15" t="n">
        <v>13690</v>
      </c>
      <c r="AH118" s="56" t="n">
        <v>0.05955738144602473</v>
      </c>
      <c r="AJ118" s="15" t="n">
        <v>1.532</v>
      </c>
      <c r="AK118" s="15" t="n">
        <v>1.636</v>
      </c>
      <c r="AL118" s="15" t="n">
        <v>1.814</v>
      </c>
      <c r="AM118" s="15" t="n">
        <v>2.348</v>
      </c>
      <c r="AN118" s="15" t="n">
        <v>3.016</v>
      </c>
      <c r="AO118" s="15">
        <f t="array" ref="AO118">_xll.BDP($B118,"EQY_FISCAL_YR_END")</f>
        <v/>
      </c>
      <c r="AP118" s="15" t="n">
        <v>6746.722222222223</v>
      </c>
      <c r="AQ118" s="15" t="n">
        <v>6764.45</v>
      </c>
      <c r="AR118" s="15" t="n">
        <v>7234.1</v>
      </c>
      <c r="AS118" s="15" t="n">
        <v>7945.578947368421</v>
      </c>
      <c r="AT118" s="15" t="n">
        <v>8750.5</v>
      </c>
      <c r="AV118" s="15" t="n">
        <v>903.75</v>
      </c>
      <c r="AW118" s="15" t="n">
        <v>1036.857142857143</v>
      </c>
      <c r="AX118" s="15" t="n">
        <v>1152.333333333333</v>
      </c>
      <c r="AY118" s="15" t="n">
        <v>1529.235294117647</v>
      </c>
      <c r="AZ118" s="15" t="n">
        <v>1898.333333333333</v>
      </c>
      <c r="BB118" s="57" t="n">
        <v>-77.67988009375</v>
      </c>
      <c r="BC118" s="57" t="n">
        <v>-102</v>
      </c>
      <c r="BD118" s="15" t="n">
        <v>24.32011990625</v>
      </c>
      <c r="BE118" s="16" t="n">
        <v>2111</v>
      </c>
    </row>
    <row r="119">
      <c r="C119" s="15" t="n"/>
      <c r="D119" s="15" t="n"/>
      <c r="E119" s="58" t="n"/>
      <c r="F119" s="59" t="n"/>
      <c r="G119" s="59" t="n"/>
      <c r="H119" s="59" t="n"/>
      <c r="I119" s="60" t="n"/>
      <c r="J119" s="15" t="n"/>
      <c r="K119" s="61" t="n"/>
      <c r="L119" s="61" t="n"/>
      <c r="M119" s="61" t="n"/>
      <c r="N119" s="61" t="n"/>
      <c r="O119" s="61" t="n"/>
      <c r="T119" s="57" t="n"/>
      <c r="AA119" s="6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15" t="n">
        <v>511.27976062302</v>
      </c>
      <c r="E121" s="58" t="n">
        <v>1317.23</v>
      </c>
      <c r="F121" s="59" t="n">
        <v>44.77784954278138</v>
      </c>
      <c r="G121" s="59" t="n">
        <v>34.57841129836719</v>
      </c>
      <c r="H121" s="59" t="n">
        <v>29.43991238853005</v>
      </c>
      <c r="I121" s="60" t="n">
        <v>-0.6576949313402735</v>
      </c>
      <c r="J121" s="15" t="n">
        <v>37.65132558139535</v>
      </c>
      <c r="K121" s="61" t="n">
        <v>0.3584874521508829</v>
      </c>
      <c r="L121" s="61" t="n">
        <v>0.3781530207345341</v>
      </c>
      <c r="M121" s="61" t="n">
        <v>0.1483016107161348</v>
      </c>
      <c r="N121" s="61" t="n">
        <v>0.2055161755381809</v>
      </c>
      <c r="O121" s="61" t="n">
        <v>0.2159224696946984</v>
      </c>
      <c r="Q121" s="62" t="n">
        <v>0.2312172</v>
      </c>
      <c r="T121" s="57" t="n">
        <v>2.073792950131342</v>
      </c>
      <c r="AA121" s="61">
        <f t="array" ref="AA121">_xll.BDP(B121,"CHG_PCT_1YR")/100</f>
        <v/>
      </c>
      <c r="AB121" s="15" t="n">
        <v>12054</v>
      </c>
      <c r="AC121" s="15" t="n">
        <v>4451.7</v>
      </c>
      <c r="AD121" s="15" t="n">
        <v>24185</v>
      </c>
      <c r="AE121" s="15" t="n">
        <v>12916</v>
      </c>
      <c r="AF121" s="16" t="n">
        <v>1667.1</v>
      </c>
      <c r="AG121" s="15" t="n">
        <v>28636.7</v>
      </c>
      <c r="AH121" s="56" t="n">
        <v>0.3781530207345341</v>
      </c>
      <c r="AJ121" s="15" t="n">
        <v>19.071</v>
      </c>
      <c r="AK121" s="15" t="n">
        <v>24.889</v>
      </c>
      <c r="AL121" s="15" t="n">
        <v>29.417</v>
      </c>
      <c r="AM121" s="15" t="n">
        <v>38.094</v>
      </c>
      <c r="AN121" s="15" t="n">
        <v>44.743</v>
      </c>
      <c r="AO121" s="15">
        <f t="array" ref="AO121">_xll.BDP($B121,"EQY_FISCAL_YR_END")</f>
        <v/>
      </c>
      <c r="AP121" s="15" t="n">
        <v>28057.3</v>
      </c>
      <c r="AQ121" s="15" t="n">
        <v>32503.38461538462</v>
      </c>
      <c r="AR121" s="15" t="n">
        <v>37651.32558139535</v>
      </c>
      <c r="AS121" s="15" t="n">
        <v>44355.11904761905</v>
      </c>
      <c r="AT121" s="15" t="n">
        <v>49214.88888888888</v>
      </c>
      <c r="AV121" s="15" t="n">
        <v>8761.083333333334</v>
      </c>
      <c r="AW121" s="15" t="n">
        <v>11291.71875</v>
      </c>
      <c r="AX121" s="15" t="n">
        <v>13497.52777777778</v>
      </c>
      <c r="AY121" s="15" t="n">
        <v>17352.38888888889</v>
      </c>
      <c r="AZ121" s="15" t="n">
        <v>19782.40909090909</v>
      </c>
      <c r="BB121" s="57" t="n">
        <v>-7953.02023937698</v>
      </c>
      <c r="BC121" s="57" t="n">
        <v>-8464.299999999999</v>
      </c>
      <c r="BD121" s="15" t="n">
        <v>511.27976062302</v>
      </c>
      <c r="BE121" s="16" t="n">
        <v>13486.8</v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15" t="n">
        <v>276.54923035349</v>
      </c>
      <c r="E122" s="58" t="n">
        <v>348.47</v>
      </c>
      <c r="F122" s="59" t="n">
        <v>31.50723327305606</v>
      </c>
      <c r="G122" s="59" t="n">
        <v>25.08061033539657</v>
      </c>
      <c r="H122" s="59" t="n">
        <v>23.04543350307519</v>
      </c>
      <c r="I122" s="60" t="n">
        <v>-0.157224470364199</v>
      </c>
      <c r="J122" s="15" t="n">
        <v>31.46390909090909</v>
      </c>
      <c r="K122" s="61" t="n">
        <v>0.3125316259417957</v>
      </c>
      <c r="L122" s="61" t="n">
        <v>0.2340690135871654</v>
      </c>
      <c r="M122" s="61" t="n">
        <v>0.1314616914327358</v>
      </c>
      <c r="N122" s="61" t="n">
        <v>0.1675122667418523</v>
      </c>
      <c r="O122" s="61" t="n">
        <v>0.1738297652045877</v>
      </c>
      <c r="Q122" s="62" t="n">
        <v>0.3559672</v>
      </c>
      <c r="T122" s="57" t="n">
        <v>1.812533845165921</v>
      </c>
      <c r="AA122" s="61">
        <f t="array" ref="AA122">_xll.BDP(B122,"CHG_PCT_1YR")/100</f>
        <v/>
      </c>
      <c r="AB122" s="15" t="n">
        <v>7945</v>
      </c>
      <c r="AC122" s="15" t="n">
        <v>7050</v>
      </c>
      <c r="AD122" s="15" t="n">
        <v>20415</v>
      </c>
      <c r="AE122" s="15" t="n">
        <v>7241</v>
      </c>
      <c r="AF122" s="16" t="n">
        <v>4327</v>
      </c>
      <c r="AG122" s="15" t="n">
        <v>27465</v>
      </c>
      <c r="AH122" s="56" t="n">
        <v>0.2340690135871654</v>
      </c>
      <c r="AJ122" s="15" t="n">
        <v>8.535</v>
      </c>
      <c r="AK122" s="15" t="n">
        <v>9.349</v>
      </c>
      <c r="AL122" s="15" t="n">
        <v>11.06</v>
      </c>
      <c r="AM122" s="15" t="n">
        <v>13.894</v>
      </c>
      <c r="AN122" s="15" t="n">
        <v>15.121</v>
      </c>
      <c r="AO122" s="15">
        <f t="array" ref="AO122">_xll.BDP($B122,"EQY_FISCAL_YR_END")</f>
        <v/>
      </c>
      <c r="AP122" s="15" t="n">
        <v>27100.59375</v>
      </c>
      <c r="AQ122" s="15" t="n">
        <v>28239.90322580645</v>
      </c>
      <c r="AR122" s="15" t="n">
        <v>31463.90909090909</v>
      </c>
      <c r="AS122" s="15" t="n">
        <v>37551.54545454546</v>
      </c>
      <c r="AT122" s="15" t="n">
        <v>40905.6</v>
      </c>
      <c r="AV122" s="15" t="n">
        <v>7887.137931034483</v>
      </c>
      <c r="AW122" s="15" t="n">
        <v>8511.5</v>
      </c>
      <c r="AX122" s="15" t="n">
        <v>9833.466666666665</v>
      </c>
      <c r="AY122" s="15" t="n">
        <v>12408.34482758621</v>
      </c>
      <c r="AZ122" s="15" t="n">
        <v>13545.35714285714</v>
      </c>
      <c r="BB122" s="57" t="n">
        <v>85.54923035349003</v>
      </c>
      <c r="BC122" s="57" t="n">
        <v>-191</v>
      </c>
      <c r="BD122" s="15" t="n">
        <v>276.54923035349</v>
      </c>
      <c r="BE122" s="16" t="n">
        <v>8402</v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15" t="n">
        <v>198.82224662924</v>
      </c>
      <c r="E123" s="58" t="n">
        <v>1516.84</v>
      </c>
      <c r="F123" s="59" t="n">
        <v>41.40751255732692</v>
      </c>
      <c r="G123" s="59" t="n">
        <v>31.43775000518145</v>
      </c>
      <c r="H123" s="59" t="n">
        <v>27.68764602803738</v>
      </c>
      <c r="I123" s="60" t="n">
        <v>0.1505614586675151</v>
      </c>
      <c r="J123" s="15" t="n">
        <v>13.42092307692308</v>
      </c>
      <c r="K123" s="61" t="n">
        <v>0.4294071254986473</v>
      </c>
      <c r="L123" s="61" t="n">
        <v>0.4471322136250979</v>
      </c>
      <c r="M123" s="61" t="n">
        <v>0.1481920583677896</v>
      </c>
      <c r="N123" s="61" t="n">
        <v>0.1679791022111725</v>
      </c>
      <c r="O123" s="61" t="n">
        <v>0.190325860097547</v>
      </c>
      <c r="Q123" s="62" t="n">
        <v>0.2483458</v>
      </c>
      <c r="T123" s="57" t="n">
        <v>2.175611476869432</v>
      </c>
      <c r="AA123" s="61">
        <f t="array" ref="AA123">_xll.BDP(B123,"CHG_PCT_1YR")/100</f>
        <v/>
      </c>
      <c r="AB123" s="15" t="n">
        <v>5351.475</v>
      </c>
      <c r="AC123" s="15" t="n">
        <v>6088.282</v>
      </c>
      <c r="AD123" s="15" t="n">
        <v>4692.452999999999</v>
      </c>
      <c r="AE123" s="15" t="n">
        <v>2078.908</v>
      </c>
      <c r="AF123" s="16">
        <f>IF(ISNUMBER(_xlfn.SINGLE(_xll.BDP($B123,"BS_LONG_TERM_INVESTMENTS"))),_xlfn.SINGLE(_xll.BDP($B123,"BS_LONG_TERM_INVESTMENTS")),0)</f>
        <v/>
      </c>
      <c r="AG123" s="15" t="n">
        <v>10780.735</v>
      </c>
      <c r="AH123" s="56" t="n">
        <v>0.4471322136250979</v>
      </c>
      <c r="AJ123" s="15" t="n">
        <v>23.244</v>
      </c>
      <c r="AK123" s="15" t="n">
        <v>32.483</v>
      </c>
      <c r="AL123" s="15" t="n">
        <v>36.632</v>
      </c>
      <c r="AM123" s="15" t="n">
        <v>48.249</v>
      </c>
      <c r="AN123" s="15" t="n">
        <v>54.784</v>
      </c>
      <c r="AO123" s="15">
        <f t="array" ref="AO123">_xll.BDP($B123,"EQY_FISCAL_YR_END")</f>
        <v/>
      </c>
      <c r="AP123" s="15" t="n">
        <v>9757.666666666666</v>
      </c>
      <c r="AQ123" s="15" t="n">
        <v>12057.95454545455</v>
      </c>
      <c r="AR123" s="15" t="n">
        <v>13420.92307692308</v>
      </c>
      <c r="AS123" s="15" t="n">
        <v>16528.55555555555</v>
      </c>
      <c r="AT123" s="15" t="n">
        <v>18252.28571428571</v>
      </c>
      <c r="AV123" s="15" t="n">
        <v>3840.904761904762</v>
      </c>
      <c r="AW123" s="15" t="n">
        <v>5186.434782608696</v>
      </c>
      <c r="AX123" s="15" t="n">
        <v>5763.04</v>
      </c>
      <c r="AY123" s="15" t="n">
        <v>7474.68</v>
      </c>
      <c r="AZ123" s="15" t="n">
        <v>8263.692307692307</v>
      </c>
      <c r="BB123" s="57" t="n">
        <v>4208.19624662924</v>
      </c>
      <c r="BC123" s="57" t="n">
        <v>4009.374</v>
      </c>
      <c r="BD123" s="15" t="n">
        <v>198.82224662924</v>
      </c>
      <c r="BE123" s="16" t="n">
        <v>5991.002</v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15" t="n">
        <v>272.78153724</v>
      </c>
      <c r="E124" s="58" t="n">
        <v>218.44</v>
      </c>
      <c r="F124" s="59" t="n">
        <v>40.99080502908613</v>
      </c>
      <c r="G124" s="59" t="n">
        <v>31.1345496009122</v>
      </c>
      <c r="H124" s="59" t="n">
        <v>27.55645263025104</v>
      </c>
      <c r="I124" s="60" t="n">
        <v>-0.2310458636440326</v>
      </c>
      <c r="J124" s="15" t="n">
        <v>22.4134</v>
      </c>
      <c r="K124" s="61" t="n">
        <v>0.3444411278161077</v>
      </c>
      <c r="L124" s="61" t="n">
        <v>0.4248195929431116</v>
      </c>
      <c r="M124" s="61" t="n">
        <v>0.1900748481170675</v>
      </c>
      <c r="N124" s="61" t="n">
        <v>0.2411328488432289</v>
      </c>
      <c r="O124" s="61" t="n">
        <v>0.2545108916092862</v>
      </c>
      <c r="Q124" s="62" t="n">
        <v>0.2760837</v>
      </c>
      <c r="T124" s="57" t="n">
        <v>1.610571742918311</v>
      </c>
      <c r="AA124" s="61">
        <f t="array" ref="AA124">_xll.BDP(B124,"CHG_PCT_1YR")/100</f>
        <v/>
      </c>
      <c r="AB124" s="15" t="n">
        <v>6942.178</v>
      </c>
      <c r="AC124" s="15" t="n">
        <v>4756.555</v>
      </c>
      <c r="AD124" s="15" t="n">
        <v>9861.618999999999</v>
      </c>
      <c r="AE124" s="15" t="n">
        <v>6390.659</v>
      </c>
      <c r="AF124" s="16">
        <f>IF(ISNUMBER(_xlfn.SINGLE(_xll.BDP($B124,"BS_LONG_TERM_INVESTMENTS"))),_xlfn.SINGLE(_xll.BDP($B124,"BS_LONG_TERM_INVESTMENTS")),0)</f>
        <v/>
      </c>
      <c r="AG124" s="15" t="n">
        <v>14618.174</v>
      </c>
      <c r="AH124" s="56" t="n">
        <v>0.4248195929431116</v>
      </c>
      <c r="AJ124" s="15" t="n">
        <v>2.977</v>
      </c>
      <c r="AK124" s="15" t="n">
        <v>4.015</v>
      </c>
      <c r="AL124" s="15" t="n">
        <v>5.329</v>
      </c>
      <c r="AM124" s="15" t="n">
        <v>7.016</v>
      </c>
      <c r="AN124" s="15" t="n">
        <v>7.927</v>
      </c>
      <c r="AO124" s="15">
        <f t="array" ref="AO124">_xll.BDP($B124,"EQY_FISCAL_YR_END")</f>
        <v/>
      </c>
      <c r="AP124" s="15" t="n">
        <v>14869.96153846154</v>
      </c>
      <c r="AQ124" s="15" t="n">
        <v>18262.03225806452</v>
      </c>
      <c r="AR124" s="15" t="n">
        <v>22413.4</v>
      </c>
      <c r="AS124" s="15" t="n">
        <v>27927.53333333333</v>
      </c>
      <c r="AT124" s="15" t="n">
        <v>30780.23529411765</v>
      </c>
      <c r="AV124" s="15" t="n">
        <v>4436.296296296297</v>
      </c>
      <c r="AW124" s="15" t="n">
        <v>5858.448275862069</v>
      </c>
      <c r="AX124" s="15" t="n">
        <v>7720.096774193548</v>
      </c>
      <c r="AY124" s="15" t="n">
        <v>10072.36666666667</v>
      </c>
      <c r="AZ124" s="15" t="n">
        <v>11200.5</v>
      </c>
      <c r="BB124" s="57" t="n">
        <v>-1361.322462759999</v>
      </c>
      <c r="BC124" s="57" t="n">
        <v>-1634.103999999999</v>
      </c>
      <c r="BD124" s="15" t="n">
        <v>272.78153724</v>
      </c>
      <c r="BE124" s="16" t="n">
        <v>7343.529</v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15" t="n">
        <v>10.71234986633</v>
      </c>
      <c r="E125" s="58" t="n">
        <v>215.53</v>
      </c>
      <c r="F125" s="59" t="n">
        <v>33.00612557427259</v>
      </c>
      <c r="G125" s="59" t="n">
        <v>25.84602470320182</v>
      </c>
      <c r="H125" s="59" t="n">
        <v>23.81546961325967</v>
      </c>
      <c r="I125" s="60" t="n">
        <v>-3.181296148575402</v>
      </c>
      <c r="J125" s="15" t="n">
        <v>1.255375</v>
      </c>
      <c r="K125" s="61" t="n">
        <v>0.2921437817385243</v>
      </c>
      <c r="L125" s="61" t="n">
        <v>0.05565578979445024</v>
      </c>
      <c r="M125" s="61" t="n">
        <v>0.181193957104504</v>
      </c>
      <c r="N125" s="61" t="n">
        <v>0.3013083358851127</v>
      </c>
      <c r="O125" s="61" t="n">
        <v>0.2203181729276464</v>
      </c>
      <c r="Q125" s="62" t="n">
        <v>0.3653237</v>
      </c>
      <c r="T125" s="57" t="n">
        <v>1.498111805107968</v>
      </c>
      <c r="AA125" s="61">
        <f t="array" ref="AA125">_xll.BDP(B125,"CHG_PCT_1YR")/100</f>
        <v/>
      </c>
      <c r="AB125" s="15" t="n">
        <v>132.927</v>
      </c>
      <c r="AC125" s="15" t="n">
        <v>17.475</v>
      </c>
      <c r="AD125" s="15" t="n">
        <v>2100.647</v>
      </c>
      <c r="AE125" s="15" t="n">
        <v>346.119</v>
      </c>
      <c r="AF125" s="16">
        <f>IF(ISNUMBER(_xlfn.SINGLE(_xll.BDP($B125,"BS_LONG_TERM_INVESTMENTS"))),_xlfn.SINGLE(_xll.BDP($B125,"BS_LONG_TERM_INVESTMENTS")),0)</f>
        <v/>
      </c>
      <c r="AG125" s="15" t="n">
        <v>2118.122</v>
      </c>
      <c r="AH125" s="56" t="n">
        <v>0.05565578979445024</v>
      </c>
      <c r="AJ125" s="15" t="n">
        <v>5.238</v>
      </c>
      <c r="AK125" s="15" t="n">
        <v>4.98</v>
      </c>
      <c r="AL125" s="15" t="n">
        <v>6.53</v>
      </c>
      <c r="AM125" s="15" t="n">
        <v>8.339</v>
      </c>
      <c r="AN125" s="15" t="n">
        <v>9.050000000000001</v>
      </c>
      <c r="AO125" s="15">
        <f t="array" ref="AO125">_xll.BDP($B125,"EQY_FISCAL_YR_END")</f>
        <v/>
      </c>
      <c r="AP125" s="15" t="n">
        <v>983.25</v>
      </c>
      <c r="AQ125" s="15" t="n">
        <v>1005.142857142857</v>
      </c>
      <c r="AR125" s="15" t="n">
        <v>1255.375</v>
      </c>
      <c r="AS125" s="15" t="n">
        <v>1455.375</v>
      </c>
      <c r="AT125" s="15" t="n">
        <v>1656.5</v>
      </c>
      <c r="AV125" s="15" t="n">
        <v>266.5714285714286</v>
      </c>
      <c r="AW125" s="15" t="n">
        <v>254.125</v>
      </c>
      <c r="AX125" s="15" t="n">
        <v>366.75</v>
      </c>
      <c r="AY125" s="15" t="n">
        <v>470.75</v>
      </c>
      <c r="AZ125" s="15" t="n">
        <v>560</v>
      </c>
      <c r="BB125" s="57" t="n">
        <v>-317.93165013367</v>
      </c>
      <c r="BC125" s="57" t="n">
        <v>-328.644</v>
      </c>
      <c r="BD125" s="15" t="n">
        <v>10.71234986633</v>
      </c>
      <c r="BE125" s="16" t="n">
        <v>200.366</v>
      </c>
    </row>
    <row r="126">
      <c r="AA126" s="61" t="n"/>
    </row>
    <row r="127">
      <c r="A127" s="36" t="inlineStr">
        <is>
          <t>Analog</t>
        </is>
      </c>
      <c r="AA127" s="61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15" t="n">
        <v>177.42199827599</v>
      </c>
      <c r="E128" s="58" t="n">
        <v>194.87</v>
      </c>
      <c r="F128" s="59" t="n">
        <v>30.05397902529303</v>
      </c>
      <c r="G128" s="59" t="n">
        <v>24.9130657120941</v>
      </c>
      <c r="H128" s="59" t="n">
        <v>19.32850624876017</v>
      </c>
      <c r="I128" s="60" t="n">
        <v>1.233856893542757</v>
      </c>
      <c r="J128" s="15" t="n">
        <v>19.52989189189189</v>
      </c>
      <c r="K128" s="61" t="n">
        <v>0.3631511669169812</v>
      </c>
      <c r="L128" s="61" t="n">
        <v>0.1737826248977697</v>
      </c>
      <c r="M128" s="61" t="n">
        <v>0.1128426344332814</v>
      </c>
      <c r="N128" s="61" t="n">
        <v>0.1845662944470265</v>
      </c>
      <c r="O128" s="61" t="n">
        <v>0.2116363216142532</v>
      </c>
      <c r="Q128" s="62" t="n">
        <v>0.1232347</v>
      </c>
      <c r="T128" s="57" t="n">
        <v>1.420076610482393</v>
      </c>
      <c r="AA128" s="61">
        <f t="array" ref="AA128">_xll.BDP(B128,"CHG_PCT_1YR")/100</f>
        <v/>
      </c>
      <c r="AB128" s="15" t="n">
        <v>6023</v>
      </c>
      <c r="AC128" s="15" t="n">
        <v>14779</v>
      </c>
      <c r="AD128" s="15" t="n">
        <v>16273</v>
      </c>
      <c r="AE128" s="15" t="n">
        <v>3225</v>
      </c>
      <c r="AF128" s="16" t="n">
        <v>16</v>
      </c>
      <c r="AG128" s="15" t="n">
        <v>31052</v>
      </c>
      <c r="AH128" s="56" t="n">
        <v>0.1737826248977697</v>
      </c>
      <c r="AJ128" s="15" t="n">
        <v>5.087</v>
      </c>
      <c r="AK128" s="15" t="n">
        <v>5.668</v>
      </c>
      <c r="AL128" s="15" t="n">
        <v>6.484</v>
      </c>
      <c r="AM128" s="15" t="n">
        <v>7.822</v>
      </c>
      <c r="AN128" s="15" t="n">
        <v>10.082</v>
      </c>
      <c r="AO128" s="15">
        <f t="array" ref="AO128">_xll.BDP($B128,"EQY_FISCAL_YR_END")</f>
        <v/>
      </c>
      <c r="AP128" s="15" t="n">
        <v>15491.58620689655</v>
      </c>
      <c r="AQ128" s="15" t="n">
        <v>17687.11428571429</v>
      </c>
      <c r="AR128" s="15" t="n">
        <v>19529.89189189189</v>
      </c>
      <c r="AS128" s="15" t="n">
        <v>21596.69444444444</v>
      </c>
      <c r="AT128" s="15" t="n">
        <v>24375.76470588235</v>
      </c>
      <c r="AV128" s="15" t="n">
        <v>5337.592592592592</v>
      </c>
      <c r="AW128" s="15" t="n">
        <v>6043.548387096774</v>
      </c>
      <c r="AX128" s="15" t="n">
        <v>7092.30303030303</v>
      </c>
      <c r="AY128" s="15" t="n">
        <v>8389</v>
      </c>
      <c r="AZ128" s="15" t="n">
        <v>10045.46666666667</v>
      </c>
      <c r="BB128" s="57" t="n">
        <v>11731.42199827599</v>
      </c>
      <c r="BC128" s="57" t="n">
        <v>11554</v>
      </c>
      <c r="BD128" s="15" t="n">
        <v>177.42199827599</v>
      </c>
      <c r="BE128" s="16" t="n">
        <v>8124</v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15" t="n">
        <v>155.41491133938</v>
      </c>
      <c r="E129" s="58" t="n">
        <v>318.34</v>
      </c>
      <c r="F129" s="59" t="n">
        <v>27.70342006787921</v>
      </c>
      <c r="G129" s="59" t="n">
        <v>24.40134907251264</v>
      </c>
      <c r="H129" s="59" t="n">
        <v>21.31645908664791</v>
      </c>
      <c r="I129" s="60" t="n">
        <v>0.845615301098153</v>
      </c>
      <c r="J129" s="15" t="n">
        <v>14.01379310344828</v>
      </c>
      <c r="K129" s="61" t="n">
        <v>0.4689173228346456</v>
      </c>
      <c r="L129" s="61" t="n">
        <v>0.06633264580699764</v>
      </c>
      <c r="M129" s="61" t="n">
        <v>0.1314342494620684</v>
      </c>
      <c r="N129" s="61" t="n">
        <v>0.2188154921592664</v>
      </c>
      <c r="O129" s="61" t="n">
        <v>0.242207978194078</v>
      </c>
      <c r="Q129" s="62" t="n">
        <v>0.17382</v>
      </c>
      <c r="T129" s="57" t="n">
        <v>1.143786438185815</v>
      </c>
      <c r="AA129" s="61">
        <f t="array" ref="AA129">_xll.BDP(B129,"CHG_PCT_1YR")/100</f>
        <v/>
      </c>
      <c r="AB129" s="15" t="n">
        <v>3438.21</v>
      </c>
      <c r="AC129" s="15" t="n">
        <v>8948.513999999999</v>
      </c>
      <c r="AD129" s="15" t="n">
        <v>33815.755</v>
      </c>
      <c r="AE129" s="15" t="n">
        <v>2499.406</v>
      </c>
      <c r="AF129" s="16">
        <f>IF(ISNUMBER(_xlfn.SINGLE(_xll.BDP($B129,"BS_LONG_TERM_INVESTMENTS"))),_xlfn.SINGLE(_xll.BDP($B129,"BS_LONG_TERM_INVESTMENTS")),0)</f>
        <v/>
      </c>
      <c r="AG129" s="15" t="n">
        <v>42764.269</v>
      </c>
      <c r="AH129" s="56" t="n">
        <v>0.06633264580699764</v>
      </c>
      <c r="AJ129" s="15" t="n">
        <v>6.343</v>
      </c>
      <c r="AK129" s="15" t="n">
        <v>7.791</v>
      </c>
      <c r="AL129" s="15" t="n">
        <v>11.491</v>
      </c>
      <c r="AM129" s="15" t="n">
        <v>13.046</v>
      </c>
      <c r="AN129" s="15" t="n">
        <v>14.934</v>
      </c>
      <c r="AO129" s="15">
        <f t="array" ref="AO129">_xll.BDP($B129,"EQY_FISCAL_YR_END")</f>
        <v/>
      </c>
      <c r="AP129" s="15" t="n">
        <v>9387.695652173914</v>
      </c>
      <c r="AQ129" s="15" t="n">
        <v>10957.51612903226</v>
      </c>
      <c r="AR129" s="15" t="n">
        <v>14013.79310344828</v>
      </c>
      <c r="AS129" s="15" t="n">
        <v>15423.48275862069</v>
      </c>
      <c r="AT129" s="15" t="n">
        <v>15870.84615384615</v>
      </c>
      <c r="AV129" s="15" t="n">
        <v>3835.52</v>
      </c>
      <c r="AW129" s="15" t="n">
        <v>4600.5</v>
      </c>
      <c r="AX129" s="15" t="n">
        <v>6571.310344827586</v>
      </c>
      <c r="AY129" s="15" t="n">
        <v>7405.642857142858</v>
      </c>
      <c r="AZ129" s="15" t="n">
        <v>8329.5</v>
      </c>
      <c r="BB129" s="57" t="n">
        <v>6604.522911339379</v>
      </c>
      <c r="BC129" s="57" t="n">
        <v>6449.107999999999</v>
      </c>
      <c r="BD129" s="15" t="n">
        <v>155.41491133938</v>
      </c>
      <c r="BE129" s="16" t="n">
        <v>5479.293</v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15" t="n">
        <v>54.93799182</v>
      </c>
      <c r="E130" s="58" t="n">
        <v>1118.49</v>
      </c>
      <c r="F130" s="59" t="n">
        <v>51.99377091855708</v>
      </c>
      <c r="G130" s="59" t="n">
        <v>43.18327477703563</v>
      </c>
      <c r="H130" s="59" t="n">
        <v>36.89803054794972</v>
      </c>
      <c r="I130" s="60" t="n">
        <v>-1.567270544609225</v>
      </c>
      <c r="J130" s="15" t="n">
        <v>3.389</v>
      </c>
      <c r="K130" s="61" t="n">
        <v>0.3605230156388315</v>
      </c>
      <c r="L130" s="61" t="n">
        <v>0.2725764535685017</v>
      </c>
      <c r="M130" s="61" t="n">
        <v>0.1803122500243048</v>
      </c>
      <c r="N130" s="61" t="n">
        <v>0.1986098259808802</v>
      </c>
      <c r="O130" s="61" t="n">
        <v>0.1962891207513211</v>
      </c>
      <c r="Q130" s="62" t="n">
        <v>0.2340461</v>
      </c>
      <c r="T130" s="57" t="n">
        <v>2.648836100520723</v>
      </c>
      <c r="AA130" s="61">
        <f t="array" ref="AA130">_xll.BDP(B130,"CHG_PCT_1YR")/100</f>
        <v/>
      </c>
      <c r="AB130" s="15" t="n">
        <v>728.636</v>
      </c>
      <c r="AC130" s="15" t="n">
        <v>24.103</v>
      </c>
      <c r="AD130" s="15" t="n">
        <v>3531.497</v>
      </c>
      <c r="AE130" s="15" t="n">
        <v>1099.302</v>
      </c>
      <c r="AF130" s="16" t="n">
        <v>0.049</v>
      </c>
      <c r="AG130" s="15" t="n">
        <v>3555.6</v>
      </c>
      <c r="AH130" s="56" t="n">
        <v>0.2725764535685017</v>
      </c>
      <c r="AJ130" s="15" t="n">
        <v>14.022</v>
      </c>
      <c r="AK130" s="15" t="n">
        <v>17.706</v>
      </c>
      <c r="AL130" s="15" t="n">
        <v>21.512</v>
      </c>
      <c r="AM130" s="15" t="n">
        <v>25.901</v>
      </c>
      <c r="AN130" s="15" t="n">
        <v>30.313</v>
      </c>
      <c r="AO130" s="15">
        <f t="array" ref="AO130">_xll.BDP($B130,"EQY_FISCAL_YR_END")</f>
        <v/>
      </c>
      <c r="AP130" s="15" t="n">
        <v>2195.357142857143</v>
      </c>
      <c r="AQ130" s="15" t="n">
        <v>2780.8</v>
      </c>
      <c r="AR130" s="15" t="n">
        <v>3389</v>
      </c>
      <c r="AS130" s="15" t="n">
        <v>3981.0625</v>
      </c>
      <c r="AT130" s="15" t="n">
        <v>4572.571428571428</v>
      </c>
      <c r="AV130" s="15" t="n">
        <v>759.5714285714286</v>
      </c>
      <c r="AW130" s="15" t="n">
        <v>977.6</v>
      </c>
      <c r="AX130" s="15" t="n">
        <v>1221.8125</v>
      </c>
      <c r="AY130" s="15" t="n">
        <v>1482.3125</v>
      </c>
      <c r="AZ130" s="15" t="n">
        <v>1683.428571428572</v>
      </c>
      <c r="BB130" s="57" t="n">
        <v>-1020.26100818</v>
      </c>
      <c r="BC130" s="57" t="n">
        <v>-1075.199</v>
      </c>
      <c r="BD130" s="15" t="n">
        <v>54.93799182</v>
      </c>
      <c r="BE130" s="16" t="n">
        <v>786.362</v>
      </c>
    </row>
    <row r="131">
      <c r="D131" s="15" t="n"/>
      <c r="AA131" s="61" t="n"/>
    </row>
    <row r="132">
      <c r="A132" s="36" t="inlineStr">
        <is>
          <t>Memory</t>
        </is>
      </c>
      <c r="C132" s="15" t="n"/>
      <c r="D132" s="15" t="n"/>
      <c r="E132" s="58" t="n"/>
      <c r="F132" s="59" t="n"/>
      <c r="G132" s="59" t="n"/>
      <c r="H132" s="59" t="n"/>
      <c r="I132" s="60" t="n"/>
      <c r="J132" s="15" t="n"/>
      <c r="K132" s="61" t="n"/>
      <c r="L132" s="61" t="n"/>
      <c r="M132" s="61" t="n"/>
      <c r="N132" s="61" t="n"/>
      <c r="O132" s="61" t="n"/>
      <c r="T132" s="57" t="n"/>
      <c r="AA132" s="6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15" t="n">
        <v>413.02131883824</v>
      </c>
      <c r="E133" s="58" t="n">
        <v>366.24</v>
      </c>
      <c r="F133" s="59" t="n">
        <v>6.508734827347207</v>
      </c>
      <c r="G133" s="59" t="n">
        <v>3.890954677772348</v>
      </c>
      <c r="H133" s="59" t="n">
        <v>4.398539584934666</v>
      </c>
      <c r="I133" s="60" t="n">
        <v>-0.1577409141341704</v>
      </c>
      <c r="J133" s="15" t="n">
        <v>105.1170888888889</v>
      </c>
      <c r="K133" s="61" t="n">
        <v>0.7195614033789621</v>
      </c>
      <c r="L133" s="61" t="n">
        <v>0.3284829009418175</v>
      </c>
      <c r="M133" s="61" t="n">
        <v>0.6216210774147679</v>
      </c>
      <c r="N133" s="61" t="n">
        <v>1.227395556503717</v>
      </c>
      <c r="O133" s="61" t="n">
        <v>1.177373924371498</v>
      </c>
      <c r="Q133" s="62" t="n">
        <v>0.2832066</v>
      </c>
      <c r="T133" s="57" t="n">
        <v>0.05528179869298261</v>
      </c>
      <c r="AA133" s="61">
        <f t="array" ref="AA133">_xll.BDP(B133,"CHG_PCT_1YR")/100</f>
        <v/>
      </c>
      <c r="AB133" s="15" t="n">
        <v>28094</v>
      </c>
      <c r="AC133" s="15" t="n">
        <v>15352</v>
      </c>
      <c r="AD133" s="15" t="n">
        <v>54165</v>
      </c>
      <c r="AE133" s="15" t="n">
        <v>9642</v>
      </c>
      <c r="AF133" s="16" t="n">
        <v>1629</v>
      </c>
      <c r="AG133" s="15" t="n">
        <v>69517</v>
      </c>
      <c r="AH133" s="56" t="n">
        <v>0.3284829009418175</v>
      </c>
      <c r="AJ133" s="15" t="n">
        <v>1.226</v>
      </c>
      <c r="AK133" s="15" t="n">
        <v>8.066000000000001</v>
      </c>
      <c r="AL133" s="15" t="n">
        <v>56.269</v>
      </c>
      <c r="AM133" s="15" t="n">
        <v>94.126</v>
      </c>
      <c r="AN133" s="15" t="n">
        <v>83.264</v>
      </c>
      <c r="AO133" s="15">
        <f t="array" ref="AO133">_xll.BDP($B133,"EQY_FISCAL_YR_END")</f>
        <v/>
      </c>
      <c r="AP133" s="15" t="n">
        <v>25034.5625</v>
      </c>
      <c r="AQ133" s="15" t="n">
        <v>37177.15384615384</v>
      </c>
      <c r="AR133" s="15" t="n">
        <v>105117.0888888889</v>
      </c>
      <c r="AS133" s="15" t="n">
        <v>160766.0681818182</v>
      </c>
      <c r="AT133" s="15" t="n">
        <v>158534.68</v>
      </c>
      <c r="AV133" s="15" t="n">
        <v>1669.333333333333</v>
      </c>
      <c r="AW133" s="15" t="n">
        <v>10507.96296296296</v>
      </c>
      <c r="AX133" s="15" t="n">
        <v>75638.2</v>
      </c>
      <c r="AY133" s="15" t="n">
        <v>128863.0588235294</v>
      </c>
      <c r="AZ133" s="15" t="n">
        <v>116120.95</v>
      </c>
      <c r="BB133" s="57" t="n">
        <v>6123.02131883824</v>
      </c>
      <c r="BC133" s="57" t="n">
        <v>5710</v>
      </c>
      <c r="BD133" s="15" t="n">
        <v>413.02131883824</v>
      </c>
      <c r="BE133" s="16" t="n">
        <v>36953</v>
      </c>
    </row>
    <row r="134">
      <c r="C134" s="15" t="n"/>
      <c r="D134" s="15" t="n"/>
      <c r="E134" s="58" t="n"/>
      <c r="F134" s="59" t="n"/>
      <c r="G134" s="59" t="n"/>
      <c r="H134" s="59" t="n"/>
      <c r="I134" s="60" t="n"/>
      <c r="J134" s="15" t="n"/>
      <c r="K134" s="61" t="n"/>
      <c r="L134" s="61" t="n"/>
      <c r="M134" s="61" t="n"/>
      <c r="N134" s="61" t="n"/>
      <c r="O134" s="61" t="n"/>
      <c r="T134" s="57" t="n"/>
      <c r="AA134" s="6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58" t="n"/>
      <c r="F135" s="59" t="n"/>
      <c r="G135" s="59" t="n"/>
      <c r="H135" s="59" t="n"/>
      <c r="I135" s="60" t="n"/>
      <c r="J135" s="15" t="n"/>
      <c r="K135" s="61" t="n"/>
      <c r="L135" s="61" t="n"/>
      <c r="M135" s="61" t="n"/>
      <c r="N135" s="61" t="n"/>
      <c r="O135" s="61" t="n"/>
      <c r="T135" s="57" t="n"/>
      <c r="AA135" s="6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15" t="n">
        <v>49.16139299475</v>
      </c>
      <c r="E136" s="58" t="n">
        <v>194.55</v>
      </c>
      <c r="F136" s="59" t="n">
        <v>13.9402407566638</v>
      </c>
      <c r="G136" s="59" t="n">
        <v>11.62116958365689</v>
      </c>
      <c r="H136" s="59" t="n">
        <v>10.03766381178413</v>
      </c>
      <c r="I136" s="60" t="n">
        <v>2.379221448827017</v>
      </c>
      <c r="J136" s="15" t="n">
        <v>13.54765517241379</v>
      </c>
      <c r="K136" s="61" t="n">
        <v>0.3450753269821081</v>
      </c>
      <c r="L136" s="61" t="n">
        <v>0.115086347733377</v>
      </c>
      <c r="M136" s="61" t="n">
        <v>0.09407154722689381</v>
      </c>
      <c r="N136" s="61" t="n">
        <v>0.1407132675689515</v>
      </c>
      <c r="O136" s="61" t="n">
        <v>0.1807506298610304</v>
      </c>
      <c r="Q136" s="62" t="n">
        <v>-0.103704</v>
      </c>
      <c r="T136" s="57" t="n">
        <v>0.7712416143380365</v>
      </c>
      <c r="AA136" s="61">
        <f t="array" ref="AA136">_xll.BDP(B136,"CHG_PCT_1YR")/100</f>
        <v/>
      </c>
      <c r="AB136" s="15" t="n">
        <v>3047</v>
      </c>
      <c r="AC136" s="15" t="n">
        <v>12496</v>
      </c>
      <c r="AD136" s="15" t="n">
        <v>10451</v>
      </c>
      <c r="AE136" s="15" t="n">
        <v>3267</v>
      </c>
      <c r="AF136" s="16">
        <f>IF(ISNUMBER(_xlfn.SINGLE(_xll.BDP($B136,"BS_LONG_TERM_INVESTMENTS"))),_xlfn.SINGLE(_xll.BDP($B136,"BS_LONG_TERM_INVESTMENTS")),0)</f>
        <v/>
      </c>
      <c r="AG136" s="15" t="n">
        <v>22947</v>
      </c>
      <c r="AH136" s="56" t="n">
        <v>0.115086347733377</v>
      </c>
      <c r="AJ136" s="15" t="n">
        <v>13.048</v>
      </c>
      <c r="AK136" s="15" t="n">
        <v>11.774</v>
      </c>
      <c r="AL136" s="15" t="n">
        <v>13.956</v>
      </c>
      <c r="AM136" s="15" t="n">
        <v>16.741</v>
      </c>
      <c r="AN136" s="15" t="n">
        <v>19.382</v>
      </c>
      <c r="AO136" s="15">
        <f t="array" ref="AO136">_xll.BDP($B136,"EQY_FISCAL_YR_END")</f>
        <v/>
      </c>
      <c r="AP136" s="15" t="n">
        <v>12609.76666666667</v>
      </c>
      <c r="AQ136" s="15" t="n">
        <v>12238.6</v>
      </c>
      <c r="AR136" s="15" t="n">
        <v>13547.65517241379</v>
      </c>
      <c r="AS136" s="15" t="n">
        <v>14926.89285714286</v>
      </c>
      <c r="AT136" s="15" t="n">
        <v>16027.61538461538</v>
      </c>
      <c r="AV136" s="15" t="n">
        <v>4353.875</v>
      </c>
      <c r="AW136" s="15" t="n">
        <v>4058.038461538462</v>
      </c>
      <c r="AX136" s="15" t="n">
        <v>4674.961538461538</v>
      </c>
      <c r="AY136" s="15" t="n">
        <v>5469.2</v>
      </c>
      <c r="AZ136" s="15" t="n">
        <v>6023.454545454545</v>
      </c>
      <c r="BB136" s="57" t="n">
        <v>9278.161392994751</v>
      </c>
      <c r="BC136" s="57" t="n">
        <v>9229</v>
      </c>
      <c r="BD136" s="15" t="n">
        <v>49.16139299475</v>
      </c>
      <c r="BE136" s="16" t="n">
        <v>3945</v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15" t="n">
        <v>24.46102590642</v>
      </c>
      <c r="E137" s="58" t="n">
        <v>62.19</v>
      </c>
      <c r="F137" s="59" t="n">
        <v>21.2688098495212</v>
      </c>
      <c r="G137" s="59" t="n">
        <v>15.35176499629721</v>
      </c>
      <c r="H137" s="59" t="n">
        <v>6.279915177219024</v>
      </c>
      <c r="I137" s="60" t="n">
        <v>0.796682838767912</v>
      </c>
      <c r="J137" s="15" t="n">
        <v>6.27903125</v>
      </c>
      <c r="K137" s="61" t="n">
        <v>0.2106641317745738</v>
      </c>
      <c r="L137" s="61" t="n">
        <v>0.007057666951885266</v>
      </c>
      <c r="M137" s="61" t="n">
        <v>0.08275920104302159</v>
      </c>
      <c r="N137" s="61" t="n">
        <v>0.2571615086076304</v>
      </c>
      <c r="O137" s="61" t="n">
        <v>0.6168317546366049</v>
      </c>
      <c r="Q137" s="62" t="n">
        <v>0.1484764</v>
      </c>
      <c r="T137" s="57" t="n">
        <v>0.3448073107398845</v>
      </c>
      <c r="AA137" s="61">
        <f t="array" ref="AA137">_xll.BDP(B137,"CHG_PCT_1YR")/100</f>
        <v/>
      </c>
      <c r="AB137" s="15" t="n">
        <v>84.2</v>
      </c>
      <c r="AC137" s="15" t="n">
        <v>3253.7</v>
      </c>
      <c r="AD137" s="15" t="n">
        <v>7691.900000000001</v>
      </c>
      <c r="AE137" s="15" t="n">
        <v>2147.6</v>
      </c>
      <c r="AF137" s="16">
        <f>IF(ISNUMBER(_xlfn.SINGLE(_xll.BDP($B137,"BS_LONG_TERM_INVESTMENTS"))),_xlfn.SINGLE(_xll.BDP($B137,"BS_LONG_TERM_INVESTMENTS")),0)</f>
        <v/>
      </c>
      <c r="AG137" s="15" t="n">
        <v>10945.6</v>
      </c>
      <c r="AH137" s="56" t="n">
        <v>0.007057666951885266</v>
      </c>
      <c r="AJ137" s="15" t="n">
        <v>4.002</v>
      </c>
      <c r="AK137" s="15" t="n">
        <v>2.343</v>
      </c>
      <c r="AL137" s="15" t="n">
        <v>2.924</v>
      </c>
      <c r="AM137" s="15" t="n">
        <v>4.051</v>
      </c>
      <c r="AN137" s="15" t="n">
        <v>9.903</v>
      </c>
      <c r="AO137" s="15">
        <f t="array" ref="AO137">_xll.BDP($B137,"EQY_FISCAL_YR_END")</f>
        <v/>
      </c>
      <c r="AP137" s="15" t="n">
        <v>7117.137931034483</v>
      </c>
      <c r="AQ137" s="15" t="n">
        <v>5998.214285714286</v>
      </c>
      <c r="AR137" s="15" t="n">
        <v>6279.03125</v>
      </c>
      <c r="AS137" s="15" t="n">
        <v>6920.3</v>
      </c>
      <c r="AT137" s="15" t="n">
        <v>7614.083333333333</v>
      </c>
      <c r="AV137" s="15" t="n">
        <v>1996.36</v>
      </c>
      <c r="AW137" s="15" t="n">
        <v>1109.814814814815</v>
      </c>
      <c r="AX137" s="15" t="n">
        <v>1322.766666666667</v>
      </c>
      <c r="AY137" s="15" t="n">
        <v>1787.75</v>
      </c>
      <c r="AZ137" s="15" t="n">
        <v>2205.076923076923</v>
      </c>
      <c r="BB137" s="57" t="n">
        <v>1130.56102590642</v>
      </c>
      <c r="BC137" s="57" t="n">
        <v>1106.1</v>
      </c>
      <c r="BD137" s="15" t="n">
        <v>24.46102590642</v>
      </c>
      <c r="BE137" s="16" t="n">
        <v>848</v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15" t="n">
        <v>7.2959369373</v>
      </c>
      <c r="E138" s="58" t="n">
        <v>78.7</v>
      </c>
      <c r="F138" s="59" t="n">
        <v>12.06685065930696</v>
      </c>
      <c r="G138" s="59" t="n">
        <v>11.65407966829557</v>
      </c>
      <c r="H138" s="59" t="n">
        <v>9.835041239690076</v>
      </c>
      <c r="I138" s="60" t="n">
        <v>0.3399086935634563</v>
      </c>
      <c r="J138" s="15" t="n">
        <v>3.671722222222222</v>
      </c>
      <c r="K138" s="61" t="n">
        <v>0.2050445597736454</v>
      </c>
      <c r="L138" s="61" t="n">
        <v>0.0696261166499674</v>
      </c>
      <c r="M138" s="61" t="n">
        <v>0.002296245109538964</v>
      </c>
      <c r="N138" s="61" t="n">
        <v>0.1322348598684919</v>
      </c>
      <c r="O138" s="61" t="n">
        <v>0.1436908582406979</v>
      </c>
      <c r="Q138" s="62" t="n">
        <v>-0.06874928</v>
      </c>
      <c r="T138" s="57" t="n">
        <v>0.8397785918359304</v>
      </c>
      <c r="AA138" s="61">
        <f t="array" ref="AA138">_xll.BDP(B138,"CHG_PCT_1YR")/100</f>
        <v/>
      </c>
      <c r="AB138" s="15" t="n">
        <v>408.131</v>
      </c>
      <c r="AC138" s="15" t="n">
        <v>1611.06</v>
      </c>
      <c r="AD138" s="15" t="n">
        <v>3392.312</v>
      </c>
      <c r="AE138" s="15" t="n">
        <v>1021.176</v>
      </c>
      <c r="AF138" s="16" t="n">
        <v>23.433</v>
      </c>
      <c r="AG138" s="15" t="n">
        <v>5003.371999999999</v>
      </c>
      <c r="AH138" s="56" t="n">
        <v>0.0696261166499674</v>
      </c>
      <c r="AJ138" s="15" t="n">
        <v>6.048</v>
      </c>
      <c r="AK138" s="15" t="n">
        <v>5.349</v>
      </c>
      <c r="AL138" s="15" t="n">
        <v>6.522</v>
      </c>
      <c r="AM138" s="15" t="n">
        <v>6.753</v>
      </c>
      <c r="AN138" s="15" t="n">
        <v>8.002000000000001</v>
      </c>
      <c r="AO138" s="15">
        <f t="array" ref="AO138">_xll.BDP($B138,"EQY_FISCAL_YR_END")</f>
        <v/>
      </c>
      <c r="AP138" s="15" t="n">
        <v>3755.260869565217</v>
      </c>
      <c r="AQ138" s="15" t="n">
        <v>3700.45</v>
      </c>
      <c r="AR138" s="15" t="n">
        <v>3671.722222222222</v>
      </c>
      <c r="AS138" s="15" t="n">
        <v>3465.611111111111</v>
      </c>
      <c r="AT138" s="15" t="n">
        <v>3726</v>
      </c>
      <c r="AV138" s="15" t="n">
        <v>706.8947368421053</v>
      </c>
      <c r="AW138" s="15" t="n">
        <v>608.2777777777778</v>
      </c>
      <c r="AX138" s="15" t="n">
        <v>752.8666666666667</v>
      </c>
      <c r="AY138" s="15" t="n">
        <v>769.5333333333334</v>
      </c>
      <c r="AZ138" s="15" t="n">
        <v>882.9</v>
      </c>
      <c r="BB138" s="57" t="n">
        <v>597.1799369372999</v>
      </c>
      <c r="BC138" s="57" t="n">
        <v>589.8839999999999</v>
      </c>
      <c r="BD138" s="15" t="n">
        <v>7.2959369373</v>
      </c>
      <c r="BE138" s="16" t="n">
        <v>678.5940000000001</v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15" t="n">
        <v>8.300905097969999</v>
      </c>
      <c r="E139" s="58" t="n">
        <v>55.19</v>
      </c>
      <c r="F139" s="59" t="n">
        <v>11.80029933718195</v>
      </c>
      <c r="G139" s="59" t="n">
        <v>10.87273443656422</v>
      </c>
      <c r="H139" s="59" t="n">
        <v>8.936204663212434</v>
      </c>
      <c r="I139" s="60" t="n">
        <v>-0.4235148235824597</v>
      </c>
      <c r="J139" s="15" t="n">
        <v>3.753772727272727</v>
      </c>
      <c r="K139" s="61" t="n">
        <v>0.2036884104476708</v>
      </c>
      <c r="L139" s="61" t="n">
        <v>0.05100961853660151</v>
      </c>
      <c r="M139" s="61" t="n">
        <v>0.01496017861444754</v>
      </c>
      <c r="N139" s="61" t="n">
        <v>-0.0207595128467758</v>
      </c>
      <c r="O139" s="61" t="n">
        <v>0.03329611786981124</v>
      </c>
      <c r="Q139" s="62" t="n">
        <v>-0.1296325</v>
      </c>
      <c r="T139" s="57" t="n">
        <v>3.544046601264885</v>
      </c>
      <c r="AA139" s="61">
        <f t="array" ref="AA139">_xll.BDP(B139,"CHG_PCT_1YR")/100</f>
        <v/>
      </c>
      <c r="AB139" s="15" t="n">
        <v>422.7</v>
      </c>
      <c r="AC139" s="15" t="n">
        <v>1203.1</v>
      </c>
      <c r="AD139" s="15" t="n">
        <v>5757.099999999999</v>
      </c>
      <c r="AE139" s="15" t="n">
        <v>1161.3</v>
      </c>
      <c r="AF139" s="16" t="n">
        <v>14.2</v>
      </c>
      <c r="AG139" s="15" t="n">
        <v>6960.199999999999</v>
      </c>
      <c r="AH139" s="56" t="n">
        <v>0.05100961853660151</v>
      </c>
      <c r="AJ139" s="15" t="n">
        <v>6.253</v>
      </c>
      <c r="AK139" s="15" t="n">
        <v>5.598</v>
      </c>
      <c r="AL139" s="15" t="n">
        <v>4.677</v>
      </c>
      <c r="AM139" s="15" t="n">
        <v>5.076000000000001</v>
      </c>
      <c r="AN139" s="15" t="n">
        <v>6.176</v>
      </c>
      <c r="AO139" s="15">
        <f t="array" ref="AO139">_xll.BDP($B139,"EQY_FISCAL_YR_END")</f>
        <v/>
      </c>
      <c r="AP139" s="15" t="n">
        <v>4173.96</v>
      </c>
      <c r="AQ139" s="15" t="n">
        <v>4029.318181818182</v>
      </c>
      <c r="AR139" s="15" t="n">
        <v>3753.772727272727</v>
      </c>
      <c r="AS139" s="15" t="n">
        <v>3882.52380952381</v>
      </c>
      <c r="AT139" s="15" t="n">
        <v>4212.875</v>
      </c>
      <c r="AV139" s="15" t="n">
        <v>1139</v>
      </c>
      <c r="AW139" s="15" t="n">
        <v>976.5652173913044</v>
      </c>
      <c r="AX139" s="15" t="n">
        <v>764.6</v>
      </c>
      <c r="AY139" s="15" t="n">
        <v>806.2</v>
      </c>
      <c r="AZ139" s="15" t="n">
        <v>917</v>
      </c>
      <c r="BB139" s="57" t="n">
        <v>50.10090509796996</v>
      </c>
      <c r="BC139" s="57" t="n">
        <v>41.79999999999995</v>
      </c>
      <c r="BD139" s="15" t="n">
        <v>8.300905097969999</v>
      </c>
      <c r="BE139" s="16" t="n">
        <v>887.1</v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15" t="n">
        <v>17.875352451</v>
      </c>
      <c r="E140" s="58" t="n">
        <v>238.3</v>
      </c>
      <c r="F140" s="59" t="n">
        <v>53.50246969016615</v>
      </c>
      <c r="G140" s="59" t="n">
        <v>43.15465411082941</v>
      </c>
      <c r="H140" s="59" t="n">
        <v>35.72713643178411</v>
      </c>
      <c r="I140" s="60" t="n">
        <v>-1.086854653828518</v>
      </c>
      <c r="J140" s="15" t="n">
        <v>1.1756</v>
      </c>
      <c r="K140" s="61" t="n">
        <v>0.2832596121129636</v>
      </c>
      <c r="L140" s="61" t="n">
        <v>0.07443096192996441</v>
      </c>
      <c r="M140" s="61" t="n">
        <v>0.1649229372851178</v>
      </c>
      <c r="N140" s="61" t="n">
        <v>0.272611511900533</v>
      </c>
      <c r="O140" s="61" t="n">
        <v>0.243484887071981</v>
      </c>
      <c r="Q140" s="62" t="n">
        <v>0.3912891</v>
      </c>
      <c r="T140" s="57" t="n">
        <v>2.197363061566499</v>
      </c>
      <c r="AA140" s="61">
        <f t="array" ref="AA140">_xll.BDP(B140,"CHG_PCT_1YR")/100</f>
        <v/>
      </c>
      <c r="AB140" s="15" t="n">
        <v>155.422</v>
      </c>
      <c r="AC140" s="15" t="n">
        <v>566.438</v>
      </c>
      <c r="AD140" s="15" t="n">
        <v>1327.095</v>
      </c>
      <c r="AE140" s="15" t="n">
        <v>112.142</v>
      </c>
      <c r="AF140" s="16">
        <f>IF(ISNUMBER(_xlfn.SINGLE(_xll.BDP($B140,"BS_LONG_TERM_INVESTMENTS"))),_xlfn.SINGLE(_xll.BDP($B140,"BS_LONG_TERM_INVESTMENTS")),0)</f>
        <v/>
      </c>
      <c r="AG140" s="15" t="n">
        <v>1893.533</v>
      </c>
      <c r="AH140" s="56" t="n">
        <v>0.07443096192996441</v>
      </c>
      <c r="AJ140" s="15" t="n">
        <v>2.565</v>
      </c>
      <c r="AK140" s="15" t="n">
        <v>3.469</v>
      </c>
      <c r="AL140" s="15" t="n">
        <v>4.454</v>
      </c>
      <c r="AM140" s="15" t="n">
        <v>5.522</v>
      </c>
      <c r="AN140" s="15" t="n">
        <v>6.67</v>
      </c>
      <c r="AO140" s="15">
        <f t="array" ref="AO140">_xll.BDP($B140,"EQY_FISCAL_YR_END")</f>
        <v/>
      </c>
      <c r="AP140" s="15" t="n">
        <v>732.5714285714286</v>
      </c>
      <c r="AQ140" s="15" t="n">
        <v>969.3076923076923</v>
      </c>
      <c r="AR140" s="15" t="n">
        <v>1175.6</v>
      </c>
      <c r="AS140" s="15" t="n">
        <v>1384.846153846154</v>
      </c>
      <c r="AT140" s="15" t="n">
        <v>1532.333333333333</v>
      </c>
      <c r="AV140" s="15" t="n">
        <v>177.3846153846154</v>
      </c>
      <c r="AW140" s="15" t="n">
        <v>244.9</v>
      </c>
      <c r="AX140" s="15" t="n">
        <v>333</v>
      </c>
      <c r="AY140" s="15" t="n">
        <v>432.4615384615385</v>
      </c>
      <c r="AZ140" s="15" t="n">
        <v>504.75</v>
      </c>
      <c r="BB140" s="57" t="n">
        <v>472.171352451</v>
      </c>
      <c r="BC140" s="57" t="n">
        <v>454.296</v>
      </c>
      <c r="BD140" s="15" t="n">
        <v>17.875352451</v>
      </c>
      <c r="BE140" s="16" t="n">
        <v>218.1</v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15" t="n">
        <v>48.40031491232001</v>
      </c>
      <c r="E141" s="58" t="n">
        <v>258.16</v>
      </c>
      <c r="F141" s="59" t="n">
        <v>47.7631822386679</v>
      </c>
      <c r="G141" s="59" t="n">
        <v>34.40757030521125</v>
      </c>
      <c r="H141" s="59" t="n">
        <v>28.65896980461812</v>
      </c>
      <c r="I141" s="60" t="n">
        <v>1.821405221325515</v>
      </c>
      <c r="J141" s="15" t="n">
        <v>6.9655</v>
      </c>
      <c r="K141" s="61" t="n">
        <v>0.2048139514675714</v>
      </c>
      <c r="L141" s="61" t="n">
        <v>0.02728208233742803</v>
      </c>
      <c r="M141" s="61" t="n">
        <v>0.2116813113145664</v>
      </c>
      <c r="N141" s="61" t="n">
        <v>0.3201940959709235</v>
      </c>
      <c r="O141" s="61" t="n">
        <v>0.3695068343133865</v>
      </c>
      <c r="Q141" s="62" t="n">
        <v>0.3987105</v>
      </c>
      <c r="T141" s="57" t="n">
        <v>1.292619724542333</v>
      </c>
      <c r="AA141" s="61">
        <f t="array" ref="AA141">_xll.BDP(B141,"CHG_PCT_1YR")/100</f>
        <v/>
      </c>
      <c r="AB141" s="15" t="n">
        <v>520.828</v>
      </c>
      <c r="AC141" s="15" t="n">
        <v>3893.658</v>
      </c>
      <c r="AD141" s="15" t="n">
        <v>8481.282999999999</v>
      </c>
      <c r="AE141" s="15" t="n">
        <v>909.2</v>
      </c>
      <c r="AF141" s="16">
        <f>IF(ISNUMBER(_xlfn.SINGLE(_xll.BDP($B141,"BS_LONG_TERM_INVESTMENTS"))),_xlfn.SINGLE(_xll.BDP($B141,"BS_LONG_TERM_INVESTMENTS")),0)</f>
        <v/>
      </c>
      <c r="AG141" s="15" t="n">
        <v>12374.941</v>
      </c>
      <c r="AH141" s="56" t="n">
        <v>0.02728208233742803</v>
      </c>
      <c r="AJ141" s="15" t="n">
        <v>1.65</v>
      </c>
      <c r="AK141" s="15" t="n">
        <v>3.507</v>
      </c>
      <c r="AL141" s="15" t="n">
        <v>5.405</v>
      </c>
      <c r="AM141" s="15" t="n">
        <v>7.503</v>
      </c>
      <c r="AN141" s="15" t="n">
        <v>9.008000000000001</v>
      </c>
      <c r="AO141" s="15">
        <f t="array" ref="AO141">_xll.BDP($B141,"EQY_FISCAL_YR_END")</f>
        <v/>
      </c>
      <c r="AP141" s="15" t="n">
        <v>4669.941176470588</v>
      </c>
      <c r="AQ141" s="15" t="n">
        <v>5792.263157894738</v>
      </c>
      <c r="AR141" s="15" t="n">
        <v>6965.5</v>
      </c>
      <c r="AS141" s="15" t="n">
        <v>8857.863636363636</v>
      </c>
      <c r="AT141" s="15" t="n">
        <v>10304.18181818182</v>
      </c>
      <c r="AV141" s="15" t="n">
        <v>695.8461538461538</v>
      </c>
      <c r="AW141" s="15" t="n">
        <v>1047.0625</v>
      </c>
      <c r="AX141" s="15" t="n">
        <v>1426.631578947368</v>
      </c>
      <c r="AY141" s="15" t="n">
        <v>1949.909090909091</v>
      </c>
      <c r="AZ141" s="15" t="n">
        <v>2409.272727272727</v>
      </c>
      <c r="BB141" s="57" t="n">
        <v>3032.85831491232</v>
      </c>
      <c r="BC141" s="57" t="n">
        <v>2984.458</v>
      </c>
      <c r="BD141" s="15" t="n">
        <v>48.40031491232001</v>
      </c>
      <c r="BE141" s="16" t="n">
        <v>1802.319</v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15" t="n">
        <v>17.7217723092</v>
      </c>
      <c r="E142" s="58" t="n">
        <v>116.4</v>
      </c>
      <c r="F142" s="59" t="n">
        <v>34.13489736070381</v>
      </c>
      <c r="G142" s="59" t="n">
        <v>26.54503990877993</v>
      </c>
      <c r="H142" s="59" t="n">
        <v>23.38758288125377</v>
      </c>
      <c r="I142" s="60" t="n">
        <v>4.079470198675497</v>
      </c>
      <c r="J142" s="15" t="n">
        <v>3.423363636363637</v>
      </c>
      <c r="K142" s="61" t="n">
        <v>0.2341556682688478</v>
      </c>
      <c r="L142" s="61" t="n">
        <v>0.05382450492193249</v>
      </c>
      <c r="M142" s="61" t="n">
        <v>0.07560859836111788</v>
      </c>
      <c r="N142" s="61" t="n">
        <v>0.1386596782710494</v>
      </c>
      <c r="O142" s="61" t="n">
        <v>0.2241630941480475</v>
      </c>
      <c r="Q142" s="62" t="n">
        <v>0.3816024</v>
      </c>
      <c r="T142" s="57" t="n">
        <v>1.522770618885176</v>
      </c>
      <c r="AA142" s="61">
        <f t="array" ref="AA142">_xll.BDP(B142,"CHG_PCT_1YR")/100</f>
        <v/>
      </c>
      <c r="AB142" s="15" t="n">
        <v>455.9</v>
      </c>
      <c r="AC142" s="15" t="n">
        <v>3810</v>
      </c>
      <c r="AD142" s="15" t="n">
        <v>3953.4</v>
      </c>
      <c r="AE142" s="15" t="n">
        <v>360.4</v>
      </c>
      <c r="AF142" s="16">
        <f>IF(ISNUMBER(_xlfn.SINGLE(_xll.BDP($B142,"BS_LONG_TERM_INVESTMENTS"))),_xlfn.SINGLE(_xll.BDP($B142,"BS_LONG_TERM_INVESTMENTS")),0)</f>
        <v/>
      </c>
      <c r="AG142" s="15" t="n">
        <v>7763.4</v>
      </c>
      <c r="AH142" s="56" t="n">
        <v>0.05382450492193249</v>
      </c>
      <c r="AJ142" s="15" t="n">
        <v>2.947</v>
      </c>
      <c r="AK142" s="15" t="n">
        <v>2.713</v>
      </c>
      <c r="AL142" s="15" t="n">
        <v>3.41</v>
      </c>
      <c r="AM142" s="15" t="n">
        <v>4.385</v>
      </c>
      <c r="AN142" s="15" t="n">
        <v>4.977</v>
      </c>
      <c r="AO142" s="15">
        <f t="array" ref="AO142">_xll.BDP($B142,"EQY_FISCAL_YR_END")</f>
        <v/>
      </c>
      <c r="AP142" s="15" t="n">
        <v>3214.9</v>
      </c>
      <c r="AQ142" s="15" t="n">
        <v>3187.727272727273</v>
      </c>
      <c r="AR142" s="15" t="n">
        <v>3423.363636363636</v>
      </c>
      <c r="AS142" s="15" t="n">
        <v>3757.727272727273</v>
      </c>
      <c r="AT142" s="15" t="n">
        <v>3966.833333333333</v>
      </c>
      <c r="AV142" s="15" t="n">
        <v>732.9</v>
      </c>
      <c r="AW142" s="15" t="n">
        <v>675.1</v>
      </c>
      <c r="AX142" s="15" t="n">
        <v>801.6</v>
      </c>
      <c r="AY142" s="15" t="n">
        <v>941.4545454545455</v>
      </c>
      <c r="AZ142" s="15" t="n">
        <v>996.6666666666666</v>
      </c>
      <c r="BB142" s="57" t="n">
        <v>3467.3217723092</v>
      </c>
      <c r="BC142" s="57" t="n">
        <v>3449.6</v>
      </c>
      <c r="BD142" s="15" t="n">
        <v>17.7217723092</v>
      </c>
      <c r="BE142" s="16" t="n">
        <v>864.0999999999999</v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15" t="n">
        <v>13.00533295354</v>
      </c>
      <c r="E143" s="58" t="n">
        <v>95.02</v>
      </c>
      <c r="F143" s="59" t="n">
        <v>60.7544757033248</v>
      </c>
      <c r="G143" s="59" t="n">
        <v>46.4418377321603</v>
      </c>
      <c r="H143" s="59" t="n">
        <v>35.78907721280602</v>
      </c>
      <c r="I143" s="60" t="n">
        <v>-1.624033408242351</v>
      </c>
      <c r="J143" s="15" t="n">
        <v>0.6965714285714285</v>
      </c>
      <c r="K143" s="61" t="n">
        <v>0.3294156622704613</v>
      </c>
      <c r="L143" s="61" t="n">
        <v>0.003877559508924858</v>
      </c>
      <c r="M143" s="61" t="n">
        <v>0.2473576433069695</v>
      </c>
      <c r="N143" s="61" t="n">
        <v>0.4184270983928626</v>
      </c>
      <c r="O143" s="61" t="n">
        <v>0.3619273345246699</v>
      </c>
      <c r="Q143" s="62" t="n">
        <v>0.2913835</v>
      </c>
      <c r="T143" s="57" t="n">
        <v>1.678637392312893</v>
      </c>
      <c r="AA143" s="61">
        <f t="array" ref="AA143">_xll.BDP(B143,"CHG_PCT_1YR")/100</f>
        <v/>
      </c>
      <c r="AB143" s="15" t="n">
        <v>11.232</v>
      </c>
      <c r="AC143" s="15" t="n">
        <v>42.107</v>
      </c>
      <c r="AD143" s="15" t="n">
        <v>714.054</v>
      </c>
      <c r="AE143" s="15" t="n">
        <v>133.886</v>
      </c>
      <c r="AF143" s="16">
        <f>IF(ISNUMBER(_xlfn.SINGLE(_xll.BDP($B143,"BS_LONG_TERM_INVESTMENTS"))),_xlfn.SINGLE(_xll.BDP($B143,"BS_LONG_TERM_INVESTMENTS")),0)</f>
        <v/>
      </c>
      <c r="AG143" s="15" t="n">
        <v>756.1609999999999</v>
      </c>
      <c r="AH143" s="56" t="n">
        <v>0.003877559508924858</v>
      </c>
      <c r="AJ143" s="15" t="n">
        <v>0.9370000000000001</v>
      </c>
      <c r="AK143" s="15" t="n">
        <v>1.051</v>
      </c>
      <c r="AL143" s="15" t="n">
        <v>1.564</v>
      </c>
      <c r="AM143" s="15" t="n">
        <v>2.046</v>
      </c>
      <c r="AN143" s="15" t="n">
        <v>2.655</v>
      </c>
      <c r="AO143" s="15">
        <f t="array" ref="AO143">_xll.BDP($B143,"EQY_FISCAL_YR_END")</f>
        <v/>
      </c>
      <c r="AP143" s="15" t="n">
        <v>509</v>
      </c>
      <c r="AQ143" s="15" t="n">
        <v>520.9285714285714</v>
      </c>
      <c r="AR143" s="15" t="n">
        <v>696.5714285714286</v>
      </c>
      <c r="AS143" s="15" t="n">
        <v>828.2142857142858</v>
      </c>
      <c r="AT143" s="15" t="n">
        <v>1011</v>
      </c>
      <c r="AV143" s="15" t="n">
        <v>133.3333333333333</v>
      </c>
      <c r="AW143" s="15" t="n">
        <v>143.7857142857143</v>
      </c>
      <c r="AX143" s="15" t="n">
        <v>229.4615384615385</v>
      </c>
      <c r="AY143" s="15" t="n">
        <v>303.6923076923077</v>
      </c>
      <c r="AZ143" s="15" t="n">
        <v>410.3333333333333</v>
      </c>
      <c r="BB143" s="57" t="n">
        <v>-78.77366704645999</v>
      </c>
      <c r="BC143" s="57" t="n">
        <v>-91.779</v>
      </c>
      <c r="BD143" s="15" t="n">
        <v>13.00533295354</v>
      </c>
      <c r="BE143" s="16" t="n">
        <v>54.813</v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15" t="n">
        <v>35.4984860448</v>
      </c>
      <c r="E144" s="58" t="n">
        <v>65.59999999999999</v>
      </c>
      <c r="F144" s="59" t="n">
        <v>41.78343949044586</v>
      </c>
      <c r="G144" s="59" t="n">
        <v>24.65238632093198</v>
      </c>
      <c r="H144" s="59" t="n">
        <v>18.04676753782668</v>
      </c>
      <c r="I144" s="60" t="n">
        <v>5.89017142857143</v>
      </c>
      <c r="J144" s="15" t="n">
        <v>4.7188125</v>
      </c>
      <c r="K144" s="61" t="n">
        <v>0.2564557643828117</v>
      </c>
      <c r="L144" s="61" t="n">
        <v>0.004878381891641457</v>
      </c>
      <c r="M144" s="61" t="n">
        <v>0.1472286465839849</v>
      </c>
      <c r="N144" s="61" t="n">
        <v>0.3287210949920614</v>
      </c>
      <c r="O144" s="61" t="n">
        <v>0.4091755134096799</v>
      </c>
      <c r="Q144" s="62" t="n">
        <v>0.02950406</v>
      </c>
      <c r="T144" s="16" t="n">
        <v>1.02116177828586</v>
      </c>
      <c r="AA144" s="61">
        <f t="array" ref="AA144">_xll.BDP(B144,"CHG_PCT_1YR")/100</f>
        <v/>
      </c>
      <c r="AB144" s="15" t="n">
        <v>172.4</v>
      </c>
      <c r="AC144" s="15" t="n">
        <v>5781.2</v>
      </c>
      <c r="AD144" s="15" t="n">
        <v>7078.299999999999</v>
      </c>
      <c r="AE144" s="15" t="n">
        <v>771.7</v>
      </c>
      <c r="AF144" s="16">
        <f>IF(ISNUMBER(_xlfn.SINGLE(_xll.BDP($B144,"BS_LONG_TERM_INVESTMENTS"))),_xlfn.SINGLE(_xll.BDP($B144,"BS_LONG_TERM_INVESTMENTS")),0)</f>
        <v/>
      </c>
      <c r="AG144" s="15" t="n">
        <v>12859.5</v>
      </c>
      <c r="AH144" s="56" t="n">
        <v>0.004878381891641457</v>
      </c>
      <c r="AJ144" s="15" t="n">
        <v>4.922</v>
      </c>
      <c r="AK144" s="15" t="n">
        <v>1.299</v>
      </c>
      <c r="AL144" s="15" t="n">
        <v>1.57</v>
      </c>
      <c r="AM144" s="15" t="n">
        <v>2.661</v>
      </c>
      <c r="AN144" s="15" t="n">
        <v>3.635</v>
      </c>
      <c r="AO144" s="15">
        <f t="array" ref="AO144">_xll.BDP($B144,"EQY_FISCAL_YR_END")</f>
        <v/>
      </c>
      <c r="AP144" s="15" t="n">
        <v>7638.272727272727</v>
      </c>
      <c r="AQ144" s="15" t="n">
        <v>4392.105263157895</v>
      </c>
      <c r="AR144" s="15" t="n">
        <v>4718.8125</v>
      </c>
      <c r="AS144" s="15" t="n">
        <v>5708.125</v>
      </c>
      <c r="AT144" s="15" t="n">
        <v>6631.666666666667</v>
      </c>
      <c r="AV144" s="15" t="n">
        <v>3330.411764705882</v>
      </c>
      <c r="AW144" s="15" t="n">
        <v>1076.578947368421</v>
      </c>
      <c r="AX144" s="15" t="n">
        <v>1210.166666666667</v>
      </c>
      <c r="AY144" s="15" t="n">
        <v>1909.727272727273</v>
      </c>
      <c r="AZ144" s="15" t="n">
        <v>2525.5</v>
      </c>
      <c r="BB144" s="57" t="n">
        <v>5044.9984860448</v>
      </c>
      <c r="BC144" s="57" t="n">
        <v>5009.5</v>
      </c>
      <c r="BD144" s="15" t="n">
        <v>35.4984860448</v>
      </c>
      <c r="BE144" s="16" t="n">
        <v>875</v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15" t="n">
        <v>7.50471714357</v>
      </c>
      <c r="E145" s="58" t="n">
        <v>147.13</v>
      </c>
      <c r="F145" s="59" t="n">
        <v>16.25566235775052</v>
      </c>
      <c r="G145" s="59" t="n">
        <v>16.83409610983982</v>
      </c>
      <c r="H145" s="59" t="n">
        <v>15.25769988592761</v>
      </c>
      <c r="I145" s="60" t="n">
        <v>-1.858984325031733</v>
      </c>
      <c r="J145" s="15" t="n">
        <v>1.989285714285715</v>
      </c>
      <c r="K145" s="61" t="n">
        <v>0.2710233393177738</v>
      </c>
      <c r="L145" s="61" t="n">
        <v>0.1726595646431013</v>
      </c>
      <c r="M145" s="61" t="n">
        <v>0.04337572095247122</v>
      </c>
      <c r="N145" s="61" t="n">
        <v>0.04920253410356801</v>
      </c>
      <c r="O145" s="61" t="n">
        <v>0.1103611887127756</v>
      </c>
      <c r="Q145" s="62" t="n">
        <v>0.2416034</v>
      </c>
      <c r="T145" s="57" t="n">
        <v>1.472951002734963</v>
      </c>
      <c r="AA145" s="61">
        <f t="array" ref="AA145">_xll.BDP(B145,"CHG_PCT_1YR")/100</f>
        <v/>
      </c>
      <c r="AB145" s="15" t="n">
        <v>456.031</v>
      </c>
      <c r="AC145" s="15" t="n">
        <v>143.719</v>
      </c>
      <c r="AD145" s="15" t="n">
        <v>1949.449</v>
      </c>
      <c r="AE145" s="15" t="n">
        <v>539.62</v>
      </c>
      <c r="AF145" s="16" t="n">
        <v>239.036</v>
      </c>
      <c r="AG145" s="15" t="n">
        <v>2093.168</v>
      </c>
      <c r="AH145" s="56" t="n">
        <v>0.1726595646431013</v>
      </c>
      <c r="AJ145" s="15" t="n">
        <v>6.001</v>
      </c>
      <c r="AK145" s="15" t="n">
        <v>7.044</v>
      </c>
      <c r="AL145" s="15" t="n">
        <v>9.051</v>
      </c>
      <c r="AM145" s="15" t="n">
        <v>8.74</v>
      </c>
      <c r="AN145" s="15" t="n">
        <v>9.643000000000001</v>
      </c>
      <c r="AO145" s="15">
        <f t="array" ref="AO145">_xll.BDP($B145,"EQY_FISCAL_YR_END")</f>
        <v/>
      </c>
      <c r="AP145" s="15" t="n">
        <v>1736.8</v>
      </c>
      <c r="AQ145" s="15" t="n">
        <v>1852</v>
      </c>
      <c r="AR145" s="15" t="n">
        <v>1989.285714285714</v>
      </c>
      <c r="AS145" s="15" t="n">
        <v>2004.714285714286</v>
      </c>
      <c r="AT145" s="15" t="n">
        <v>2103.6</v>
      </c>
      <c r="AV145" s="15" t="n">
        <v>412.25</v>
      </c>
      <c r="AW145" s="15" t="n">
        <v>471</v>
      </c>
      <c r="AX145" s="15" t="n">
        <v>539.1428571428572</v>
      </c>
      <c r="AY145" s="15" t="n">
        <v>513.1428571428571</v>
      </c>
      <c r="AZ145" s="15" t="n">
        <v>544</v>
      </c>
      <c r="BB145" s="57" t="n">
        <v>-388.39628285643</v>
      </c>
      <c r="BC145" s="57" t="n">
        <v>-395.901</v>
      </c>
      <c r="BD145" s="15" t="n">
        <v>7.50471714357</v>
      </c>
      <c r="BE145" s="16" t="n">
        <v>508.135</v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15" t="n">
        <v>11.5727848146</v>
      </c>
      <c r="E146" s="58" t="n">
        <v>46.7</v>
      </c>
      <c r="F146" s="59" t="n">
        <v>27.69869513641756</v>
      </c>
      <c r="G146" s="59" t="n">
        <v>20.12931034482759</v>
      </c>
      <c r="H146" s="59" t="n">
        <v>18.62041467304625</v>
      </c>
      <c r="I146" s="60" t="n">
        <v>-0.3879635079723777</v>
      </c>
      <c r="J146" s="15" t="n">
        <v>7.4263</v>
      </c>
      <c r="K146" s="61" t="n">
        <v>0.07557599342875995</v>
      </c>
      <c r="L146" s="61" t="n">
        <v>0.06792223174774188</v>
      </c>
      <c r="M146" s="61" t="n">
        <v>0.09558863110880678</v>
      </c>
      <c r="N146" s="61" t="n">
        <v>0.2361148739166823</v>
      </c>
      <c r="O146" s="61" t="n">
        <v>0.2589179276157729</v>
      </c>
      <c r="Q146" s="62" t="n">
        <v>0.1828774</v>
      </c>
      <c r="T146" s="57" t="n">
        <v>1.06978668458685</v>
      </c>
      <c r="AA146" s="61">
        <f t="array" ref="AA146">_xll.BDP(B146,"CHG_PCT_1YR")/100</f>
        <v/>
      </c>
      <c r="AB146" s="15" t="n">
        <v>467.385</v>
      </c>
      <c r="AC146" s="15" t="n">
        <v>1560.981</v>
      </c>
      <c r="AD146" s="15" t="n">
        <v>4506.286999999998</v>
      </c>
      <c r="AE146" s="15" t="n">
        <v>1378.347</v>
      </c>
      <c r="AF146" s="16">
        <f>IF(ISNUMBER(_xlfn.SINGLE(_xll.BDP($B146,"BS_LONG_TERM_INVESTMENTS"))),_xlfn.SINGLE(_xll.BDP($B146,"BS_LONG_TERM_INVESTMENTS")),0)</f>
        <v/>
      </c>
      <c r="AG146" s="15" t="n">
        <v>6067.267999999998</v>
      </c>
      <c r="AH146" s="56" t="n">
        <v>0.06792223174774188</v>
      </c>
      <c r="AJ146" s="15" t="n">
        <v>1.386</v>
      </c>
      <c r="AK146" s="15" t="n">
        <v>1.257</v>
      </c>
      <c r="AL146" s="15" t="n">
        <v>1.686</v>
      </c>
      <c r="AM146" s="15" t="n">
        <v>2.32</v>
      </c>
      <c r="AN146" s="15" t="n">
        <v>2.508</v>
      </c>
      <c r="AO146" s="15">
        <f t="array" ref="AO146">_xll.BDP($B146,"EQY_FISCAL_YR_END")</f>
        <v/>
      </c>
      <c r="AP146" s="15" t="n">
        <v>6350.181818181818</v>
      </c>
      <c r="AQ146" s="15" t="n">
        <v>6657.727272727273</v>
      </c>
      <c r="AR146" s="15" t="n">
        <v>7426.3</v>
      </c>
      <c r="AS146" s="15" t="n">
        <v>8169.88888888889</v>
      </c>
      <c r="AT146" s="15" t="n">
        <v>8755.25</v>
      </c>
      <c r="AV146" s="15" t="n">
        <v>424.1111111111111</v>
      </c>
      <c r="AW146" s="15" t="n">
        <v>427</v>
      </c>
      <c r="AX146" s="15" t="n">
        <v>561.25</v>
      </c>
      <c r="AY146" s="15" t="n">
        <v>735.7142857142858</v>
      </c>
      <c r="AZ146" s="15" t="n">
        <v>806.5</v>
      </c>
      <c r="BB146" s="57" t="n">
        <v>194.2067848146</v>
      </c>
      <c r="BC146" s="57" t="n">
        <v>182.634</v>
      </c>
      <c r="BD146" s="15" t="n">
        <v>11.5727848146</v>
      </c>
      <c r="BE146" s="16" t="n">
        <v>1141.395</v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15" t="n">
        <v>48.47236450308</v>
      </c>
      <c r="E147" s="58" t="n">
        <v>309.61</v>
      </c>
      <c r="F147" s="59" t="n">
        <v>49.72057170387024</v>
      </c>
      <c r="G147" s="59" t="n">
        <v>36.97718858234803</v>
      </c>
      <c r="H147" s="59" t="n">
        <v>29.69880095923261</v>
      </c>
      <c r="I147" s="60" t="n">
        <v>-0.2120933640090999</v>
      </c>
      <c r="J147" s="15" t="n">
        <v>4.172777777777777</v>
      </c>
      <c r="K147" s="61" t="n">
        <v>0.2762082279323659</v>
      </c>
      <c r="L147" s="61" t="n">
        <v>0.19616847667517</v>
      </c>
      <c r="M147" s="61" t="n">
        <v>0.2476172793474782</v>
      </c>
      <c r="N147" s="61" t="n">
        <v>0.4450007683864634</v>
      </c>
      <c r="O147" s="61" t="n">
        <v>0.4317516826315075</v>
      </c>
      <c r="Q147" s="62" t="n">
        <v>0.5995557</v>
      </c>
      <c r="T147" s="57" t="n">
        <v>1.151601110175774</v>
      </c>
      <c r="AA147" s="61">
        <f t="array" ref="AA147">_xll.BDP(B147,"CHG_PCT_1YR")/100</f>
        <v/>
      </c>
      <c r="AB147" s="15" t="n">
        <v>650.051</v>
      </c>
      <c r="AC147" s="15" t="n">
        <v>283.239</v>
      </c>
      <c r="AD147" s="15" t="n">
        <v>2795.752</v>
      </c>
      <c r="AE147" s="15" t="n">
        <v>293.751</v>
      </c>
      <c r="AF147" s="16" t="n">
        <v>663.354</v>
      </c>
      <c r="AG147" s="15" t="n">
        <v>3078.991</v>
      </c>
      <c r="AH147" s="56" t="n">
        <v>0.19616847667517</v>
      </c>
      <c r="AJ147" s="15" t="n">
        <v>3.179</v>
      </c>
      <c r="AK147" s="15" t="n">
        <v>3.552</v>
      </c>
      <c r="AL147" s="15" t="n">
        <v>6.227</v>
      </c>
      <c r="AM147" s="15" t="n">
        <v>8.372999999999999</v>
      </c>
      <c r="AN147" s="15" t="n">
        <v>10.425</v>
      </c>
      <c r="AO147" s="15">
        <f t="array" ref="AO147">_xll.BDP($B147,"EQY_FISCAL_YR_END")</f>
        <v/>
      </c>
      <c r="AP147" s="15" t="n">
        <v>2807.933333333333</v>
      </c>
      <c r="AQ147" s="15" t="n">
        <v>3075.473684210526</v>
      </c>
      <c r="AR147" s="15" t="n">
        <v>4172.777777777777</v>
      </c>
      <c r="AS147" s="15" t="n">
        <v>4982.647058823529</v>
      </c>
      <c r="AT147" s="15" t="n">
        <v>5972.5</v>
      </c>
      <c r="AV147" s="15" t="n">
        <v>576.3571428571428</v>
      </c>
      <c r="AW147" s="15" t="n">
        <v>639.5</v>
      </c>
      <c r="AX147" s="15" t="n">
        <v>1152.555555555556</v>
      </c>
      <c r="AY147" s="15" t="n">
        <v>1534.235294117647</v>
      </c>
      <c r="AZ147" s="15" t="n">
        <v>1929.5</v>
      </c>
      <c r="BB147" s="57" t="n">
        <v>37.96036450308006</v>
      </c>
      <c r="BC147" s="57" t="n">
        <v>-10.51199999999994</v>
      </c>
      <c r="BD147" s="15" t="n">
        <v>48.47236450308</v>
      </c>
      <c r="BE147" s="16" t="n">
        <v>802.2320000000001</v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15" t="n">
        <v>1.35740379744</v>
      </c>
      <c r="E148" s="58" t="n">
        <v>44.32</v>
      </c>
      <c r="F148" s="59" t="n">
        <v>-348.9763779527559</v>
      </c>
      <c r="G148" s="59" t="n">
        <v>354.56</v>
      </c>
      <c r="H148" s="59" t="n">
        <v>110.8</v>
      </c>
      <c r="I148" s="60">
        <f>BC148*1000/BE148</f>
        <v/>
      </c>
      <c r="J148" s="15" t="n">
        <v>0.04777499999999999</v>
      </c>
      <c r="K148" s="61" t="n">
        <v>-0.2552241409384267</v>
      </c>
      <c r="L148" s="61" t="n">
        <v>-0.07654447204234308</v>
      </c>
      <c r="M148" s="61" t="n">
        <v>0.2195196325125524</v>
      </c>
      <c r="N148" s="61">
        <f>(AY148/AV148)^(1/3)-1</f>
        <v/>
      </c>
      <c r="O148" s="61" t="n">
        <v>0.8820720577620569</v>
      </c>
      <c r="Q148" s="62" t="n">
        <v>1.195146</v>
      </c>
      <c r="T148" s="57" t="n">
        <v>-3.956325051698826</v>
      </c>
      <c r="AA148" s="61">
        <f t="array" ref="AA148">_xll.BDP(B148,"CHG_PCT_1YR")/100</f>
        <v/>
      </c>
      <c r="AB148" s="15" t="n">
        <v>-13.037</v>
      </c>
      <c r="AC148" s="15" t="n">
        <v>10.83</v>
      </c>
      <c r="AD148" s="15" t="n">
        <v>122.871</v>
      </c>
      <c r="AE148" s="15" t="n">
        <v>24.529</v>
      </c>
      <c r="AF148" s="16">
        <f>IF(ISNUMBER(_xlfn.SINGLE(_xll.BDP($B148,"BS_LONG_TERM_INVESTMENTS"))),_xlfn.SINGLE(_xll.BDP($B148,"BS_LONG_TERM_INVESTMENTS")),0)</f>
        <v/>
      </c>
      <c r="AG148" s="15" t="n">
        <v>133.701</v>
      </c>
      <c r="AH148" s="56" t="n">
        <v>-0.07654447204234308</v>
      </c>
      <c r="AJ148" s="15" t="n">
        <v>0.48</v>
      </c>
      <c r="AK148" s="15" t="n">
        <v>0.06</v>
      </c>
      <c r="AL148" s="15" t="n">
        <v>-0.127</v>
      </c>
      <c r="AM148" s="15" t="n">
        <v>0.125</v>
      </c>
      <c r="AN148" s="15" t="n">
        <v>0.4</v>
      </c>
      <c r="AO148" s="15">
        <f t="array" ref="AO148">_xll.BDP($B148,"EQY_FISCAL_YR_END")</f>
        <v/>
      </c>
      <c r="AP148" s="15" t="n">
        <v>65.05</v>
      </c>
      <c r="AQ148" s="15" t="n">
        <v>60.56666666666666</v>
      </c>
      <c r="AR148" s="15" t="n">
        <v>47.77499999999999</v>
      </c>
      <c r="AS148" s="15" t="n">
        <v>82.125</v>
      </c>
      <c r="AT148" s="15" t="n">
        <v>109.85</v>
      </c>
      <c r="AV148" s="15" t="n">
        <v>9.465</v>
      </c>
      <c r="AW148" s="15" t="n">
        <v>-4.04</v>
      </c>
      <c r="AX148" s="15" t="n">
        <v>-12.19333333333333</v>
      </c>
      <c r="AY148" s="15" t="n">
        <v>2.346666666666667</v>
      </c>
      <c r="AZ148" s="15" t="n">
        <v>20.4</v>
      </c>
      <c r="BB148" s="57" t="n">
        <v>-12.34159620256</v>
      </c>
      <c r="BC148" s="57" t="n">
        <v>-13.699</v>
      </c>
      <c r="BD148" s="15" t="n">
        <v>1.35740379744</v>
      </c>
      <c r="BE148" s="16" t="n">
        <v>-7.569</v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15" t="n">
        <v>99.96915265856001</v>
      </c>
      <c r="E149" s="58" t="n">
        <v>261.29</v>
      </c>
      <c r="F149" s="59" t="n">
        <v>42.82038675843986</v>
      </c>
      <c r="G149" s="59" t="n">
        <v>32.37794299876084</v>
      </c>
      <c r="H149" s="59" t="n">
        <v>26.4196157735086</v>
      </c>
      <c r="I149" s="60" t="n">
        <v>0.6490146070020867</v>
      </c>
      <c r="J149" s="15" t="n">
        <v>13.61217857142857</v>
      </c>
      <c r="K149" s="61" t="n">
        <v>0.2256209240553617</v>
      </c>
      <c r="L149" s="61" t="n">
        <v>0.2187389649782114</v>
      </c>
      <c r="M149" s="61" t="n">
        <v>0.2381618252879489</v>
      </c>
      <c r="N149" s="61" t="n">
        <v>0.3367066010937807</v>
      </c>
      <c r="O149" s="61" t="n">
        <v>0.3393897626394367</v>
      </c>
      <c r="Q149" s="62" t="n">
        <v>0.6128017</v>
      </c>
      <c r="T149" s="57" t="n">
        <v>1.261687636816897</v>
      </c>
      <c r="AA149" s="61">
        <f t="array" ref="AA149">_xll.BDP(B149,"CHG_PCT_1YR")/100</f>
        <v/>
      </c>
      <c r="AB149" s="15" t="n">
        <v>1853.7</v>
      </c>
      <c r="AC149" s="15" t="n">
        <v>3227.5</v>
      </c>
      <c r="AD149" s="15" t="n">
        <v>3941.3</v>
      </c>
      <c r="AE149" s="15" t="n">
        <v>1728.4</v>
      </c>
      <c r="AF149" s="16">
        <f>IF(ISNUMBER(_xlfn.SINGLE(_xll.BDP($B149,"BS_LONG_TERM_INVESTMENTS"))),_xlfn.SINGLE(_xll.BDP($B149,"BS_LONG_TERM_INVESTMENTS")),0)</f>
        <v/>
      </c>
      <c r="AG149" s="15" t="n">
        <v>7168.799999999999</v>
      </c>
      <c r="AH149" s="56" t="n">
        <v>0.2187389649782114</v>
      </c>
      <c r="AJ149" s="15" t="n">
        <v>2.708</v>
      </c>
      <c r="AK149" s="15" t="n">
        <v>4.116</v>
      </c>
      <c r="AL149" s="15" t="n">
        <v>6.102</v>
      </c>
      <c r="AM149" s="15" t="n">
        <v>8.07</v>
      </c>
      <c r="AN149" s="15" t="n">
        <v>9.890000000000001</v>
      </c>
      <c r="AO149" s="15">
        <f t="array" ref="AO149">_xll.BDP($B149,"EQY_FISCAL_YR_END")</f>
        <v/>
      </c>
      <c r="AP149" s="15" t="n">
        <v>7822.526315789473</v>
      </c>
      <c r="AQ149" s="15" t="n">
        <v>10232.62068965517</v>
      </c>
      <c r="AR149" s="15" t="n">
        <v>13612.17857142857</v>
      </c>
      <c r="AS149" s="15" t="n">
        <v>16801.85185185185</v>
      </c>
      <c r="AT149" s="15" t="n">
        <v>19423.125</v>
      </c>
      <c r="AV149" s="15" t="n">
        <v>1491.933333333333</v>
      </c>
      <c r="AW149" s="15" t="n">
        <v>2068.481481481482</v>
      </c>
      <c r="AX149" s="15" t="n">
        <v>3071.192307692308</v>
      </c>
      <c r="AY149" s="15" t="n">
        <v>4078.730769230769</v>
      </c>
      <c r="AZ149" s="15" t="n">
        <v>4940.375</v>
      </c>
      <c r="BB149" s="57" t="n">
        <v>1599.06915265856</v>
      </c>
      <c r="BC149" s="57" t="n">
        <v>1499.1</v>
      </c>
      <c r="BD149" s="15" t="n">
        <v>99.96915265856001</v>
      </c>
      <c r="BE149" s="16" t="n">
        <v>2246</v>
      </c>
    </row>
    <row r="150">
      <c r="C150" s="15" t="n"/>
      <c r="D150" s="15" t="n"/>
      <c r="E150" s="58" t="n"/>
      <c r="F150" s="59" t="n"/>
      <c r="G150" s="59" t="n"/>
      <c r="H150" s="59" t="n"/>
      <c r="I150" s="60" t="n"/>
      <c r="J150" s="15" t="n"/>
      <c r="K150" s="61" t="n"/>
      <c r="L150" s="61" t="n"/>
      <c r="M150" s="61" t="n"/>
      <c r="N150" s="61" t="n"/>
      <c r="O150" s="61" t="n"/>
      <c r="T150" s="57" t="n"/>
      <c r="V150" s="6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58" t="n"/>
      <c r="F151" s="59">
        <f>AVERAGE(F102:F148)</f>
        <v/>
      </c>
      <c r="G151" s="59">
        <f>AVERAGE(G102:G148)</f>
        <v/>
      </c>
      <c r="H151" s="59">
        <f>AVERAGE(H102:H148)</f>
        <v/>
      </c>
      <c r="I151" s="6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0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9">
      <c r="AJ159" s="15">
        <f>_xll.BDP($B159,"BEST_EPS","BEST_FPERIOD_OVERRIDE=24Y")</f>
        <v/>
      </c>
      <c r="AK159" s="15">
        <f>_xll.BDP($B159,"BEST_EPS","BEST_FPERIOD_OVERRIDE=25Y")</f>
        <v/>
      </c>
      <c r="AL159" s="15">
        <f>_xll.BDP($B159,"BEST_EPS","BEST_FPERIOD_OVERRIDE=26Y")</f>
        <v/>
      </c>
      <c r="AM159" s="15">
        <f>_xll.BDP($B159,"BEST_EPS","BEST_FPERIOD_OVERRIDE=27Y")</f>
        <v/>
      </c>
      <c r="AN159" s="15">
        <f>_xll.BDP($B159,"BEST_EPS","BEST_FPERIOD_OVERRIDE=28Y")</f>
        <v/>
      </c>
      <c r="AP159" s="15">
        <f>_xll.BDP($B159,"BEST_SALES","BEST_FPERIOD_OVERRIDE=24Y")</f>
        <v/>
      </c>
      <c r="AQ159" s="15">
        <f>_xll.BDP($B159,"BEST_SALES","BEST_FPERIOD_OVERRIDE=25Y")</f>
        <v/>
      </c>
      <c r="AR159" s="15">
        <f>_xll.BDP($B159,"BEST_SALES","BEST_FPERIOD_OVERRIDE=26Y")</f>
        <v/>
      </c>
      <c r="AS159" s="15">
        <f>_xll.BDP($B159,"BEST_SALES","BEST_FPERIOD_OVERRIDE=27Y")</f>
        <v/>
      </c>
      <c r="AT159" s="15">
        <f>_xll.BDP($B159,"BEST_SALES","BEST_FPERIOD_OVERRIDE=28Y")</f>
        <v/>
      </c>
      <c r="AV159" s="15">
        <f>_xll.BDP($B159,"BEST_EBIT","BEST_FPERIOD_OVERRIDE=24Y")</f>
        <v/>
      </c>
      <c r="AW159" s="15">
        <f>_xll.BDP($B159,"BEST_EBIT","BEST_FPERIOD_OVERRIDE=25Y")</f>
        <v/>
      </c>
      <c r="AX159" s="15">
        <f>_xll.BDP($B159,"BEST_EBIT","BEST_FPERIOD_OVERRIDE=26Y")</f>
        <v/>
      </c>
      <c r="AY159" s="15">
        <f>_xll.BDP($B159,"BEST_EBIT","BEST_FPERIOD_OVERRIDE=27Y")</f>
        <v/>
      </c>
      <c r="AZ159" s="15">
        <f>_xll.BDP($B159,"BEST_EBIT","BEST_FPERIOD_OVERRIDE=28Y")</f>
        <v/>
      </c>
      <c r="BB159" s="57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16">
        <f>_xll.BDP($B159,"EBITDA")</f>
        <v/>
      </c>
    </row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15" t="n">
        <v>4310.577</v>
      </c>
      <c r="E161" s="58" t="n">
        <v>177.39</v>
      </c>
      <c r="F161" s="59" t="n">
        <v>37.8391638225256</v>
      </c>
      <c r="G161" s="59" t="n">
        <v>21.20114736464682</v>
      </c>
      <c r="H161" s="59" t="n">
        <v>15.94086987778576</v>
      </c>
      <c r="I161" s="60" t="n">
        <v>-0.3825537994330209</v>
      </c>
      <c r="J161" s="15" t="n">
        <v>213.7625373134328</v>
      </c>
      <c r="K161" s="61" t="n">
        <v>0.634749080822908</v>
      </c>
      <c r="L161" s="61" t="n">
        <v>0.9212258247945241</v>
      </c>
      <c r="M161" s="61" t="n">
        <v>0.5466261185716828</v>
      </c>
      <c r="N161" s="61" t="n">
        <v>0.5536841449287351</v>
      </c>
      <c r="O161" s="61" t="n">
        <v>0.5646732581179688</v>
      </c>
      <c r="Q161" t="n">
        <v>-0.04884718</v>
      </c>
      <c r="T161" s="57" t="n">
        <v>0.6701072395147926</v>
      </c>
      <c r="AB161" s="15" t="n">
        <v>130387</v>
      </c>
      <c r="AC161" s="15" t="n">
        <v>11412</v>
      </c>
      <c r="AD161" s="15" t="n">
        <v>157293</v>
      </c>
      <c r="AE161" s="15" t="n">
        <v>10605</v>
      </c>
      <c r="AF161" s="16">
        <f>IF(ISNUMBER(_xlfn.SINGLE(_xll.BDP($B161,"BS_LONG_TERM_INVESTMENTS"))),_xlfn.SINGLE(_xll.BDP($B161,"BS_LONG_TERM_INVESTMENTS")),0)</f>
        <v/>
      </c>
      <c r="AG161" s="15" t="n">
        <v>168705</v>
      </c>
      <c r="AH161" s="56" t="n">
        <v>0.9212258247945241</v>
      </c>
      <c r="AJ161" s="15" t="n">
        <v>1.241</v>
      </c>
      <c r="AK161" s="15" t="n">
        <v>2.905</v>
      </c>
      <c r="AL161" s="15" t="n">
        <v>4.688</v>
      </c>
      <c r="AM161" s="15" t="n">
        <v>8.367000000000001</v>
      </c>
      <c r="AN161" s="15" t="n">
        <v>11.128</v>
      </c>
      <c r="AP161" s="15" t="n">
        <v>59315.83333333334</v>
      </c>
      <c r="AQ161" s="15" t="n">
        <v>129608.5166666667</v>
      </c>
      <c r="AR161" s="15" t="n">
        <v>213762.5373134328</v>
      </c>
      <c r="AS161" s="15" t="n">
        <v>366102.7846153846</v>
      </c>
      <c r="AT161" s="15" t="n">
        <v>479501.0476190476</v>
      </c>
      <c r="AV161" s="15" t="n">
        <v>35621.57142857143</v>
      </c>
      <c r="AW161" s="15" t="n">
        <v>85879.85365853659</v>
      </c>
      <c r="AX161" s="15" t="n">
        <v>135685.5740740741</v>
      </c>
      <c r="AY161" s="15" t="n">
        <v>243682.3584905661</v>
      </c>
      <c r="AZ161" s="15" t="n">
        <v>322091.6730769231</v>
      </c>
      <c r="BB161" s="57" t="n">
        <v>5117.577</v>
      </c>
      <c r="BC161" s="57" t="n">
        <v>807</v>
      </c>
      <c r="BD161" s="15" t="n">
        <v>4310.577</v>
      </c>
      <c r="BE161" s="16" t="n">
        <v>133692</v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15" t="n">
        <v>272.78153724</v>
      </c>
      <c r="E162" s="58" t="n">
        <v>218.44</v>
      </c>
      <c r="F162" s="59" t="n">
        <v>40.99080502908613</v>
      </c>
      <c r="G162" s="59" t="n">
        <v>31.1345496009122</v>
      </c>
      <c r="H162" s="59" t="n">
        <v>27.55645263025104</v>
      </c>
      <c r="I162" s="60" t="n">
        <v>-0.2310458636440326</v>
      </c>
      <c r="J162" s="15" t="n">
        <v>22.4134</v>
      </c>
      <c r="K162" s="61" t="n">
        <v>0.3444411278161077</v>
      </c>
      <c r="L162" s="61" t="n">
        <v>0.4248195929431116</v>
      </c>
      <c r="M162" s="61" t="n">
        <v>0.1900748481170675</v>
      </c>
      <c r="N162" s="61" t="n">
        <v>0.2411328488432289</v>
      </c>
      <c r="O162" s="61" t="n">
        <v>0.2545108916092862</v>
      </c>
      <c r="Q162" t="n">
        <v>0.2760837</v>
      </c>
      <c r="T162" s="57" t="n">
        <v>1.610571742918311</v>
      </c>
      <c r="AB162" s="15" t="n">
        <v>6942.178</v>
      </c>
      <c r="AC162" s="15" t="n">
        <v>4756.555</v>
      </c>
      <c r="AD162" s="15" t="n">
        <v>9861.618999999999</v>
      </c>
      <c r="AE162" s="15" t="n">
        <v>6390.659</v>
      </c>
      <c r="AF162" s="16">
        <f>IF(ISNUMBER(_xlfn.SINGLE(_xll.BDP($B162,"BS_LONG_TERM_INVESTMENTS"))),_xlfn.SINGLE(_xll.BDP($B162,"BS_LONG_TERM_INVESTMENTS")),0)</f>
        <v/>
      </c>
      <c r="AG162" s="15" t="n">
        <v>14618.174</v>
      </c>
      <c r="AH162" s="56" t="n">
        <v>0.4248195929431116</v>
      </c>
      <c r="AJ162" s="15" t="n">
        <v>2.977</v>
      </c>
      <c r="AK162" s="15" t="n">
        <v>4.015</v>
      </c>
      <c r="AL162" s="15" t="n">
        <v>5.329</v>
      </c>
      <c r="AM162" s="15" t="n">
        <v>7.016</v>
      </c>
      <c r="AN162" s="15" t="n">
        <v>7.927</v>
      </c>
      <c r="AP162" s="15" t="n">
        <v>14869.96153846154</v>
      </c>
      <c r="AQ162" s="15" t="n">
        <v>18262.03225806452</v>
      </c>
      <c r="AR162" s="15" t="n">
        <v>22413.4</v>
      </c>
      <c r="AS162" s="15" t="n">
        <v>27927.53333333333</v>
      </c>
      <c r="AT162" s="15" t="n">
        <v>30780.23529411765</v>
      </c>
      <c r="AV162" s="15" t="n">
        <v>4436.296296296297</v>
      </c>
      <c r="AW162" s="15" t="n">
        <v>5858.448275862069</v>
      </c>
      <c r="AX162" s="15" t="n">
        <v>7720.096774193548</v>
      </c>
      <c r="AY162" s="15" t="n">
        <v>10072.36666666667</v>
      </c>
      <c r="AZ162" s="15" t="n">
        <v>11200.5</v>
      </c>
      <c r="BB162" s="57" t="n">
        <v>-1361.322462759999</v>
      </c>
      <c r="BC162" s="57" t="n">
        <v>-1634.103999999999</v>
      </c>
      <c r="BD162" s="15" t="n">
        <v>272.78153724</v>
      </c>
      <c r="BE162" s="16" t="n">
        <v>7343.529</v>
      </c>
    </row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8">
      <c r="A168" s="82" t="inlineStr">
        <is>
          <t>Additional compounders</t>
        </is>
      </c>
    </row>
    <row r="169">
      <c r="A169" t="inlineStr">
        <is>
          <t>CRM</t>
        </is>
      </c>
      <c r="B169" t="inlineStr">
        <is>
          <t>CRM US Equity</t>
        </is>
      </c>
      <c r="D169" t="n">
        <v>172.76714</v>
      </c>
      <c r="E169" t="n">
        <v>187.18</v>
      </c>
      <c r="F169" t="n">
        <v>15.88290199406025</v>
      </c>
      <c r="G169" t="n">
        <v>14.18352655906645</v>
      </c>
      <c r="H169" t="n">
        <v>12.5936890264415</v>
      </c>
      <c r="I169" t="n">
        <v>0.6477417302798982</v>
      </c>
      <c r="J169" t="n">
        <v>41.4903137254902</v>
      </c>
      <c r="K169" t="n">
        <v>0.3407104551437656</v>
      </c>
      <c r="L169" t="n">
        <v>0.08719438841318863</v>
      </c>
      <c r="M169" t="n">
        <v>0.09998692917503393</v>
      </c>
      <c r="N169" t="n">
        <v>0.1255980561039616</v>
      </c>
      <c r="O169" t="n">
        <v>0.1398145185148745</v>
      </c>
      <c r="Q169" t="n">
        <v>-0.2934204</v>
      </c>
      <c r="AJ169" t="n">
        <v>8.196</v>
      </c>
      <c r="AK169" t="n">
        <v>10.037</v>
      </c>
      <c r="AL169" t="n">
        <v>11.785</v>
      </c>
      <c r="AM169" t="n">
        <v>13.197</v>
      </c>
      <c r="AN169" t="n">
        <v>14.863</v>
      </c>
      <c r="AP169" t="n">
        <v>34795.71428571429</v>
      </c>
      <c r="AQ169" t="n">
        <v>37953.51923076923</v>
      </c>
      <c r="AR169" t="n">
        <v>41490.3137254902</v>
      </c>
      <c r="AS169" t="n">
        <v>46121.82</v>
      </c>
      <c r="AT169" t="n">
        <v>50514.33333333334</v>
      </c>
      <c r="AV169" t="n">
        <v>10617.875</v>
      </c>
      <c r="AW169" t="n">
        <v>12487.25</v>
      </c>
      <c r="AX169" t="n">
        <v>14136.18367346939</v>
      </c>
      <c r="AY169" t="n">
        <v>15846</v>
      </c>
      <c r="AZ169" t="n">
        <v>17808.06818181818</v>
      </c>
      <c r="BB169" t="n">
        <v>10556.76714</v>
      </c>
      <c r="BC169" t="n">
        <v>10384</v>
      </c>
      <c r="BD169" t="n">
        <v>172.76714</v>
      </c>
      <c r="BE169" t="n">
        <v>12576</v>
      </c>
    </row>
    <row r="170">
      <c r="A170" t="inlineStr">
        <is>
          <t>ORCL</t>
        </is>
      </c>
      <c r="B170" t="inlineStr">
        <is>
          <t>ORCL US Equity</t>
        </is>
      </c>
      <c r="D170" t="n">
        <v>420.99561348</v>
      </c>
      <c r="E170" t="n">
        <v>146.38</v>
      </c>
      <c r="F170" t="n">
        <v>19.5564462257849</v>
      </c>
      <c r="G170" t="n">
        <v>18.17256362507759</v>
      </c>
      <c r="H170" t="n">
        <v>13.40721743909141</v>
      </c>
      <c r="I170" t="n">
        <v>4.437779541191747</v>
      </c>
      <c r="J170" t="n">
        <v>67.25397435897436</v>
      </c>
      <c r="K170" t="n">
        <v>0.4251296286260572</v>
      </c>
      <c r="L170" t="n">
        <v>0.111350816123962</v>
      </c>
      <c r="M170" t="n">
        <v>0.3195410093604336</v>
      </c>
      <c r="N170" t="n">
        <v>0.2372003918890724</v>
      </c>
      <c r="O170" t="n">
        <v>0.2219417447541765</v>
      </c>
      <c r="Q170" t="n">
        <v>-0.2489867</v>
      </c>
      <c r="AJ170" t="n">
        <v>5.587</v>
      </c>
      <c r="AK170" t="n">
        <v>5.984</v>
      </c>
      <c r="AL170" t="n">
        <v>7.485</v>
      </c>
      <c r="AM170" t="n">
        <v>8.055</v>
      </c>
      <c r="AN170" t="n">
        <v>10.918</v>
      </c>
      <c r="AP170" t="n">
        <v>53251.78125</v>
      </c>
      <c r="AQ170" t="n">
        <v>57099.1</v>
      </c>
      <c r="AR170" t="n">
        <v>67253.97435897436</v>
      </c>
      <c r="AS170" t="n">
        <v>88651.84615384616</v>
      </c>
      <c r="AT170" t="n">
        <v>131189.15625</v>
      </c>
      <c r="AV170" t="n">
        <v>23019.48148148148</v>
      </c>
      <c r="AW170" t="n">
        <v>24853.8</v>
      </c>
      <c r="AX170" t="n">
        <v>28591.65714285714</v>
      </c>
      <c r="AY170" t="n">
        <v>35024.13888888888</v>
      </c>
      <c r="AZ170" t="n">
        <v>47066.61290322581</v>
      </c>
      <c r="BB170" t="n">
        <v>98586.99561348</v>
      </c>
      <c r="BC170" t="n">
        <v>98166</v>
      </c>
      <c r="BD170" t="n">
        <v>420.99561348</v>
      </c>
      <c r="BE170" t="n">
        <v>27724</v>
      </c>
    </row>
    <row r="171">
      <c r="A171" t="inlineStr">
        <is>
          <t>CME</t>
        </is>
      </c>
      <c r="B171" t="inlineStr">
        <is>
          <t>CME US Equity</t>
        </is>
      </c>
      <c r="D171" t="n">
        <v>110.69637359391</v>
      </c>
      <c r="E171" t="n">
        <v>305.11</v>
      </c>
      <c r="F171" t="n">
        <v>25.23864670361486</v>
      </c>
      <c r="G171" t="n">
        <v>24.0338716029933</v>
      </c>
      <c r="H171" t="n">
        <v>22.43785850860421</v>
      </c>
      <c r="I171" t="n">
        <v>-0.1714291956132301</v>
      </c>
      <c r="J171" t="n">
        <v>7.050642857142858</v>
      </c>
      <c r="K171" t="n">
        <v>0.7069568124487128</v>
      </c>
      <c r="L171" t="n">
        <v>0.08834982634586198</v>
      </c>
      <c r="M171" t="n">
        <v>0.06479215009383821</v>
      </c>
      <c r="N171" t="n">
        <v>0.07611369879068652</v>
      </c>
      <c r="O171" t="n">
        <v>0.06795200722892036</v>
      </c>
      <c r="Q171" t="n">
        <v>0.1393402</v>
      </c>
      <c r="AJ171" t="n">
        <v>10.191</v>
      </c>
      <c r="AK171" t="n">
        <v>11.164</v>
      </c>
      <c r="AL171" t="n">
        <v>12.089</v>
      </c>
      <c r="AM171" t="n">
        <v>12.695</v>
      </c>
      <c r="AN171" t="n">
        <v>13.598</v>
      </c>
      <c r="AP171" t="n">
        <v>6103.38888888889</v>
      </c>
      <c r="AQ171" t="n">
        <v>6516.6875</v>
      </c>
      <c r="AR171" t="n">
        <v>7050.642857142858</v>
      </c>
      <c r="AS171" t="n">
        <v>7366.357142857142</v>
      </c>
      <c r="AT171" t="n">
        <v>7867.222222222223</v>
      </c>
      <c r="AV171" t="n">
        <v>4198.0625</v>
      </c>
      <c r="AW171" t="n">
        <v>4515.642857142858</v>
      </c>
      <c r="AX171" t="n">
        <v>4984.5</v>
      </c>
      <c r="AY171" t="n">
        <v>5212.461538461538</v>
      </c>
      <c r="AZ171" t="n">
        <v>5627.222222222223</v>
      </c>
      <c r="BB171" t="n">
        <v>-549.0036264060896</v>
      </c>
      <c r="BC171" t="n">
        <v>-659.6999999999994</v>
      </c>
      <c r="BD171" t="n">
        <v>110.69637359391</v>
      </c>
      <c r="BE171" t="n">
        <v>4585.2</v>
      </c>
    </row>
    <row r="172">
      <c r="A172" t="inlineStr">
        <is>
          <t>ICE</t>
        </is>
      </c>
      <c r="B172" t="inlineStr">
        <is>
          <t>ICE US Equity</t>
        </is>
      </c>
      <c r="D172" t="n">
        <v>92.31688542777998</v>
      </c>
      <c r="E172" t="n">
        <v>162.98</v>
      </c>
      <c r="F172" t="n">
        <v>21.10866468074083</v>
      </c>
      <c r="G172" t="n">
        <v>19.00641399416909</v>
      </c>
      <c r="H172" t="n">
        <v>17.22104818258664</v>
      </c>
      <c r="I172" t="n">
        <v>2.904916011712128</v>
      </c>
      <c r="J172" t="n">
        <v>10.6915</v>
      </c>
      <c r="K172" t="n">
        <v>0.6142687691581672</v>
      </c>
      <c r="L172" t="n">
        <v>0.07817370520196133</v>
      </c>
      <c r="M172" t="n">
        <v>0.06383092701721016</v>
      </c>
      <c r="N172" t="n">
        <v>0.09108313617958275</v>
      </c>
      <c r="O172" t="n">
        <v>0.110213700334912</v>
      </c>
      <c r="Q172" t="n">
        <v>0.00629781</v>
      </c>
      <c r="AJ172" t="n">
        <v>6.051</v>
      </c>
      <c r="AK172" t="n">
        <v>6.916</v>
      </c>
      <c r="AL172" t="n">
        <v>7.721</v>
      </c>
      <c r="AM172" t="n">
        <v>8.575000000000001</v>
      </c>
      <c r="AN172" t="n">
        <v>9.464</v>
      </c>
      <c r="AP172" t="n">
        <v>9280.3125</v>
      </c>
      <c r="AQ172" t="n">
        <v>9906.066666666666</v>
      </c>
      <c r="AR172" t="n">
        <v>10691.5</v>
      </c>
      <c r="AS172" t="n">
        <v>11268</v>
      </c>
      <c r="AT172" t="n">
        <v>11926.66666666667</v>
      </c>
      <c r="AV172" t="n">
        <v>5465.923076923076</v>
      </c>
      <c r="AW172" t="n">
        <v>5969.916666666667</v>
      </c>
      <c r="AX172" t="n">
        <v>6567.454545454545</v>
      </c>
      <c r="AY172" t="n">
        <v>7055.272727272727</v>
      </c>
      <c r="AZ172" t="n">
        <v>7754.285714285714</v>
      </c>
      <c r="BB172" t="n">
        <v>19571.31688542778</v>
      </c>
      <c r="BC172" t="n">
        <v>19479</v>
      </c>
      <c r="BD172" t="n">
        <v>92.31688542777998</v>
      </c>
      <c r="BE172" t="n">
        <v>6566</v>
      </c>
    </row>
    <row r="173">
      <c r="A173" t="inlineStr">
        <is>
          <t>PANW</t>
        </is>
      </c>
      <c r="B173" t="inlineStr">
        <is>
          <t>PANW US Equity</t>
        </is>
      </c>
      <c r="D173" t="n">
        <v>133.17936</v>
      </c>
      <c r="E173" t="n">
        <v>163.21</v>
      </c>
      <c r="F173" t="n">
        <v>44.18245804006497</v>
      </c>
      <c r="G173" t="n">
        <v>41.03847120945436</v>
      </c>
      <c r="H173" t="n">
        <v>35.21251348435815</v>
      </c>
      <c r="I173" t="n">
        <v>-4.242629235018884</v>
      </c>
      <c r="J173" t="n">
        <v>11.29485106382979</v>
      </c>
      <c r="K173" t="n">
        <v>0.2876588466218838</v>
      </c>
      <c r="L173" t="n">
        <v>0.1548356527952459</v>
      </c>
      <c r="M173" t="n">
        <v>0.1889619537702196</v>
      </c>
      <c r="N173" t="n">
        <v>0.2219879858179641</v>
      </c>
      <c r="O173" t="n">
        <v>0.1227407302300891</v>
      </c>
      <c r="Q173" t="n">
        <v>-0.1139522</v>
      </c>
      <c r="AJ173" t="n">
        <v>2.789</v>
      </c>
      <c r="AK173" t="n">
        <v>3.275</v>
      </c>
      <c r="AL173" t="n">
        <v>3.694</v>
      </c>
      <c r="AM173" t="n">
        <v>3.977</v>
      </c>
      <c r="AN173" t="n">
        <v>4.635</v>
      </c>
      <c r="AP173" t="n">
        <v>8000.24</v>
      </c>
      <c r="AQ173" t="n">
        <v>9186.818181818182</v>
      </c>
      <c r="AR173" t="n">
        <v>11294.85106382979</v>
      </c>
      <c r="AS173" t="n">
        <v>13540.3137254902</v>
      </c>
      <c r="AT173" t="n">
        <v>15440.77142857143</v>
      </c>
      <c r="AV173" t="n">
        <v>2158.872340425532</v>
      </c>
      <c r="AW173" t="n">
        <v>2603.854166666667</v>
      </c>
      <c r="AX173" t="n">
        <v>3249.063829787234</v>
      </c>
      <c r="AY173" t="n">
        <v>3994.458333333333</v>
      </c>
      <c r="AZ173" t="n">
        <v>4751.354838709678</v>
      </c>
      <c r="BB173" t="n">
        <v>-1718.02064</v>
      </c>
      <c r="BC173" t="n">
        <v>-1851.2</v>
      </c>
      <c r="BD173" t="n">
        <v>133.17936</v>
      </c>
      <c r="BE173" t="n">
        <v>1773.9</v>
      </c>
    </row>
    <row r="174">
      <c r="A174" t="inlineStr">
        <is>
          <t>IR</t>
        </is>
      </c>
      <c r="B174" t="inlineStr">
        <is>
          <t>IR US Equity</t>
        </is>
      </c>
      <c r="D174" t="n">
        <v>30.51095791254</v>
      </c>
      <c r="E174" t="n">
        <v>77.91</v>
      </c>
      <c r="F174" t="n">
        <v>22.07707565882686</v>
      </c>
      <c r="G174" t="n">
        <v>20.02313030069391</v>
      </c>
      <c r="H174" t="n">
        <v>18.17778814745683</v>
      </c>
      <c r="I174" t="n">
        <v>2.283507028599127</v>
      </c>
      <c r="J174" t="n">
        <v>7.954882352941176</v>
      </c>
      <c r="K174" t="n">
        <v>0.2155699175990081</v>
      </c>
      <c r="L174" t="n">
        <v>0.04564937626007073</v>
      </c>
      <c r="M174" t="n">
        <v>0.04801928967687963</v>
      </c>
      <c r="N174" t="n">
        <v>0.08941251909995596</v>
      </c>
      <c r="O174" t="n">
        <v>0.09326666880875401</v>
      </c>
      <c r="Q174" t="n">
        <v>-0.01653624</v>
      </c>
      <c r="AJ174" t="n">
        <v>3.298</v>
      </c>
      <c r="AK174" t="n">
        <v>3.28</v>
      </c>
      <c r="AL174" t="n">
        <v>3.529</v>
      </c>
      <c r="AM174" t="n">
        <v>3.891</v>
      </c>
      <c r="AN174" t="n">
        <v>4.286</v>
      </c>
      <c r="AP174" t="n">
        <v>7240.352941176471</v>
      </c>
      <c r="AQ174" t="n">
        <v>7589.875</v>
      </c>
      <c r="AR174" t="n">
        <v>7954.882352941177</v>
      </c>
      <c r="AS174" t="n">
        <v>8307.75</v>
      </c>
      <c r="AT174" t="n">
        <v>8736.6</v>
      </c>
      <c r="AV174" t="n">
        <v>1752.461538461539</v>
      </c>
      <c r="AW174" t="n">
        <v>1566.666666666667</v>
      </c>
      <c r="AX174" t="n">
        <v>1714.833333333333</v>
      </c>
      <c r="AY174" t="n">
        <v>1818.6</v>
      </c>
      <c r="AZ174" t="n">
        <v>2025.6</v>
      </c>
      <c r="BB174" t="n">
        <v>3799.21095791254</v>
      </c>
      <c r="BC174" t="n">
        <v>3768.7</v>
      </c>
      <c r="BD174" t="n">
        <v>30.51095791254</v>
      </c>
      <c r="BE174" t="n">
        <v>1729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82" t="inlineStr">
        <is>
          <t>Ticker</t>
        </is>
      </c>
      <c r="B1" s="82" t="inlineStr">
        <is>
          <t>BBG Ticker</t>
        </is>
      </c>
      <c r="C1" s="82" t="inlineStr">
        <is>
          <t>Field</t>
        </is>
      </c>
      <c r="D1" s="82" t="inlineStr">
        <is>
          <t>Override</t>
        </is>
      </c>
      <c r="E1" s="82" t="inlineStr">
        <is>
          <t>Description</t>
        </is>
      </c>
      <c r="F1" s="82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E2" t="inlineStr">
        <is>
          <t>Last price</t>
        </is>
      </c>
      <c r="F2" s="83">
        <f>BDP("META US Equity","PX_LAST")</f>
        <v/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E3" t="inlineStr">
        <is>
          <t>Market cap (raw)</t>
        </is>
      </c>
      <c r="F3" s="83">
        <f>BDP("META US Equity","CUR_MKT_CAP")</f>
        <v/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E4" t="inlineStr">
        <is>
          <t>YTD price change %</t>
        </is>
      </c>
      <c r="F4" s="83">
        <f>BDP("META US Equity","CHG_PCT_YTD")</f>
        <v/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E5" t="inlineStr">
        <is>
          <t>Net debt / EBITDA</t>
        </is>
      </c>
      <c r="F5" s="83">
        <f>BDP("META US Equity","NET_DEBT_TO_EBITDA")</f>
        <v/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E6" t="inlineStr">
        <is>
          <t>ROIC (LTM)</t>
        </is>
      </c>
      <c r="F6" s="83">
        <f>BDP("META US Equity","RETURN_ON_INV_CAPITAL")</f>
        <v/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E7" t="inlineStr">
        <is>
          <t>LTM operating income</t>
        </is>
      </c>
      <c r="F7" s="83">
        <f>BDP("META US Equity","TRAIL_12M_OPER_INC")</f>
        <v/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E8" t="inlineStr">
        <is>
          <t>LTM EBITDA</t>
        </is>
      </c>
      <c r="F8" s="83">
        <f>BDP("META US Equity","TRAIL_12M_EBITDA")</f>
        <v/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E9" t="inlineStr">
        <is>
          <t>Total debt</t>
        </is>
      </c>
      <c r="F9" s="83">
        <f>BDP("META US Equity","SHORT_AND_LONG_TERM_DEBT")</f>
        <v/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E10" t="inlineStr">
        <is>
          <t>Total equity</t>
        </is>
      </c>
      <c r="F10" s="83">
        <f>BDP("META US Equity","TOTAL_EQUITY")</f>
        <v/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E11" t="inlineStr">
        <is>
          <t>Cash &amp; equivalents</t>
        </is>
      </c>
      <c r="F11" s="83">
        <f>BDP("META US Equity","BS_CASH_NEAR_CASH_ITEM")</f>
        <v/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24Y</t>
        </is>
      </c>
      <c r="E12" t="inlineStr">
        <is>
          <t>EPS estimate FY2024</t>
        </is>
      </c>
      <c r="F12" s="83">
        <f>BDP("META US Equity","BEST_EPS","BEST_FPERIOD_OVERRIDE","24Y")</f>
        <v/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24Y</t>
        </is>
      </c>
      <c r="E13" t="inlineStr">
        <is>
          <t>Revenue estimate FY2024</t>
        </is>
      </c>
      <c r="F13" s="83">
        <f>BDP("META US Equity","BEST_SALES","BEST_FPERIOD_OVERRIDE","24Y")</f>
        <v/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24Y</t>
        </is>
      </c>
      <c r="E14" t="inlineStr">
        <is>
          <t>EBIT estimate FY2024</t>
        </is>
      </c>
      <c r="F14" s="83">
        <f>BDP("META US Equity","BEST_EBIT","BEST_FPERIOD_OVERRIDE","24Y")</f>
        <v/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25Y</t>
        </is>
      </c>
      <c r="E15" t="inlineStr">
        <is>
          <t>EPS estimate FY2025</t>
        </is>
      </c>
      <c r="F15" s="83">
        <f>BDP("META US Equity","BEST_EPS","BEST_FPERIOD_OVERRIDE","25Y")</f>
        <v/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25Y</t>
        </is>
      </c>
      <c r="E16" t="inlineStr">
        <is>
          <t>Revenue estimate FY2025</t>
        </is>
      </c>
      <c r="F16" s="83">
        <f>BDP("META US Equity","BEST_SALES","BEST_FPERIOD_OVERRIDE","25Y")</f>
        <v/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25Y</t>
        </is>
      </c>
      <c r="E17" t="inlineStr">
        <is>
          <t>EBIT estimate FY2025</t>
        </is>
      </c>
      <c r="F17" s="83">
        <f>BDP("META US Equity","BEST_EBIT","BEST_FPERIOD_OVERRIDE","25Y")</f>
        <v/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26Y</t>
        </is>
      </c>
      <c r="E18" t="inlineStr">
        <is>
          <t>EPS estimate FY2026</t>
        </is>
      </c>
      <c r="F18" s="83">
        <f>BDP("META US Equity","BEST_EPS","BEST_FPERIOD_OVERRIDE","26Y")</f>
        <v/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26Y</t>
        </is>
      </c>
      <c r="E19" t="inlineStr">
        <is>
          <t>Revenue estimate FY2026</t>
        </is>
      </c>
      <c r="F19" s="83">
        <f>BDP("META US Equity","BEST_SALES","BEST_FPERIOD_OVERRIDE","26Y")</f>
        <v/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26Y</t>
        </is>
      </c>
      <c r="E20" t="inlineStr">
        <is>
          <t>EBIT estimate FY2026</t>
        </is>
      </c>
      <c r="F20" s="83">
        <f>BDP("META US Equity","BEST_EBIT","BEST_FPERIOD_OVERRIDE","26Y")</f>
        <v/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27Y</t>
        </is>
      </c>
      <c r="E21" t="inlineStr">
        <is>
          <t>EPS estimate FY2027</t>
        </is>
      </c>
      <c r="F21" s="83">
        <f>BDP("META US Equity","BEST_EPS","BEST_FPERIOD_OVERRIDE","27Y")</f>
        <v/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27Y</t>
        </is>
      </c>
      <c r="E22" t="inlineStr">
        <is>
          <t>Revenue estimate FY2027</t>
        </is>
      </c>
      <c r="F22" s="83">
        <f>BDP("META US Equity","BEST_SALES","BEST_FPERIOD_OVERRIDE","27Y")</f>
        <v/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27Y</t>
        </is>
      </c>
      <c r="E23" t="inlineStr">
        <is>
          <t>EBIT estimate FY2027</t>
        </is>
      </c>
      <c r="F23" s="83">
        <f>BDP("META US Equity","BEST_EBIT","BEST_FPERIOD_OVERRIDE","27Y")</f>
        <v/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28Y</t>
        </is>
      </c>
      <c r="E24" t="inlineStr">
        <is>
          <t>EPS estimate FY2028</t>
        </is>
      </c>
      <c r="F24" s="83">
        <f>BDP("META US Equity","BEST_EPS","BEST_FPERIOD_OVERRIDE","28Y")</f>
        <v/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28Y</t>
        </is>
      </c>
      <c r="E25" t="inlineStr">
        <is>
          <t>Revenue estimate FY2028</t>
        </is>
      </c>
      <c r="F25" s="83">
        <f>BDP("META US Equity","BEST_SALES","BEST_FPERIOD_OVERRIDE","28Y")</f>
        <v/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28Y</t>
        </is>
      </c>
      <c r="E26" t="inlineStr">
        <is>
          <t>EBIT estimate FY2028</t>
        </is>
      </c>
      <c r="F26" s="83">
        <f>BDP("META US Equity","BEST_EBIT","BEST_FPERIOD_OVERRIDE","28Y")</f>
        <v/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E27" t="inlineStr">
        <is>
          <t>Last price</t>
        </is>
      </c>
      <c r="F27" s="83">
        <f>BDP("TSM US Equity","PX_LAST")</f>
        <v/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E28" t="inlineStr">
        <is>
          <t>Market cap (raw)</t>
        </is>
      </c>
      <c r="F28" s="83">
        <f>BDP("TSM US Equity","CUR_MKT_CAP")</f>
        <v/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E29" t="inlineStr">
        <is>
          <t>YTD price change %</t>
        </is>
      </c>
      <c r="F29" s="83">
        <f>BDP("TSM US Equity","CHG_PCT_YTD")</f>
        <v/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E30" t="inlineStr">
        <is>
          <t>Net debt / EBITDA</t>
        </is>
      </c>
      <c r="F30" s="83">
        <f>BDP("TSM US Equity","NET_DEBT_TO_EBITDA")</f>
        <v/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E31" t="inlineStr">
        <is>
          <t>ROIC (LTM)</t>
        </is>
      </c>
      <c r="F31" s="83">
        <f>BDP("TSM US Equity","RETURN_ON_INV_CAPITAL")</f>
        <v/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E32" t="inlineStr">
        <is>
          <t>LTM operating income</t>
        </is>
      </c>
      <c r="F32" s="83">
        <f>BDP("TSM US Equity","TRAIL_12M_OPER_INC")</f>
        <v/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E33" t="inlineStr">
        <is>
          <t>LTM EBITDA</t>
        </is>
      </c>
      <c r="F33" s="83">
        <f>BDP("TSM US Equity","TRAIL_12M_EBITDA")</f>
        <v/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E34" t="inlineStr">
        <is>
          <t>Total debt</t>
        </is>
      </c>
      <c r="F34" s="83">
        <f>BDP("TSM US Equity","SHORT_AND_LONG_TERM_DEBT")</f>
        <v/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E35" t="inlineStr">
        <is>
          <t>Total equity</t>
        </is>
      </c>
      <c r="F35" s="83">
        <f>BDP("TSM US Equity","TOTAL_EQUITY")</f>
        <v/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E36" t="inlineStr">
        <is>
          <t>Cash &amp; equivalents</t>
        </is>
      </c>
      <c r="F36" s="83">
        <f>BDP("TSM US Equity","BS_CASH_NEAR_CASH_ITEM")</f>
        <v/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24Y</t>
        </is>
      </c>
      <c r="E37" t="inlineStr">
        <is>
          <t>EPS estimate FY2024</t>
        </is>
      </c>
      <c r="F37" s="83">
        <f>BDP("TSM US Equity","BEST_EPS","BEST_FPERIOD_OVERRIDE","24Y")</f>
        <v/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24Y</t>
        </is>
      </c>
      <c r="E38" t="inlineStr">
        <is>
          <t>Revenue estimate FY2024</t>
        </is>
      </c>
      <c r="F38" s="83">
        <f>BDP("TSM US Equity","BEST_SALES","BEST_FPERIOD_OVERRIDE","24Y")</f>
        <v/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24Y</t>
        </is>
      </c>
      <c r="E39" t="inlineStr">
        <is>
          <t>EBIT estimate FY2024</t>
        </is>
      </c>
      <c r="F39" s="83">
        <f>BDP("TSM US Equity","BEST_EBIT","BEST_FPERIOD_OVERRIDE","24Y")</f>
        <v/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25Y</t>
        </is>
      </c>
      <c r="E40" t="inlineStr">
        <is>
          <t>EPS estimate FY2025</t>
        </is>
      </c>
      <c r="F40" s="83">
        <f>BDP("TSM US Equity","BEST_EPS","BEST_FPERIOD_OVERRIDE","25Y")</f>
        <v/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25Y</t>
        </is>
      </c>
      <c r="E41" t="inlineStr">
        <is>
          <t>Revenue estimate FY2025</t>
        </is>
      </c>
      <c r="F41" s="83">
        <f>BDP("TSM US Equity","BEST_SALES","BEST_FPERIOD_OVERRIDE","25Y")</f>
        <v/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25Y</t>
        </is>
      </c>
      <c r="E42" t="inlineStr">
        <is>
          <t>EBIT estimate FY2025</t>
        </is>
      </c>
      <c r="F42" s="83">
        <f>BDP("TSM US Equity","BEST_EBIT","BEST_FPERIOD_OVERRIDE","25Y")</f>
        <v/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26Y</t>
        </is>
      </c>
      <c r="E43" t="inlineStr">
        <is>
          <t>EPS estimate FY2026</t>
        </is>
      </c>
      <c r="F43" s="83">
        <f>BDP("TSM US Equity","BEST_EPS","BEST_FPERIOD_OVERRIDE","26Y")</f>
        <v/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26Y</t>
        </is>
      </c>
      <c r="E44" t="inlineStr">
        <is>
          <t>Revenue estimate FY2026</t>
        </is>
      </c>
      <c r="F44" s="83">
        <f>BDP("TSM US Equity","BEST_SALES","BEST_FPERIOD_OVERRIDE","26Y")</f>
        <v/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26Y</t>
        </is>
      </c>
      <c r="E45" t="inlineStr">
        <is>
          <t>EBIT estimate FY2026</t>
        </is>
      </c>
      <c r="F45" s="83">
        <f>BDP("TSM US Equity","BEST_EBIT","BEST_FPERIOD_OVERRIDE","26Y")</f>
        <v/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27Y</t>
        </is>
      </c>
      <c r="E46" t="inlineStr">
        <is>
          <t>EPS estimate FY2027</t>
        </is>
      </c>
      <c r="F46" s="83">
        <f>BDP("TSM US Equity","BEST_EPS","BEST_FPERIOD_OVERRIDE","27Y")</f>
        <v/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27Y</t>
        </is>
      </c>
      <c r="E47" t="inlineStr">
        <is>
          <t>Revenue estimate FY2027</t>
        </is>
      </c>
      <c r="F47" s="83">
        <f>BDP("TSM US Equity","BEST_SALES","BEST_FPERIOD_OVERRIDE","27Y")</f>
        <v/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27Y</t>
        </is>
      </c>
      <c r="E48" t="inlineStr">
        <is>
          <t>EBIT estimate FY2027</t>
        </is>
      </c>
      <c r="F48" s="83">
        <f>BDP("TSM US Equity","BEST_EBIT","BEST_FPERIOD_OVERRIDE","27Y")</f>
        <v/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28Y</t>
        </is>
      </c>
      <c r="E49" t="inlineStr">
        <is>
          <t>EPS estimate FY2028</t>
        </is>
      </c>
      <c r="F49" s="83">
        <f>BDP("TSM US Equity","BEST_EPS","BEST_FPERIOD_OVERRIDE","28Y")</f>
        <v/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28Y</t>
        </is>
      </c>
      <c r="E50" t="inlineStr">
        <is>
          <t>Revenue estimate FY2028</t>
        </is>
      </c>
      <c r="F50" s="83">
        <f>BDP("TSM US Equity","BEST_SALES","BEST_FPERIOD_OVERRIDE","28Y")</f>
        <v/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28Y</t>
        </is>
      </c>
      <c r="E51" t="inlineStr">
        <is>
          <t>EBIT estimate FY2028</t>
        </is>
      </c>
      <c r="F51" s="83">
        <f>BDP("TSM US Equity","BEST_EBIT","BEST_FPERIOD_OVERRIDE","28Y")</f>
        <v/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E52" t="inlineStr">
        <is>
          <t>Last price</t>
        </is>
      </c>
      <c r="F52" s="83">
        <f>BDP("AMZN US Equity","PX_LAST")</f>
        <v/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E53" t="inlineStr">
        <is>
          <t>Market cap (raw)</t>
        </is>
      </c>
      <c r="F53" s="83">
        <f>BDP("AMZN US Equity","CUR_MKT_CAP")</f>
        <v/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E54" t="inlineStr">
        <is>
          <t>YTD price change %</t>
        </is>
      </c>
      <c r="F54" s="83">
        <f>BDP("AMZN US Equity","CHG_PCT_YTD")</f>
        <v/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E55" t="inlineStr">
        <is>
          <t>Net debt / EBITDA</t>
        </is>
      </c>
      <c r="F55" s="83">
        <f>BDP("AMZN US Equity","NET_DEBT_TO_EBITDA")</f>
        <v/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E56" t="inlineStr">
        <is>
          <t>ROIC (LTM)</t>
        </is>
      </c>
      <c r="F56" s="83">
        <f>BDP("AMZN US Equity","RETURN_ON_INV_CAPITAL")</f>
        <v/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E57" t="inlineStr">
        <is>
          <t>LTM operating income</t>
        </is>
      </c>
      <c r="F57" s="83">
        <f>BDP("AMZN US Equity","TRAIL_12M_OPER_INC")</f>
        <v/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E58" t="inlineStr">
        <is>
          <t>LTM EBITDA</t>
        </is>
      </c>
      <c r="F58" s="83">
        <f>BDP("AMZN US Equity","TRAIL_12M_EBITDA")</f>
        <v/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E59" t="inlineStr">
        <is>
          <t>Total debt</t>
        </is>
      </c>
      <c r="F59" s="83">
        <f>BDP("AMZN US Equity","SHORT_AND_LONG_TERM_DEBT")</f>
        <v/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E60" t="inlineStr">
        <is>
          <t>Total equity</t>
        </is>
      </c>
      <c r="F60" s="83">
        <f>BDP("AMZN US Equity","TOTAL_EQUITY")</f>
        <v/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E61" t="inlineStr">
        <is>
          <t>Cash &amp; equivalents</t>
        </is>
      </c>
      <c r="F61" s="83">
        <f>BDP("AMZN US Equity","BS_CASH_NEAR_CASH_ITEM")</f>
        <v/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24Y</t>
        </is>
      </c>
      <c r="E62" t="inlineStr">
        <is>
          <t>EPS estimate FY2024</t>
        </is>
      </c>
      <c r="F62" s="83">
        <f>BDP("AMZN US Equity","BEST_EPS","BEST_FPERIOD_OVERRIDE","24Y")</f>
        <v/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24Y</t>
        </is>
      </c>
      <c r="E63" t="inlineStr">
        <is>
          <t>Revenue estimate FY2024</t>
        </is>
      </c>
      <c r="F63" s="83">
        <f>BDP("AMZN US Equity","BEST_SALES","BEST_FPERIOD_OVERRIDE","24Y")</f>
        <v/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24Y</t>
        </is>
      </c>
      <c r="E64" t="inlineStr">
        <is>
          <t>EBIT estimate FY2024</t>
        </is>
      </c>
      <c r="F64" s="83">
        <f>BDP("AMZN US Equity","BEST_EBIT","BEST_FPERIOD_OVERRIDE","24Y")</f>
        <v/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25Y</t>
        </is>
      </c>
      <c r="E65" t="inlineStr">
        <is>
          <t>EPS estimate FY2025</t>
        </is>
      </c>
      <c r="F65" s="83">
        <f>BDP("AMZN US Equity","BEST_EPS","BEST_FPERIOD_OVERRIDE","25Y")</f>
        <v/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25Y</t>
        </is>
      </c>
      <c r="E66" t="inlineStr">
        <is>
          <t>Revenue estimate FY2025</t>
        </is>
      </c>
      <c r="F66" s="83">
        <f>BDP("AMZN US Equity","BEST_SALES","BEST_FPERIOD_OVERRIDE","25Y")</f>
        <v/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25Y</t>
        </is>
      </c>
      <c r="E67" t="inlineStr">
        <is>
          <t>EBIT estimate FY2025</t>
        </is>
      </c>
      <c r="F67" s="83">
        <f>BDP("AMZN US Equity","BEST_EBIT","BEST_FPERIOD_OVERRIDE","25Y")</f>
        <v/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26Y</t>
        </is>
      </c>
      <c r="E68" t="inlineStr">
        <is>
          <t>EPS estimate FY2026</t>
        </is>
      </c>
      <c r="F68" s="83">
        <f>BDP("AMZN US Equity","BEST_EPS","BEST_FPERIOD_OVERRIDE","26Y")</f>
        <v/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26Y</t>
        </is>
      </c>
      <c r="E69" t="inlineStr">
        <is>
          <t>Revenue estimate FY2026</t>
        </is>
      </c>
      <c r="F69" s="83">
        <f>BDP("AMZN US Equity","BEST_SALES","BEST_FPERIOD_OVERRIDE","26Y")</f>
        <v/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26Y</t>
        </is>
      </c>
      <c r="E70" t="inlineStr">
        <is>
          <t>EBIT estimate FY2026</t>
        </is>
      </c>
      <c r="F70" s="83">
        <f>BDP("AMZN US Equity","BEST_EBIT","BEST_FPERIOD_OVERRIDE","26Y")</f>
        <v/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27Y</t>
        </is>
      </c>
      <c r="E71" t="inlineStr">
        <is>
          <t>EPS estimate FY2027</t>
        </is>
      </c>
      <c r="F71" s="83">
        <f>BDP("AMZN US Equity","BEST_EPS","BEST_FPERIOD_OVERRIDE","27Y")</f>
        <v/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27Y</t>
        </is>
      </c>
      <c r="E72" t="inlineStr">
        <is>
          <t>Revenue estimate FY2027</t>
        </is>
      </c>
      <c r="F72" s="83">
        <f>BDP("AMZN US Equity","BEST_SALES","BEST_FPERIOD_OVERRIDE","27Y")</f>
        <v/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27Y</t>
        </is>
      </c>
      <c r="E73" t="inlineStr">
        <is>
          <t>EBIT estimate FY2027</t>
        </is>
      </c>
      <c r="F73" s="83">
        <f>BDP("AMZN US Equity","BEST_EBIT","BEST_FPERIOD_OVERRIDE","27Y")</f>
        <v/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28Y</t>
        </is>
      </c>
      <c r="E74" t="inlineStr">
        <is>
          <t>EPS estimate FY2028</t>
        </is>
      </c>
      <c r="F74" s="83">
        <f>BDP("AMZN US Equity","BEST_EPS","BEST_FPERIOD_OVERRIDE","28Y")</f>
        <v/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28Y</t>
        </is>
      </c>
      <c r="E75" t="inlineStr">
        <is>
          <t>Revenue estimate FY2028</t>
        </is>
      </c>
      <c r="F75" s="83">
        <f>BDP("AMZN US Equity","BEST_SALES","BEST_FPERIOD_OVERRIDE","28Y")</f>
        <v/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28Y</t>
        </is>
      </c>
      <c r="E76" t="inlineStr">
        <is>
          <t>EBIT estimate FY2028</t>
        </is>
      </c>
      <c r="F76" s="83">
        <f>BDP("AMZN US Equity","BEST_EBIT","BEST_FPERIOD_OVERRIDE","28Y")</f>
        <v/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E77" t="inlineStr">
        <is>
          <t>Last price</t>
        </is>
      </c>
      <c r="F77" s="83">
        <f>BDP("NVDA US Equity","PX_LAST")</f>
        <v/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E78" t="inlineStr">
        <is>
          <t>Market cap (raw)</t>
        </is>
      </c>
      <c r="F78" s="83">
        <f>BDP("NVDA US Equity","CUR_MKT_CAP")</f>
        <v/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E79" t="inlineStr">
        <is>
          <t>YTD price change %</t>
        </is>
      </c>
      <c r="F79" s="83">
        <f>BDP("NVDA US Equity","CHG_PCT_YTD")</f>
        <v/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E80" t="inlineStr">
        <is>
          <t>Net debt / EBITDA</t>
        </is>
      </c>
      <c r="F80" s="83">
        <f>BDP("NVDA US Equity","NET_DEBT_TO_EBITDA")</f>
        <v/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E81" t="inlineStr">
        <is>
          <t>ROIC (LTM)</t>
        </is>
      </c>
      <c r="F81" s="83">
        <f>BDP("NVDA US Equity","RETURN_ON_INV_CAPITAL")</f>
        <v/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E82" t="inlineStr">
        <is>
          <t>LTM operating income</t>
        </is>
      </c>
      <c r="F82" s="83">
        <f>BDP("NVDA US Equity","TRAIL_12M_OPER_INC")</f>
        <v/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E83" t="inlineStr">
        <is>
          <t>LTM EBITDA</t>
        </is>
      </c>
      <c r="F83" s="83">
        <f>BDP("NVDA US Equity","TRAIL_12M_EBITDA")</f>
        <v/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E84" t="inlineStr">
        <is>
          <t>Total debt</t>
        </is>
      </c>
      <c r="F84" s="83">
        <f>BDP("NVDA US Equity","SHORT_AND_LONG_TERM_DEBT")</f>
        <v/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E85" t="inlineStr">
        <is>
          <t>Total equity</t>
        </is>
      </c>
      <c r="F85" s="83">
        <f>BDP("NVDA US Equity","TOTAL_EQUITY")</f>
        <v/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E86" t="inlineStr">
        <is>
          <t>Cash &amp; equivalents</t>
        </is>
      </c>
      <c r="F86" s="83">
        <f>BDP("NVDA US Equity","BS_CASH_NEAR_CASH_ITEM")</f>
        <v/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24Y</t>
        </is>
      </c>
      <c r="E87" t="inlineStr">
        <is>
          <t>EPS estimate FY2024</t>
        </is>
      </c>
      <c r="F87" s="83">
        <f>BDP("NVDA US Equity","BEST_EPS","BEST_FPERIOD_OVERRIDE","24Y")</f>
        <v/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24Y</t>
        </is>
      </c>
      <c r="E88" t="inlineStr">
        <is>
          <t>Revenue estimate FY2024</t>
        </is>
      </c>
      <c r="F88" s="83">
        <f>BDP("NVDA US Equity","BEST_SALES","BEST_FPERIOD_OVERRIDE","24Y")</f>
        <v/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24Y</t>
        </is>
      </c>
      <c r="E89" t="inlineStr">
        <is>
          <t>EBIT estimate FY2024</t>
        </is>
      </c>
      <c r="F89" s="83">
        <f>BDP("NVDA US Equity","BEST_EBIT","BEST_FPERIOD_OVERRIDE","24Y")</f>
        <v/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25Y</t>
        </is>
      </c>
      <c r="E90" t="inlineStr">
        <is>
          <t>EPS estimate FY2025</t>
        </is>
      </c>
      <c r="F90" s="83">
        <f>BDP("NVDA US Equity","BEST_EPS","BEST_FPERIOD_OVERRIDE","25Y")</f>
        <v/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25Y</t>
        </is>
      </c>
      <c r="E91" t="inlineStr">
        <is>
          <t>Revenue estimate FY2025</t>
        </is>
      </c>
      <c r="F91" s="83">
        <f>BDP("NVDA US Equity","BEST_SALES","BEST_FPERIOD_OVERRIDE","25Y")</f>
        <v/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25Y</t>
        </is>
      </c>
      <c r="E92" t="inlineStr">
        <is>
          <t>EBIT estimate FY2025</t>
        </is>
      </c>
      <c r="F92" s="83">
        <f>BDP("NVDA US Equity","BEST_EBIT","BEST_FPERIOD_OVERRIDE","25Y")</f>
        <v/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26Y</t>
        </is>
      </c>
      <c r="E93" t="inlineStr">
        <is>
          <t>EPS estimate FY2026</t>
        </is>
      </c>
      <c r="F93" s="83">
        <f>BDP("NVDA US Equity","BEST_EPS","BEST_FPERIOD_OVERRIDE","26Y")</f>
        <v/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26Y</t>
        </is>
      </c>
      <c r="E94" t="inlineStr">
        <is>
          <t>Revenue estimate FY2026</t>
        </is>
      </c>
      <c r="F94" s="83">
        <f>BDP("NVDA US Equity","BEST_SALES","BEST_FPERIOD_OVERRIDE","26Y")</f>
        <v/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26Y</t>
        </is>
      </c>
      <c r="E95" t="inlineStr">
        <is>
          <t>EBIT estimate FY2026</t>
        </is>
      </c>
      <c r="F95" s="83">
        <f>BDP("NVDA US Equity","BEST_EBIT","BEST_FPERIOD_OVERRIDE","26Y")</f>
        <v/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27Y</t>
        </is>
      </c>
      <c r="E96" t="inlineStr">
        <is>
          <t>EPS estimate FY2027</t>
        </is>
      </c>
      <c r="F96" s="83">
        <f>BDP("NVDA US Equity","BEST_EPS","BEST_FPERIOD_OVERRIDE","27Y")</f>
        <v/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27Y</t>
        </is>
      </c>
      <c r="E97" t="inlineStr">
        <is>
          <t>Revenue estimate FY2027</t>
        </is>
      </c>
      <c r="F97" s="83">
        <f>BDP("NVDA US Equity","BEST_SALES","BEST_FPERIOD_OVERRIDE","27Y")</f>
        <v/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27Y</t>
        </is>
      </c>
      <c r="E98" t="inlineStr">
        <is>
          <t>EBIT estimate FY2027</t>
        </is>
      </c>
      <c r="F98" s="83">
        <f>BDP("NVDA US Equity","BEST_EBIT","BEST_FPERIOD_OVERRIDE","27Y")</f>
        <v/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28Y</t>
        </is>
      </c>
      <c r="E99" t="inlineStr">
        <is>
          <t>EPS estimate FY2028</t>
        </is>
      </c>
      <c r="F99" s="83">
        <f>BDP("NVDA US Equity","BEST_EPS","BEST_FPERIOD_OVERRIDE","28Y")</f>
        <v/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28Y</t>
        </is>
      </c>
      <c r="E100" t="inlineStr">
        <is>
          <t>Revenue estimate FY2028</t>
        </is>
      </c>
      <c r="F100" s="83">
        <f>BDP("NVDA US Equity","BEST_SALES","BEST_FPERIOD_OVERRIDE","28Y")</f>
        <v/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28Y</t>
        </is>
      </c>
      <c r="E101" t="inlineStr">
        <is>
          <t>EBIT estimate FY2028</t>
        </is>
      </c>
      <c r="F101" s="83">
        <f>BDP("NVDA US Equity","BEST_EBIT","BEST_FPERIOD_OVERRIDE","28Y")</f>
        <v/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E102" t="inlineStr">
        <is>
          <t>Last price</t>
        </is>
      </c>
      <c r="F102" s="83">
        <f>BDP("AVGO US Equity","PX_LAST")</f>
        <v/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E103" t="inlineStr">
        <is>
          <t>Market cap (raw)</t>
        </is>
      </c>
      <c r="F103" s="83">
        <f>BDP("AVGO US Equity","CUR_MKT_CAP")</f>
        <v/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E104" t="inlineStr">
        <is>
          <t>YTD price change %</t>
        </is>
      </c>
      <c r="F104" s="83">
        <f>BDP("AVGO US Equity","CHG_PCT_YTD")</f>
        <v/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E105" t="inlineStr">
        <is>
          <t>Net debt / EBITDA</t>
        </is>
      </c>
      <c r="F105" s="83">
        <f>BDP("AVGO US Equity","NET_DEBT_TO_EBITDA")</f>
        <v/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E106" t="inlineStr">
        <is>
          <t>ROIC (LTM)</t>
        </is>
      </c>
      <c r="F106" s="83">
        <f>BDP("AVGO US Equity","RETURN_ON_INV_CAPITAL")</f>
        <v/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E107" t="inlineStr">
        <is>
          <t>LTM operating income</t>
        </is>
      </c>
      <c r="F107" s="83">
        <f>BDP("AVGO US Equity","TRAIL_12M_OPER_INC")</f>
        <v/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E108" t="inlineStr">
        <is>
          <t>LTM EBITDA</t>
        </is>
      </c>
      <c r="F108" s="83">
        <f>BDP("AVGO US Equity","TRAIL_12M_EBITDA")</f>
        <v/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E109" t="inlineStr">
        <is>
          <t>Total debt</t>
        </is>
      </c>
      <c r="F109" s="83">
        <f>BDP("AVGO US Equity","SHORT_AND_LONG_TERM_DEBT")</f>
        <v/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E110" t="inlineStr">
        <is>
          <t>Total equity</t>
        </is>
      </c>
      <c r="F110" s="83">
        <f>BDP("AVGO US Equity","TOTAL_EQUITY")</f>
        <v/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E111" t="inlineStr">
        <is>
          <t>Cash &amp; equivalents</t>
        </is>
      </c>
      <c r="F111" s="83">
        <f>BDP("AVGO US Equity","BS_CASH_NEAR_CASH_ITEM")</f>
        <v/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24Y</t>
        </is>
      </c>
      <c r="E112" t="inlineStr">
        <is>
          <t>EPS estimate FY2024</t>
        </is>
      </c>
      <c r="F112" s="83">
        <f>BDP("AVGO US Equity","BEST_EPS","BEST_FPERIOD_OVERRIDE","24Y")</f>
        <v/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24Y</t>
        </is>
      </c>
      <c r="E113" t="inlineStr">
        <is>
          <t>Revenue estimate FY2024</t>
        </is>
      </c>
      <c r="F113" s="83">
        <f>BDP("AVGO US Equity","BEST_SALES","BEST_FPERIOD_OVERRIDE","24Y")</f>
        <v/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24Y</t>
        </is>
      </c>
      <c r="E114" t="inlineStr">
        <is>
          <t>EBIT estimate FY2024</t>
        </is>
      </c>
      <c r="F114" s="83">
        <f>BDP("AVGO US Equity","BEST_EBIT","BEST_FPERIOD_OVERRIDE","24Y")</f>
        <v/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25Y</t>
        </is>
      </c>
      <c r="E115" t="inlineStr">
        <is>
          <t>EPS estimate FY2025</t>
        </is>
      </c>
      <c r="F115" s="83">
        <f>BDP("AVGO US Equity","BEST_EPS","BEST_FPERIOD_OVERRIDE","25Y")</f>
        <v/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25Y</t>
        </is>
      </c>
      <c r="E116" t="inlineStr">
        <is>
          <t>Revenue estimate FY2025</t>
        </is>
      </c>
      <c r="F116" s="83">
        <f>BDP("AVGO US Equity","BEST_SALES","BEST_FPERIOD_OVERRIDE","25Y")</f>
        <v/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25Y</t>
        </is>
      </c>
      <c r="E117" t="inlineStr">
        <is>
          <t>EBIT estimate FY2025</t>
        </is>
      </c>
      <c r="F117" s="83">
        <f>BDP("AVGO US Equity","BEST_EBIT","BEST_FPERIOD_OVERRIDE","25Y")</f>
        <v/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26Y</t>
        </is>
      </c>
      <c r="E118" t="inlineStr">
        <is>
          <t>EPS estimate FY2026</t>
        </is>
      </c>
      <c r="F118" s="83">
        <f>BDP("AVGO US Equity","BEST_EPS","BEST_FPERIOD_OVERRIDE","26Y")</f>
        <v/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26Y</t>
        </is>
      </c>
      <c r="E119" t="inlineStr">
        <is>
          <t>Revenue estimate FY2026</t>
        </is>
      </c>
      <c r="F119" s="83">
        <f>BDP("AVGO US Equity","BEST_SALES","BEST_FPERIOD_OVERRIDE","26Y")</f>
        <v/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26Y</t>
        </is>
      </c>
      <c r="E120" t="inlineStr">
        <is>
          <t>EBIT estimate FY2026</t>
        </is>
      </c>
      <c r="F120" s="83">
        <f>BDP("AVGO US Equity","BEST_EBIT","BEST_FPERIOD_OVERRIDE","26Y")</f>
        <v/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27Y</t>
        </is>
      </c>
      <c r="E121" t="inlineStr">
        <is>
          <t>EPS estimate FY2027</t>
        </is>
      </c>
      <c r="F121" s="83">
        <f>BDP("AVGO US Equity","BEST_EPS","BEST_FPERIOD_OVERRIDE","27Y")</f>
        <v/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27Y</t>
        </is>
      </c>
      <c r="E122" t="inlineStr">
        <is>
          <t>Revenue estimate FY2027</t>
        </is>
      </c>
      <c r="F122" s="83">
        <f>BDP("AVGO US Equity","BEST_SALES","BEST_FPERIOD_OVERRIDE","27Y")</f>
        <v/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27Y</t>
        </is>
      </c>
      <c r="E123" t="inlineStr">
        <is>
          <t>EBIT estimate FY2027</t>
        </is>
      </c>
      <c r="F123" s="83">
        <f>BDP("AVGO US Equity","BEST_EBIT","BEST_FPERIOD_OVERRIDE","27Y")</f>
        <v/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28Y</t>
        </is>
      </c>
      <c r="E124" t="inlineStr">
        <is>
          <t>EPS estimate FY2028</t>
        </is>
      </c>
      <c r="F124" s="83">
        <f>BDP("AVGO US Equity","BEST_EPS","BEST_FPERIOD_OVERRIDE","28Y")</f>
        <v/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28Y</t>
        </is>
      </c>
      <c r="E125" t="inlineStr">
        <is>
          <t>Revenue estimate FY2028</t>
        </is>
      </c>
      <c r="F125" s="83">
        <f>BDP("AVGO US Equity","BEST_SALES","BEST_FPERIOD_OVERRIDE","28Y")</f>
        <v/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28Y</t>
        </is>
      </c>
      <c r="E126" t="inlineStr">
        <is>
          <t>EBIT estimate FY2028</t>
        </is>
      </c>
      <c r="F126" s="83">
        <f>BDP("AVGO US Equity","BEST_EBIT","BEST_FPERIOD_OVERRIDE","28Y")</f>
        <v/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E127" t="inlineStr">
        <is>
          <t>Last price</t>
        </is>
      </c>
      <c r="F127" s="83">
        <f>BDP("TDG US Equity","PX_LAST")</f>
        <v/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E128" t="inlineStr">
        <is>
          <t>Market cap (raw)</t>
        </is>
      </c>
      <c r="F128" s="83">
        <f>BDP("TDG US Equity","CUR_MKT_CAP")</f>
        <v/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E129" t="inlineStr">
        <is>
          <t>YTD price change %</t>
        </is>
      </c>
      <c r="F129" s="83">
        <f>BDP("TDG US Equity","CHG_PCT_YTD")</f>
        <v/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E130" t="inlineStr">
        <is>
          <t>Net debt / EBITDA</t>
        </is>
      </c>
      <c r="F130" s="83">
        <f>BDP("TDG US Equity","NET_DEBT_TO_EBITDA")</f>
        <v/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E131" t="inlineStr">
        <is>
          <t>ROIC (LTM)</t>
        </is>
      </c>
      <c r="F131" s="83">
        <f>BDP("TDG US Equity","RETURN_ON_INV_CAPITAL")</f>
        <v/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E132" t="inlineStr">
        <is>
          <t>LTM operating income</t>
        </is>
      </c>
      <c r="F132" s="83">
        <f>BDP("TDG US Equity","TRAIL_12M_OPER_INC")</f>
        <v/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E133" t="inlineStr">
        <is>
          <t>LTM EBITDA</t>
        </is>
      </c>
      <c r="F133" s="83">
        <f>BDP("TDG US Equity","TRAIL_12M_EBITDA")</f>
        <v/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E134" t="inlineStr">
        <is>
          <t>Total debt</t>
        </is>
      </c>
      <c r="F134" s="83">
        <f>BDP("TDG US Equity","SHORT_AND_LONG_TERM_DEBT")</f>
        <v/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E135" t="inlineStr">
        <is>
          <t>Total equity</t>
        </is>
      </c>
      <c r="F135" s="83">
        <f>BDP("TDG US Equity","TOTAL_EQUITY")</f>
        <v/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E136" t="inlineStr">
        <is>
          <t>Cash &amp; equivalents</t>
        </is>
      </c>
      <c r="F136" s="83">
        <f>BDP("TDG US Equity","BS_CASH_NEAR_CASH_ITEM")</f>
        <v/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24Y</t>
        </is>
      </c>
      <c r="E137" t="inlineStr">
        <is>
          <t>EPS estimate FY2024</t>
        </is>
      </c>
      <c r="F137" s="83">
        <f>BDP("TDG US Equity","BEST_EPS","BEST_FPERIOD_OVERRIDE","24Y")</f>
        <v/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24Y</t>
        </is>
      </c>
      <c r="E138" t="inlineStr">
        <is>
          <t>Revenue estimate FY2024</t>
        </is>
      </c>
      <c r="F138" s="83">
        <f>BDP("TDG US Equity","BEST_SALES","BEST_FPERIOD_OVERRIDE","24Y")</f>
        <v/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24Y</t>
        </is>
      </c>
      <c r="E139" t="inlineStr">
        <is>
          <t>EBIT estimate FY2024</t>
        </is>
      </c>
      <c r="F139" s="83">
        <f>BDP("TDG US Equity","BEST_EBIT","BEST_FPERIOD_OVERRIDE","24Y")</f>
        <v/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25Y</t>
        </is>
      </c>
      <c r="E140" t="inlineStr">
        <is>
          <t>EPS estimate FY2025</t>
        </is>
      </c>
      <c r="F140" s="83">
        <f>BDP("TDG US Equity","BEST_EPS","BEST_FPERIOD_OVERRIDE","25Y")</f>
        <v/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25Y</t>
        </is>
      </c>
      <c r="E141" t="inlineStr">
        <is>
          <t>Revenue estimate FY2025</t>
        </is>
      </c>
      <c r="F141" s="83">
        <f>BDP("TDG US Equity","BEST_SALES","BEST_FPERIOD_OVERRIDE","25Y")</f>
        <v/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25Y</t>
        </is>
      </c>
      <c r="E142" t="inlineStr">
        <is>
          <t>EBIT estimate FY2025</t>
        </is>
      </c>
      <c r="F142" s="83">
        <f>BDP("TDG US Equity","BEST_EBIT","BEST_FPERIOD_OVERRIDE","25Y")</f>
        <v/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26Y</t>
        </is>
      </c>
      <c r="E143" t="inlineStr">
        <is>
          <t>EPS estimate FY2026</t>
        </is>
      </c>
      <c r="F143" s="83">
        <f>BDP("TDG US Equity","BEST_EPS","BEST_FPERIOD_OVERRIDE","26Y")</f>
        <v/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26Y</t>
        </is>
      </c>
      <c r="E144" t="inlineStr">
        <is>
          <t>Revenue estimate FY2026</t>
        </is>
      </c>
      <c r="F144" s="83">
        <f>BDP("TDG US Equity","BEST_SALES","BEST_FPERIOD_OVERRIDE","26Y")</f>
        <v/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26Y</t>
        </is>
      </c>
      <c r="E145" t="inlineStr">
        <is>
          <t>EBIT estimate FY2026</t>
        </is>
      </c>
      <c r="F145" s="83">
        <f>BDP("TDG US Equity","BEST_EBIT","BEST_FPERIOD_OVERRIDE","26Y")</f>
        <v/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27Y</t>
        </is>
      </c>
      <c r="E146" t="inlineStr">
        <is>
          <t>EPS estimate FY2027</t>
        </is>
      </c>
      <c r="F146" s="83">
        <f>BDP("TDG US Equity","BEST_EPS","BEST_FPERIOD_OVERRIDE","27Y")</f>
        <v/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27Y</t>
        </is>
      </c>
      <c r="E147" t="inlineStr">
        <is>
          <t>Revenue estimate FY2027</t>
        </is>
      </c>
      <c r="F147" s="83">
        <f>BDP("TDG US Equity","BEST_SALES","BEST_FPERIOD_OVERRIDE","27Y")</f>
        <v/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27Y</t>
        </is>
      </c>
      <c r="E148" t="inlineStr">
        <is>
          <t>EBIT estimate FY2027</t>
        </is>
      </c>
      <c r="F148" s="83">
        <f>BDP("TDG US Equity","BEST_EBIT","BEST_FPERIOD_OVERRIDE","27Y")</f>
        <v/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28Y</t>
        </is>
      </c>
      <c r="E149" t="inlineStr">
        <is>
          <t>EPS estimate FY2028</t>
        </is>
      </c>
      <c r="F149" s="83">
        <f>BDP("TDG US Equity","BEST_EPS","BEST_FPERIOD_OVERRIDE","28Y")</f>
        <v/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28Y</t>
        </is>
      </c>
      <c r="E150" t="inlineStr">
        <is>
          <t>Revenue estimate FY2028</t>
        </is>
      </c>
      <c r="F150" s="83">
        <f>BDP("TDG US Equity","BEST_SALES","BEST_FPERIOD_OVERRIDE","28Y")</f>
        <v/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28Y</t>
        </is>
      </c>
      <c r="E151" t="inlineStr">
        <is>
          <t>EBIT estimate FY2028</t>
        </is>
      </c>
      <c r="F151" s="83">
        <f>BDP("TDG US Equity","BEST_EBIT","BEST_FPERIOD_OVERRIDE","28Y")</f>
        <v/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E152" t="inlineStr">
        <is>
          <t>Last price</t>
        </is>
      </c>
      <c r="F152" s="83">
        <f>BDP("MSFT US Equity","PX_LAST")</f>
        <v/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E153" t="inlineStr">
        <is>
          <t>Market cap (raw)</t>
        </is>
      </c>
      <c r="F153" s="83">
        <f>BDP("MSFT US Equity","CUR_MKT_CAP")</f>
        <v/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E154" t="inlineStr">
        <is>
          <t>YTD price change %</t>
        </is>
      </c>
      <c r="F154" s="83">
        <f>BDP("MSFT US Equity","CHG_PCT_YTD")</f>
        <v/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E155" t="inlineStr">
        <is>
          <t>Net debt / EBITDA</t>
        </is>
      </c>
      <c r="F155" s="83">
        <f>BDP("MSFT US Equity","NET_DEBT_TO_EBITDA")</f>
        <v/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E156" t="inlineStr">
        <is>
          <t>ROIC (LTM)</t>
        </is>
      </c>
      <c r="F156" s="83">
        <f>BDP("MSFT US Equity","RETURN_ON_INV_CAPITAL")</f>
        <v/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E157" t="inlineStr">
        <is>
          <t>LTM operating income</t>
        </is>
      </c>
      <c r="F157" s="83">
        <f>BDP("MSFT US Equity","TRAIL_12M_OPER_INC")</f>
        <v/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E158" t="inlineStr">
        <is>
          <t>LTM EBITDA</t>
        </is>
      </c>
      <c r="F158" s="83">
        <f>BDP("MSFT US Equity","TRAIL_12M_EBITDA")</f>
        <v/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E159" t="inlineStr">
        <is>
          <t>Total debt</t>
        </is>
      </c>
      <c r="F159" s="83">
        <f>BDP("MSFT US Equity","SHORT_AND_LONG_TERM_DEBT")</f>
        <v/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E160" t="inlineStr">
        <is>
          <t>Total equity</t>
        </is>
      </c>
      <c r="F160" s="83">
        <f>BDP("MSFT US Equity","TOTAL_EQUITY")</f>
        <v/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E161" t="inlineStr">
        <is>
          <t>Cash &amp; equivalents</t>
        </is>
      </c>
      <c r="F161" s="83">
        <f>BDP("MSFT US Equity","BS_CASH_NEAR_CASH_ITEM")</f>
        <v/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24Y</t>
        </is>
      </c>
      <c r="E162" t="inlineStr">
        <is>
          <t>EPS estimate FY2024</t>
        </is>
      </c>
      <c r="F162" s="83">
        <f>BDP("MSFT US Equity","BEST_EPS","BEST_FPERIOD_OVERRIDE","24Y")</f>
        <v/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24Y</t>
        </is>
      </c>
      <c r="E163" t="inlineStr">
        <is>
          <t>Revenue estimate FY2024</t>
        </is>
      </c>
      <c r="F163" s="83">
        <f>BDP("MSFT US Equity","BEST_SALES","BEST_FPERIOD_OVERRIDE","24Y")</f>
        <v/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24Y</t>
        </is>
      </c>
      <c r="E164" t="inlineStr">
        <is>
          <t>EBIT estimate FY2024</t>
        </is>
      </c>
      <c r="F164" s="83">
        <f>BDP("MSFT US Equity","BEST_EBIT","BEST_FPERIOD_OVERRIDE","24Y")</f>
        <v/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25Y</t>
        </is>
      </c>
      <c r="E165" t="inlineStr">
        <is>
          <t>EPS estimate FY2025</t>
        </is>
      </c>
      <c r="F165" s="83">
        <f>BDP("MSFT US Equity","BEST_EPS","BEST_FPERIOD_OVERRIDE","25Y")</f>
        <v/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25Y</t>
        </is>
      </c>
      <c r="E166" t="inlineStr">
        <is>
          <t>Revenue estimate FY2025</t>
        </is>
      </c>
      <c r="F166" s="83">
        <f>BDP("MSFT US Equity","BEST_SALES","BEST_FPERIOD_OVERRIDE","25Y")</f>
        <v/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25Y</t>
        </is>
      </c>
      <c r="E167" t="inlineStr">
        <is>
          <t>EBIT estimate FY2025</t>
        </is>
      </c>
      <c r="F167" s="83">
        <f>BDP("MSFT US Equity","BEST_EBIT","BEST_FPERIOD_OVERRIDE","25Y")</f>
        <v/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26Y</t>
        </is>
      </c>
      <c r="E168" t="inlineStr">
        <is>
          <t>EPS estimate FY2026</t>
        </is>
      </c>
      <c r="F168" s="83">
        <f>BDP("MSFT US Equity","BEST_EPS","BEST_FPERIOD_OVERRIDE","26Y")</f>
        <v/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26Y</t>
        </is>
      </c>
      <c r="E169" t="inlineStr">
        <is>
          <t>Revenue estimate FY2026</t>
        </is>
      </c>
      <c r="F169" s="83">
        <f>BDP("MSFT US Equity","BEST_SALES","BEST_FPERIOD_OVERRIDE","26Y")</f>
        <v/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26Y</t>
        </is>
      </c>
      <c r="E170" t="inlineStr">
        <is>
          <t>EBIT estimate FY2026</t>
        </is>
      </c>
      <c r="F170" s="83">
        <f>BDP("MSFT US Equity","BEST_EBIT","BEST_FPERIOD_OVERRIDE","26Y")</f>
        <v/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27Y</t>
        </is>
      </c>
      <c r="E171" t="inlineStr">
        <is>
          <t>EPS estimate FY2027</t>
        </is>
      </c>
      <c r="F171" s="83">
        <f>BDP("MSFT US Equity","BEST_EPS","BEST_FPERIOD_OVERRIDE","27Y")</f>
        <v/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27Y</t>
        </is>
      </c>
      <c r="E172" t="inlineStr">
        <is>
          <t>Revenue estimate FY2027</t>
        </is>
      </c>
      <c r="F172" s="83">
        <f>BDP("MSFT US Equity","BEST_SALES","BEST_FPERIOD_OVERRIDE","27Y")</f>
        <v/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27Y</t>
        </is>
      </c>
      <c r="E173" t="inlineStr">
        <is>
          <t>EBIT estimate FY2027</t>
        </is>
      </c>
      <c r="F173" s="83">
        <f>BDP("MSFT US Equity","BEST_EBIT","BEST_FPERIOD_OVERRIDE","27Y")</f>
        <v/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28Y</t>
        </is>
      </c>
      <c r="E174" t="inlineStr">
        <is>
          <t>EPS estimate FY2028</t>
        </is>
      </c>
      <c r="F174" s="83">
        <f>BDP("MSFT US Equity","BEST_EPS","BEST_FPERIOD_OVERRIDE","28Y")</f>
        <v/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28Y</t>
        </is>
      </c>
      <c r="E175" t="inlineStr">
        <is>
          <t>Revenue estimate FY2028</t>
        </is>
      </c>
      <c r="F175" s="83">
        <f>BDP("MSFT US Equity","BEST_SALES","BEST_FPERIOD_OVERRIDE","28Y")</f>
        <v/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28Y</t>
        </is>
      </c>
      <c r="E176" t="inlineStr">
        <is>
          <t>EBIT estimate FY2028</t>
        </is>
      </c>
      <c r="F176" s="83">
        <f>BDP("MSFT US Equity","BEST_EBIT","BEST_FPERIOD_OVERRIDE","28Y")</f>
        <v/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E177" t="inlineStr">
        <is>
          <t>Last price</t>
        </is>
      </c>
      <c r="F177" s="83">
        <f>BDP("V US Equity","PX_LAST")</f>
        <v/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E178" t="inlineStr">
        <is>
          <t>Market cap (raw)</t>
        </is>
      </c>
      <c r="F178" s="83">
        <f>BDP("V US Equity","CUR_MKT_CAP")</f>
        <v/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E179" t="inlineStr">
        <is>
          <t>YTD price change %</t>
        </is>
      </c>
      <c r="F179" s="83">
        <f>BDP("V US Equity","CHG_PCT_YTD")</f>
        <v/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E180" t="inlineStr">
        <is>
          <t>Net debt / EBITDA</t>
        </is>
      </c>
      <c r="F180" s="83">
        <f>BDP("V US Equity","NET_DEBT_TO_EBITDA")</f>
        <v/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E181" t="inlineStr">
        <is>
          <t>ROIC (LTM)</t>
        </is>
      </c>
      <c r="F181" s="83">
        <f>BDP("V US Equity","RETURN_ON_INV_CAPITAL")</f>
        <v/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E182" t="inlineStr">
        <is>
          <t>LTM operating income</t>
        </is>
      </c>
      <c r="F182" s="83">
        <f>BDP("V US Equity","TRAIL_12M_OPER_INC")</f>
        <v/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E183" t="inlineStr">
        <is>
          <t>LTM EBITDA</t>
        </is>
      </c>
      <c r="F183" s="83">
        <f>BDP("V US Equity","TRAIL_12M_EBITDA")</f>
        <v/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E184" t="inlineStr">
        <is>
          <t>Total debt</t>
        </is>
      </c>
      <c r="F184" s="83">
        <f>BDP("V US Equity","SHORT_AND_LONG_TERM_DEBT")</f>
        <v/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E185" t="inlineStr">
        <is>
          <t>Total equity</t>
        </is>
      </c>
      <c r="F185" s="83">
        <f>BDP("V US Equity","TOTAL_EQUITY")</f>
        <v/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E186" t="inlineStr">
        <is>
          <t>Cash &amp; equivalents</t>
        </is>
      </c>
      <c r="F186" s="83">
        <f>BDP("V US Equity","BS_CASH_NEAR_CASH_ITEM")</f>
        <v/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24Y</t>
        </is>
      </c>
      <c r="E187" t="inlineStr">
        <is>
          <t>EPS estimate FY2024</t>
        </is>
      </c>
      <c r="F187" s="83">
        <f>BDP("V US Equity","BEST_EPS","BEST_FPERIOD_OVERRIDE","24Y")</f>
        <v/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24Y</t>
        </is>
      </c>
      <c r="E188" t="inlineStr">
        <is>
          <t>Revenue estimate FY2024</t>
        </is>
      </c>
      <c r="F188" s="83">
        <f>BDP("V US Equity","BEST_SALES","BEST_FPERIOD_OVERRIDE","24Y")</f>
        <v/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24Y</t>
        </is>
      </c>
      <c r="E189" t="inlineStr">
        <is>
          <t>EBIT estimate FY2024</t>
        </is>
      </c>
      <c r="F189" s="83">
        <f>BDP("V US Equity","BEST_EBIT","BEST_FPERIOD_OVERRIDE","24Y")</f>
        <v/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25Y</t>
        </is>
      </c>
      <c r="E190" t="inlineStr">
        <is>
          <t>EPS estimate FY2025</t>
        </is>
      </c>
      <c r="F190" s="83">
        <f>BDP("V US Equity","BEST_EPS","BEST_FPERIOD_OVERRIDE","25Y")</f>
        <v/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25Y</t>
        </is>
      </c>
      <c r="E191" t="inlineStr">
        <is>
          <t>Revenue estimate FY2025</t>
        </is>
      </c>
      <c r="F191" s="83">
        <f>BDP("V US Equity","BEST_SALES","BEST_FPERIOD_OVERRIDE","25Y")</f>
        <v/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25Y</t>
        </is>
      </c>
      <c r="E192" t="inlineStr">
        <is>
          <t>EBIT estimate FY2025</t>
        </is>
      </c>
      <c r="F192" s="83">
        <f>BDP("V US Equity","BEST_EBIT","BEST_FPERIOD_OVERRIDE","25Y")</f>
        <v/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26Y</t>
        </is>
      </c>
      <c r="E193" t="inlineStr">
        <is>
          <t>EPS estimate FY2026</t>
        </is>
      </c>
      <c r="F193" s="83">
        <f>BDP("V US Equity","BEST_EPS","BEST_FPERIOD_OVERRIDE","26Y")</f>
        <v/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26Y</t>
        </is>
      </c>
      <c r="E194" t="inlineStr">
        <is>
          <t>Revenue estimate FY2026</t>
        </is>
      </c>
      <c r="F194" s="83">
        <f>BDP("V US Equity","BEST_SALES","BEST_FPERIOD_OVERRIDE","26Y")</f>
        <v/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26Y</t>
        </is>
      </c>
      <c r="E195" t="inlineStr">
        <is>
          <t>EBIT estimate FY2026</t>
        </is>
      </c>
      <c r="F195" s="83">
        <f>BDP("V US Equity","BEST_EBIT","BEST_FPERIOD_OVERRIDE","26Y")</f>
        <v/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27Y</t>
        </is>
      </c>
      <c r="E196" t="inlineStr">
        <is>
          <t>EPS estimate FY2027</t>
        </is>
      </c>
      <c r="F196" s="83">
        <f>BDP("V US Equity","BEST_EPS","BEST_FPERIOD_OVERRIDE","27Y")</f>
        <v/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27Y</t>
        </is>
      </c>
      <c r="E197" t="inlineStr">
        <is>
          <t>Revenue estimate FY2027</t>
        </is>
      </c>
      <c r="F197" s="83">
        <f>BDP("V US Equity","BEST_SALES","BEST_FPERIOD_OVERRIDE","27Y")</f>
        <v/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27Y</t>
        </is>
      </c>
      <c r="E198" t="inlineStr">
        <is>
          <t>EBIT estimate FY2027</t>
        </is>
      </c>
      <c r="F198" s="83">
        <f>BDP("V US Equity","BEST_EBIT","BEST_FPERIOD_OVERRIDE","27Y")</f>
        <v/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28Y</t>
        </is>
      </c>
      <c r="E199" t="inlineStr">
        <is>
          <t>EPS estimate FY2028</t>
        </is>
      </c>
      <c r="F199" s="83">
        <f>BDP("V US Equity","BEST_EPS","BEST_FPERIOD_OVERRIDE","28Y")</f>
        <v/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28Y</t>
        </is>
      </c>
      <c r="E200" t="inlineStr">
        <is>
          <t>Revenue estimate FY2028</t>
        </is>
      </c>
      <c r="F200" s="83">
        <f>BDP("V US Equity","BEST_SALES","BEST_FPERIOD_OVERRIDE","28Y")</f>
        <v/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28Y</t>
        </is>
      </c>
      <c r="E201" t="inlineStr">
        <is>
          <t>EBIT estimate FY2028</t>
        </is>
      </c>
      <c r="F201" s="83">
        <f>BDP("V US Equity","BEST_EBIT","BEST_FPERIOD_OVERRIDE","28Y")</f>
        <v/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E202" t="inlineStr">
        <is>
          <t>Last price</t>
        </is>
      </c>
      <c r="F202" s="83">
        <f>BDP("SPGI US Equity","PX_LAST")</f>
        <v/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E203" t="inlineStr">
        <is>
          <t>Market cap (raw)</t>
        </is>
      </c>
      <c r="F203" s="83">
        <f>BDP("SPGI US Equity","CUR_MKT_CAP")</f>
        <v/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E204" t="inlineStr">
        <is>
          <t>YTD price change %</t>
        </is>
      </c>
      <c r="F204" s="83">
        <f>BDP("SPGI US Equity","CHG_PCT_YTD")</f>
        <v/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E205" t="inlineStr">
        <is>
          <t>Net debt / EBITDA</t>
        </is>
      </c>
      <c r="F205" s="83">
        <f>BDP("SPGI US Equity","NET_DEBT_TO_EBITDA")</f>
        <v/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E206" t="inlineStr">
        <is>
          <t>ROIC (LTM)</t>
        </is>
      </c>
      <c r="F206" s="83">
        <f>BDP("SPGI US Equity","RETURN_ON_INV_CAPITAL")</f>
        <v/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E207" t="inlineStr">
        <is>
          <t>LTM operating income</t>
        </is>
      </c>
      <c r="F207" s="83">
        <f>BDP("SPGI US Equity","TRAIL_12M_OPER_INC")</f>
        <v/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E208" t="inlineStr">
        <is>
          <t>LTM EBITDA</t>
        </is>
      </c>
      <c r="F208" s="83">
        <f>BDP("SPGI US Equity","TRAIL_12M_EBITDA")</f>
        <v/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E209" t="inlineStr">
        <is>
          <t>Total debt</t>
        </is>
      </c>
      <c r="F209" s="83">
        <f>BDP("SPGI US Equity","SHORT_AND_LONG_TERM_DEBT")</f>
        <v/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E210" t="inlineStr">
        <is>
          <t>Total equity</t>
        </is>
      </c>
      <c r="F210" s="83">
        <f>BDP("SPGI US Equity","TOTAL_EQUITY")</f>
        <v/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E211" t="inlineStr">
        <is>
          <t>Cash &amp; equivalents</t>
        </is>
      </c>
      <c r="F211" s="83">
        <f>BDP("SPGI US Equity","BS_CASH_NEAR_CASH_ITEM")</f>
        <v/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24Y</t>
        </is>
      </c>
      <c r="E212" t="inlineStr">
        <is>
          <t>EPS estimate FY2024</t>
        </is>
      </c>
      <c r="F212" s="83">
        <f>BDP("SPGI US Equity","BEST_EPS","BEST_FPERIOD_OVERRIDE","24Y")</f>
        <v/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24Y</t>
        </is>
      </c>
      <c r="E213" t="inlineStr">
        <is>
          <t>Revenue estimate FY2024</t>
        </is>
      </c>
      <c r="F213" s="83">
        <f>BDP("SPGI US Equity","BEST_SALES","BEST_FPERIOD_OVERRIDE","24Y")</f>
        <v/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24Y</t>
        </is>
      </c>
      <c r="E214" t="inlineStr">
        <is>
          <t>EBIT estimate FY2024</t>
        </is>
      </c>
      <c r="F214" s="83">
        <f>BDP("SPGI US Equity","BEST_EBIT","BEST_FPERIOD_OVERRIDE","24Y")</f>
        <v/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25Y</t>
        </is>
      </c>
      <c r="E215" t="inlineStr">
        <is>
          <t>EPS estimate FY2025</t>
        </is>
      </c>
      <c r="F215" s="83">
        <f>BDP("SPGI US Equity","BEST_EPS","BEST_FPERIOD_OVERRIDE","25Y")</f>
        <v/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25Y</t>
        </is>
      </c>
      <c r="E216" t="inlineStr">
        <is>
          <t>Revenue estimate FY2025</t>
        </is>
      </c>
      <c r="F216" s="83">
        <f>BDP("SPGI US Equity","BEST_SALES","BEST_FPERIOD_OVERRIDE","25Y")</f>
        <v/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25Y</t>
        </is>
      </c>
      <c r="E217" t="inlineStr">
        <is>
          <t>EBIT estimate FY2025</t>
        </is>
      </c>
      <c r="F217" s="83">
        <f>BDP("SPGI US Equity","BEST_EBIT","BEST_FPERIOD_OVERRIDE","25Y")</f>
        <v/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26Y</t>
        </is>
      </c>
      <c r="E218" t="inlineStr">
        <is>
          <t>EPS estimate FY2026</t>
        </is>
      </c>
      <c r="F218" s="83">
        <f>BDP("SPGI US Equity","BEST_EPS","BEST_FPERIOD_OVERRIDE","26Y")</f>
        <v/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26Y</t>
        </is>
      </c>
      <c r="E219" t="inlineStr">
        <is>
          <t>Revenue estimate FY2026</t>
        </is>
      </c>
      <c r="F219" s="83">
        <f>BDP("SPGI US Equity","BEST_SALES","BEST_FPERIOD_OVERRIDE","26Y")</f>
        <v/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26Y</t>
        </is>
      </c>
      <c r="E220" t="inlineStr">
        <is>
          <t>EBIT estimate FY2026</t>
        </is>
      </c>
      <c r="F220" s="83">
        <f>BDP("SPGI US Equity","BEST_EBIT","BEST_FPERIOD_OVERRIDE","26Y")</f>
        <v/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27Y</t>
        </is>
      </c>
      <c r="E221" t="inlineStr">
        <is>
          <t>EPS estimate FY2027</t>
        </is>
      </c>
      <c r="F221" s="83">
        <f>BDP("SPGI US Equity","BEST_EPS","BEST_FPERIOD_OVERRIDE","27Y")</f>
        <v/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27Y</t>
        </is>
      </c>
      <c r="E222" t="inlineStr">
        <is>
          <t>Revenue estimate FY2027</t>
        </is>
      </c>
      <c r="F222" s="83">
        <f>BDP("SPGI US Equity","BEST_SALES","BEST_FPERIOD_OVERRIDE","27Y")</f>
        <v/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27Y</t>
        </is>
      </c>
      <c r="E223" t="inlineStr">
        <is>
          <t>EBIT estimate FY2027</t>
        </is>
      </c>
      <c r="F223" s="83">
        <f>BDP("SPGI US Equity","BEST_EBIT","BEST_FPERIOD_OVERRIDE","27Y")</f>
        <v/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28Y</t>
        </is>
      </c>
      <c r="E224" t="inlineStr">
        <is>
          <t>EPS estimate FY2028</t>
        </is>
      </c>
      <c r="F224" s="83">
        <f>BDP("SPGI US Equity","BEST_EPS","BEST_FPERIOD_OVERRIDE","28Y")</f>
        <v/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28Y</t>
        </is>
      </c>
      <c r="E225" t="inlineStr">
        <is>
          <t>Revenue estimate FY2028</t>
        </is>
      </c>
      <c r="F225" s="83">
        <f>BDP("SPGI US Equity","BEST_SALES","BEST_FPERIOD_OVERRIDE","28Y")</f>
        <v/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28Y</t>
        </is>
      </c>
      <c r="E226" t="inlineStr">
        <is>
          <t>EBIT estimate FY2028</t>
        </is>
      </c>
      <c r="F226" s="83">
        <f>BDP("SPGI US Equity","BEST_EBIT","BEST_FPERIOD_OVERRIDE","28Y")</f>
        <v/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E227" t="inlineStr">
        <is>
          <t>Last price</t>
        </is>
      </c>
      <c r="F227" s="83">
        <f>BDP("PG US Equity","PX_LAST")</f>
        <v/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E228" t="inlineStr">
        <is>
          <t>Market cap (raw)</t>
        </is>
      </c>
      <c r="F228" s="83">
        <f>BDP("PG US Equity","CUR_MKT_CAP")</f>
        <v/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E229" t="inlineStr">
        <is>
          <t>YTD price change %</t>
        </is>
      </c>
      <c r="F229" s="83">
        <f>BDP("PG US Equity","CHG_PCT_YTD")</f>
        <v/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E230" t="inlineStr">
        <is>
          <t>Net debt / EBITDA</t>
        </is>
      </c>
      <c r="F230" s="83">
        <f>BDP("PG US Equity","NET_DEBT_TO_EBITDA")</f>
        <v/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E231" t="inlineStr">
        <is>
          <t>ROIC (LTM)</t>
        </is>
      </c>
      <c r="F231" s="83">
        <f>BDP("PG US Equity","RETURN_ON_INV_CAPITAL")</f>
        <v/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E232" t="inlineStr">
        <is>
          <t>LTM operating income</t>
        </is>
      </c>
      <c r="F232" s="83">
        <f>BDP("PG US Equity","TRAIL_12M_OPER_INC")</f>
        <v/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E233" t="inlineStr">
        <is>
          <t>LTM EBITDA</t>
        </is>
      </c>
      <c r="F233" s="83">
        <f>BDP("PG US Equity","TRAIL_12M_EBITDA")</f>
        <v/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E234" t="inlineStr">
        <is>
          <t>Total debt</t>
        </is>
      </c>
      <c r="F234" s="83">
        <f>BDP("PG US Equity","SHORT_AND_LONG_TERM_DEBT")</f>
        <v/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E235" t="inlineStr">
        <is>
          <t>Total equity</t>
        </is>
      </c>
      <c r="F235" s="83">
        <f>BDP("PG US Equity","TOTAL_EQUITY")</f>
        <v/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E236" t="inlineStr">
        <is>
          <t>Cash &amp; equivalents</t>
        </is>
      </c>
      <c r="F236" s="83">
        <f>BDP("PG US Equity","BS_CASH_NEAR_CASH_ITEM")</f>
        <v/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24Y</t>
        </is>
      </c>
      <c r="E237" t="inlineStr">
        <is>
          <t>EPS estimate FY2024</t>
        </is>
      </c>
      <c r="F237" s="83">
        <f>BDP("PG US Equity","BEST_EPS","BEST_FPERIOD_OVERRIDE","24Y")</f>
        <v/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24Y</t>
        </is>
      </c>
      <c r="E238" t="inlineStr">
        <is>
          <t>Revenue estimate FY2024</t>
        </is>
      </c>
      <c r="F238" s="83">
        <f>BDP("PG US Equity","BEST_SALES","BEST_FPERIOD_OVERRIDE","24Y")</f>
        <v/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24Y</t>
        </is>
      </c>
      <c r="E239" t="inlineStr">
        <is>
          <t>EBIT estimate FY2024</t>
        </is>
      </c>
      <c r="F239" s="83">
        <f>BDP("PG US Equity","BEST_EBIT","BEST_FPERIOD_OVERRIDE","24Y")</f>
        <v/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25Y</t>
        </is>
      </c>
      <c r="E240" t="inlineStr">
        <is>
          <t>EPS estimate FY2025</t>
        </is>
      </c>
      <c r="F240" s="83">
        <f>BDP("PG US Equity","BEST_EPS","BEST_FPERIOD_OVERRIDE","25Y")</f>
        <v/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25Y</t>
        </is>
      </c>
      <c r="E241" t="inlineStr">
        <is>
          <t>Revenue estimate FY2025</t>
        </is>
      </c>
      <c r="F241" s="83">
        <f>BDP("PG US Equity","BEST_SALES","BEST_FPERIOD_OVERRIDE","25Y")</f>
        <v/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25Y</t>
        </is>
      </c>
      <c r="E242" t="inlineStr">
        <is>
          <t>EBIT estimate FY2025</t>
        </is>
      </c>
      <c r="F242" s="83">
        <f>BDP("PG US Equity","BEST_EBIT","BEST_FPERIOD_OVERRIDE","25Y")</f>
        <v/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26Y</t>
        </is>
      </c>
      <c r="E243" t="inlineStr">
        <is>
          <t>EPS estimate FY2026</t>
        </is>
      </c>
      <c r="F243" s="83">
        <f>BDP("PG US Equity","BEST_EPS","BEST_FPERIOD_OVERRIDE","26Y")</f>
        <v/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26Y</t>
        </is>
      </c>
      <c r="E244" t="inlineStr">
        <is>
          <t>Revenue estimate FY2026</t>
        </is>
      </c>
      <c r="F244" s="83">
        <f>BDP("PG US Equity","BEST_SALES","BEST_FPERIOD_OVERRIDE","26Y")</f>
        <v/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26Y</t>
        </is>
      </c>
      <c r="E245" t="inlineStr">
        <is>
          <t>EBIT estimate FY2026</t>
        </is>
      </c>
      <c r="F245" s="83">
        <f>BDP("PG US Equity","BEST_EBIT","BEST_FPERIOD_OVERRIDE","26Y")</f>
        <v/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27Y</t>
        </is>
      </c>
      <c r="E246" t="inlineStr">
        <is>
          <t>EPS estimate FY2027</t>
        </is>
      </c>
      <c r="F246" s="83">
        <f>BDP("PG US Equity","BEST_EPS","BEST_FPERIOD_OVERRIDE","27Y")</f>
        <v/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27Y</t>
        </is>
      </c>
      <c r="E247" t="inlineStr">
        <is>
          <t>Revenue estimate FY2027</t>
        </is>
      </c>
      <c r="F247" s="83">
        <f>BDP("PG US Equity","BEST_SALES","BEST_FPERIOD_OVERRIDE","27Y")</f>
        <v/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27Y</t>
        </is>
      </c>
      <c r="E248" t="inlineStr">
        <is>
          <t>EBIT estimate FY2027</t>
        </is>
      </c>
      <c r="F248" s="83">
        <f>BDP("PG US Equity","BEST_EBIT","BEST_FPERIOD_OVERRIDE","27Y")</f>
        <v/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28Y</t>
        </is>
      </c>
      <c r="E249" t="inlineStr">
        <is>
          <t>EPS estimate FY2028</t>
        </is>
      </c>
      <c r="F249" s="83">
        <f>BDP("PG US Equity","BEST_EPS","BEST_FPERIOD_OVERRIDE","28Y")</f>
        <v/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28Y</t>
        </is>
      </c>
      <c r="E250" t="inlineStr">
        <is>
          <t>Revenue estimate FY2028</t>
        </is>
      </c>
      <c r="F250" s="83">
        <f>BDP("PG US Equity","BEST_SALES","BEST_FPERIOD_OVERRIDE","28Y")</f>
        <v/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28Y</t>
        </is>
      </c>
      <c r="E251" t="inlineStr">
        <is>
          <t>EBIT estimate FY2028</t>
        </is>
      </c>
      <c r="F251" s="83">
        <f>BDP("PG US Equity","BEST_EBIT","BEST_FPERIOD_OVERRIDE","28Y")</f>
        <v/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E252" t="inlineStr">
        <is>
          <t>Last price</t>
        </is>
      </c>
      <c r="F252" s="83">
        <f>BDP("KO US Equity","PX_LAST")</f>
        <v/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E253" t="inlineStr">
        <is>
          <t>Market cap (raw)</t>
        </is>
      </c>
      <c r="F253" s="83">
        <f>BDP("KO US Equity","CUR_MKT_CAP")</f>
        <v/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E254" t="inlineStr">
        <is>
          <t>YTD price change %</t>
        </is>
      </c>
      <c r="F254" s="83">
        <f>BDP("KO US Equity","CHG_PCT_YTD")</f>
        <v/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E255" t="inlineStr">
        <is>
          <t>Net debt / EBITDA</t>
        </is>
      </c>
      <c r="F255" s="83">
        <f>BDP("KO US Equity","NET_DEBT_TO_EBITDA")</f>
        <v/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E256" t="inlineStr">
        <is>
          <t>ROIC (LTM)</t>
        </is>
      </c>
      <c r="F256" s="83">
        <f>BDP("KO US Equity","RETURN_ON_INV_CAPITAL")</f>
        <v/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E257" t="inlineStr">
        <is>
          <t>LTM operating income</t>
        </is>
      </c>
      <c r="F257" s="83">
        <f>BDP("KO US Equity","TRAIL_12M_OPER_INC")</f>
        <v/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E258" t="inlineStr">
        <is>
          <t>LTM EBITDA</t>
        </is>
      </c>
      <c r="F258" s="83">
        <f>BDP("KO US Equity","TRAIL_12M_EBITDA")</f>
        <v/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E259" t="inlineStr">
        <is>
          <t>Total debt</t>
        </is>
      </c>
      <c r="F259" s="83">
        <f>BDP("KO US Equity","SHORT_AND_LONG_TERM_DEBT")</f>
        <v/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E260" t="inlineStr">
        <is>
          <t>Total equity</t>
        </is>
      </c>
      <c r="F260" s="83">
        <f>BDP("KO US Equity","TOTAL_EQUITY")</f>
        <v/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E261" t="inlineStr">
        <is>
          <t>Cash &amp; equivalents</t>
        </is>
      </c>
      <c r="F261" s="83">
        <f>BDP("KO US Equity","BS_CASH_NEAR_CASH_ITEM")</f>
        <v/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24Y</t>
        </is>
      </c>
      <c r="E262" t="inlineStr">
        <is>
          <t>EPS estimate FY2024</t>
        </is>
      </c>
      <c r="F262" s="83">
        <f>BDP("KO US Equity","BEST_EPS","BEST_FPERIOD_OVERRIDE","24Y")</f>
        <v/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24Y</t>
        </is>
      </c>
      <c r="E263" t="inlineStr">
        <is>
          <t>Revenue estimate FY2024</t>
        </is>
      </c>
      <c r="F263" s="83">
        <f>BDP("KO US Equity","BEST_SALES","BEST_FPERIOD_OVERRIDE","24Y")</f>
        <v/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24Y</t>
        </is>
      </c>
      <c r="E264" t="inlineStr">
        <is>
          <t>EBIT estimate FY2024</t>
        </is>
      </c>
      <c r="F264" s="83">
        <f>BDP("KO US Equity","BEST_EBIT","BEST_FPERIOD_OVERRIDE","24Y")</f>
        <v/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25Y</t>
        </is>
      </c>
      <c r="E265" t="inlineStr">
        <is>
          <t>EPS estimate FY2025</t>
        </is>
      </c>
      <c r="F265" s="83">
        <f>BDP("KO US Equity","BEST_EPS","BEST_FPERIOD_OVERRIDE","25Y")</f>
        <v/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25Y</t>
        </is>
      </c>
      <c r="E266" t="inlineStr">
        <is>
          <t>Revenue estimate FY2025</t>
        </is>
      </c>
      <c r="F266" s="83">
        <f>BDP("KO US Equity","BEST_SALES","BEST_FPERIOD_OVERRIDE","25Y")</f>
        <v/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25Y</t>
        </is>
      </c>
      <c r="E267" t="inlineStr">
        <is>
          <t>EBIT estimate FY2025</t>
        </is>
      </c>
      <c r="F267" s="83">
        <f>BDP("KO US Equity","BEST_EBIT","BEST_FPERIOD_OVERRIDE","25Y")</f>
        <v/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26Y</t>
        </is>
      </c>
      <c r="E268" t="inlineStr">
        <is>
          <t>EPS estimate FY2026</t>
        </is>
      </c>
      <c r="F268" s="83">
        <f>BDP("KO US Equity","BEST_EPS","BEST_FPERIOD_OVERRIDE","26Y")</f>
        <v/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26Y</t>
        </is>
      </c>
      <c r="E269" t="inlineStr">
        <is>
          <t>Revenue estimate FY2026</t>
        </is>
      </c>
      <c r="F269" s="83">
        <f>BDP("KO US Equity","BEST_SALES","BEST_FPERIOD_OVERRIDE","26Y")</f>
        <v/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26Y</t>
        </is>
      </c>
      <c r="E270" t="inlineStr">
        <is>
          <t>EBIT estimate FY2026</t>
        </is>
      </c>
      <c r="F270" s="83">
        <f>BDP("KO US Equity","BEST_EBIT","BEST_FPERIOD_OVERRIDE","26Y")</f>
        <v/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27Y</t>
        </is>
      </c>
      <c r="E271" t="inlineStr">
        <is>
          <t>EPS estimate FY2027</t>
        </is>
      </c>
      <c r="F271" s="83">
        <f>BDP("KO US Equity","BEST_EPS","BEST_FPERIOD_OVERRIDE","27Y")</f>
        <v/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27Y</t>
        </is>
      </c>
      <c r="E272" t="inlineStr">
        <is>
          <t>Revenue estimate FY2027</t>
        </is>
      </c>
      <c r="F272" s="83">
        <f>BDP("KO US Equity","BEST_SALES","BEST_FPERIOD_OVERRIDE","27Y")</f>
        <v/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27Y</t>
        </is>
      </c>
      <c r="E273" t="inlineStr">
        <is>
          <t>EBIT estimate FY2027</t>
        </is>
      </c>
      <c r="F273" s="83">
        <f>BDP("KO US Equity","BEST_EBIT","BEST_FPERIOD_OVERRIDE","27Y")</f>
        <v/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28Y</t>
        </is>
      </c>
      <c r="E274" t="inlineStr">
        <is>
          <t>EPS estimate FY2028</t>
        </is>
      </c>
      <c r="F274" s="83">
        <f>BDP("KO US Equity","BEST_EPS","BEST_FPERIOD_OVERRIDE","28Y")</f>
        <v/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28Y</t>
        </is>
      </c>
      <c r="E275" t="inlineStr">
        <is>
          <t>Revenue estimate FY2028</t>
        </is>
      </c>
      <c r="F275" s="83">
        <f>BDP("KO US Equity","BEST_SALES","BEST_FPERIOD_OVERRIDE","28Y")</f>
        <v/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28Y</t>
        </is>
      </c>
      <c r="E276" t="inlineStr">
        <is>
          <t>EBIT estimate FY2028</t>
        </is>
      </c>
      <c r="F276" s="83">
        <f>BDP("KO US Equity","BEST_EBIT","BEST_FPERIOD_OVERRIDE","28Y")</f>
        <v/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E277" t="inlineStr">
        <is>
          <t>Last price</t>
        </is>
      </c>
      <c r="F277" s="83">
        <f>BDP("CHD US Equity","PX_LAST")</f>
        <v/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E278" t="inlineStr">
        <is>
          <t>Market cap (raw)</t>
        </is>
      </c>
      <c r="F278" s="83">
        <f>BDP("CHD US Equity","CUR_MKT_CAP")</f>
        <v/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E279" t="inlineStr">
        <is>
          <t>YTD price change %</t>
        </is>
      </c>
      <c r="F279" s="83">
        <f>BDP("CHD US Equity","CHG_PCT_YTD")</f>
        <v/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E280" t="inlineStr">
        <is>
          <t>Net debt / EBITDA</t>
        </is>
      </c>
      <c r="F280" s="83">
        <f>BDP("CHD US Equity","NET_DEBT_TO_EBITDA")</f>
        <v/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E281" t="inlineStr">
        <is>
          <t>ROIC (LTM)</t>
        </is>
      </c>
      <c r="F281" s="83">
        <f>BDP("CHD US Equity","RETURN_ON_INV_CAPITAL")</f>
        <v/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E282" t="inlineStr">
        <is>
          <t>LTM operating income</t>
        </is>
      </c>
      <c r="F282" s="83">
        <f>BDP("CHD US Equity","TRAIL_12M_OPER_INC")</f>
        <v/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E283" t="inlineStr">
        <is>
          <t>LTM EBITDA</t>
        </is>
      </c>
      <c r="F283" s="83">
        <f>BDP("CHD US Equity","TRAIL_12M_EBITDA")</f>
        <v/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E284" t="inlineStr">
        <is>
          <t>Total debt</t>
        </is>
      </c>
      <c r="F284" s="83">
        <f>BDP("CHD US Equity","SHORT_AND_LONG_TERM_DEBT")</f>
        <v/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E285" t="inlineStr">
        <is>
          <t>Total equity</t>
        </is>
      </c>
      <c r="F285" s="83">
        <f>BDP("CHD US Equity","TOTAL_EQUITY")</f>
        <v/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E286" t="inlineStr">
        <is>
          <t>Cash &amp; equivalents</t>
        </is>
      </c>
      <c r="F286" s="83">
        <f>BDP("CHD US Equity","BS_CASH_NEAR_CASH_ITEM")</f>
        <v/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24Y</t>
        </is>
      </c>
      <c r="E287" t="inlineStr">
        <is>
          <t>EPS estimate FY2024</t>
        </is>
      </c>
      <c r="F287" s="83">
        <f>BDP("CHD US Equity","BEST_EPS","BEST_FPERIOD_OVERRIDE","24Y")</f>
        <v/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24Y</t>
        </is>
      </c>
      <c r="E288" t="inlineStr">
        <is>
          <t>Revenue estimate FY2024</t>
        </is>
      </c>
      <c r="F288" s="83">
        <f>BDP("CHD US Equity","BEST_SALES","BEST_FPERIOD_OVERRIDE","24Y")</f>
        <v/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24Y</t>
        </is>
      </c>
      <c r="E289" t="inlineStr">
        <is>
          <t>EBIT estimate FY2024</t>
        </is>
      </c>
      <c r="F289" s="83">
        <f>BDP("CHD US Equity","BEST_EBIT","BEST_FPERIOD_OVERRIDE","24Y")</f>
        <v/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25Y</t>
        </is>
      </c>
      <c r="E290" t="inlineStr">
        <is>
          <t>EPS estimate FY2025</t>
        </is>
      </c>
      <c r="F290" s="83">
        <f>BDP("CHD US Equity","BEST_EPS","BEST_FPERIOD_OVERRIDE","25Y")</f>
        <v/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25Y</t>
        </is>
      </c>
      <c r="E291" t="inlineStr">
        <is>
          <t>Revenue estimate FY2025</t>
        </is>
      </c>
      <c r="F291" s="83">
        <f>BDP("CHD US Equity","BEST_SALES","BEST_FPERIOD_OVERRIDE","25Y")</f>
        <v/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25Y</t>
        </is>
      </c>
      <c r="E292" t="inlineStr">
        <is>
          <t>EBIT estimate FY2025</t>
        </is>
      </c>
      <c r="F292" s="83">
        <f>BDP("CHD US Equity","BEST_EBIT","BEST_FPERIOD_OVERRIDE","25Y")</f>
        <v/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26Y</t>
        </is>
      </c>
      <c r="E293" t="inlineStr">
        <is>
          <t>EPS estimate FY2026</t>
        </is>
      </c>
      <c r="F293" s="83">
        <f>BDP("CHD US Equity","BEST_EPS","BEST_FPERIOD_OVERRIDE","26Y")</f>
        <v/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26Y</t>
        </is>
      </c>
      <c r="E294" t="inlineStr">
        <is>
          <t>Revenue estimate FY2026</t>
        </is>
      </c>
      <c r="F294" s="83">
        <f>BDP("CHD US Equity","BEST_SALES","BEST_FPERIOD_OVERRIDE","26Y")</f>
        <v/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26Y</t>
        </is>
      </c>
      <c r="E295" t="inlineStr">
        <is>
          <t>EBIT estimate FY2026</t>
        </is>
      </c>
      <c r="F295" s="83">
        <f>BDP("CHD US Equity","BEST_EBIT","BEST_FPERIOD_OVERRIDE","26Y")</f>
        <v/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27Y</t>
        </is>
      </c>
      <c r="E296" t="inlineStr">
        <is>
          <t>EPS estimate FY2027</t>
        </is>
      </c>
      <c r="F296" s="83">
        <f>BDP("CHD US Equity","BEST_EPS","BEST_FPERIOD_OVERRIDE","27Y")</f>
        <v/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27Y</t>
        </is>
      </c>
      <c r="E297" t="inlineStr">
        <is>
          <t>Revenue estimate FY2027</t>
        </is>
      </c>
      <c r="F297" s="83">
        <f>BDP("CHD US Equity","BEST_SALES","BEST_FPERIOD_OVERRIDE","27Y")</f>
        <v/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27Y</t>
        </is>
      </c>
      <c r="E298" t="inlineStr">
        <is>
          <t>EBIT estimate FY2027</t>
        </is>
      </c>
      <c r="F298" s="83">
        <f>BDP("CHD US Equity","BEST_EBIT","BEST_FPERIOD_OVERRIDE","27Y")</f>
        <v/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28Y</t>
        </is>
      </c>
      <c r="E299" t="inlineStr">
        <is>
          <t>EPS estimate FY2028</t>
        </is>
      </c>
      <c r="F299" s="83">
        <f>BDP("CHD US Equity","BEST_EPS","BEST_FPERIOD_OVERRIDE","28Y")</f>
        <v/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28Y</t>
        </is>
      </c>
      <c r="E300" t="inlineStr">
        <is>
          <t>Revenue estimate FY2028</t>
        </is>
      </c>
      <c r="F300" s="83">
        <f>BDP("CHD US Equity","BEST_SALES","BEST_FPERIOD_OVERRIDE","28Y")</f>
        <v/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28Y</t>
        </is>
      </c>
      <c r="E301" t="inlineStr">
        <is>
          <t>EBIT estimate FY2028</t>
        </is>
      </c>
      <c r="F301" s="83">
        <f>BDP("CHD US Equity","BEST_EBIT","BEST_FPERIOD_OVERRIDE","28Y")</f>
        <v/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E302" t="inlineStr">
        <is>
          <t>Last price</t>
        </is>
      </c>
      <c r="F302" s="83">
        <f>BDP("CL US Equity","PX_LAST")</f>
        <v/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E303" t="inlineStr">
        <is>
          <t>Market cap (raw)</t>
        </is>
      </c>
      <c r="F303" s="83">
        <f>BDP("CL US Equity","CUR_MKT_CAP")</f>
        <v/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E304" t="inlineStr">
        <is>
          <t>YTD price change %</t>
        </is>
      </c>
      <c r="F304" s="83">
        <f>BDP("CL US Equity","CHG_PCT_YTD")</f>
        <v/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E305" t="inlineStr">
        <is>
          <t>Net debt / EBITDA</t>
        </is>
      </c>
      <c r="F305" s="83">
        <f>BDP("CL US Equity","NET_DEBT_TO_EBITDA")</f>
        <v/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E306" t="inlineStr">
        <is>
          <t>ROIC (LTM)</t>
        </is>
      </c>
      <c r="F306" s="83">
        <f>BDP("CL US Equity","RETURN_ON_INV_CAPITAL")</f>
        <v/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E307" t="inlineStr">
        <is>
          <t>LTM operating income</t>
        </is>
      </c>
      <c r="F307" s="83">
        <f>BDP("CL US Equity","TRAIL_12M_OPER_INC")</f>
        <v/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E308" t="inlineStr">
        <is>
          <t>LTM EBITDA</t>
        </is>
      </c>
      <c r="F308" s="83">
        <f>BDP("CL US Equity","TRAIL_12M_EBITDA")</f>
        <v/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E309" t="inlineStr">
        <is>
          <t>Total debt</t>
        </is>
      </c>
      <c r="F309" s="83">
        <f>BDP("CL US Equity","SHORT_AND_LONG_TERM_DEBT")</f>
        <v/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E310" t="inlineStr">
        <is>
          <t>Total equity</t>
        </is>
      </c>
      <c r="F310" s="83">
        <f>BDP("CL US Equity","TOTAL_EQUITY")</f>
        <v/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E311" t="inlineStr">
        <is>
          <t>Cash &amp; equivalents</t>
        </is>
      </c>
      <c r="F311" s="83">
        <f>BDP("CL US Equity","BS_CASH_NEAR_CASH_ITEM")</f>
        <v/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24Y</t>
        </is>
      </c>
      <c r="E312" t="inlineStr">
        <is>
          <t>EPS estimate FY2024</t>
        </is>
      </c>
      <c r="F312" s="83">
        <f>BDP("CL US Equity","BEST_EPS","BEST_FPERIOD_OVERRIDE","24Y")</f>
        <v/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24Y</t>
        </is>
      </c>
      <c r="E313" t="inlineStr">
        <is>
          <t>Revenue estimate FY2024</t>
        </is>
      </c>
      <c r="F313" s="83">
        <f>BDP("CL US Equity","BEST_SALES","BEST_FPERIOD_OVERRIDE","24Y")</f>
        <v/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24Y</t>
        </is>
      </c>
      <c r="E314" t="inlineStr">
        <is>
          <t>EBIT estimate FY2024</t>
        </is>
      </c>
      <c r="F314" s="83">
        <f>BDP("CL US Equity","BEST_EBIT","BEST_FPERIOD_OVERRIDE","24Y")</f>
        <v/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25Y</t>
        </is>
      </c>
      <c r="E315" t="inlineStr">
        <is>
          <t>EPS estimate FY2025</t>
        </is>
      </c>
      <c r="F315" s="83">
        <f>BDP("CL US Equity","BEST_EPS","BEST_FPERIOD_OVERRIDE","25Y")</f>
        <v/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25Y</t>
        </is>
      </c>
      <c r="E316" t="inlineStr">
        <is>
          <t>Revenue estimate FY2025</t>
        </is>
      </c>
      <c r="F316" s="83">
        <f>BDP("CL US Equity","BEST_SALES","BEST_FPERIOD_OVERRIDE","25Y")</f>
        <v/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25Y</t>
        </is>
      </c>
      <c r="E317" t="inlineStr">
        <is>
          <t>EBIT estimate FY2025</t>
        </is>
      </c>
      <c r="F317" s="83">
        <f>BDP("CL US Equity","BEST_EBIT","BEST_FPERIOD_OVERRIDE","25Y")</f>
        <v/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26Y</t>
        </is>
      </c>
      <c r="E318" t="inlineStr">
        <is>
          <t>EPS estimate FY2026</t>
        </is>
      </c>
      <c r="F318" s="83">
        <f>BDP("CL US Equity","BEST_EPS","BEST_FPERIOD_OVERRIDE","26Y")</f>
        <v/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26Y</t>
        </is>
      </c>
      <c r="E319" t="inlineStr">
        <is>
          <t>Revenue estimate FY2026</t>
        </is>
      </c>
      <c r="F319" s="83">
        <f>BDP("CL US Equity","BEST_SALES","BEST_FPERIOD_OVERRIDE","26Y")</f>
        <v/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26Y</t>
        </is>
      </c>
      <c r="E320" t="inlineStr">
        <is>
          <t>EBIT estimate FY2026</t>
        </is>
      </c>
      <c r="F320" s="83">
        <f>BDP("CL US Equity","BEST_EBIT","BEST_FPERIOD_OVERRIDE","26Y")</f>
        <v/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27Y</t>
        </is>
      </c>
      <c r="E321" t="inlineStr">
        <is>
          <t>EPS estimate FY2027</t>
        </is>
      </c>
      <c r="F321" s="83">
        <f>BDP("CL US Equity","BEST_EPS","BEST_FPERIOD_OVERRIDE","27Y")</f>
        <v/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27Y</t>
        </is>
      </c>
      <c r="E322" t="inlineStr">
        <is>
          <t>Revenue estimate FY2027</t>
        </is>
      </c>
      <c r="F322" s="83">
        <f>BDP("CL US Equity","BEST_SALES","BEST_FPERIOD_OVERRIDE","27Y")</f>
        <v/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27Y</t>
        </is>
      </c>
      <c r="E323" t="inlineStr">
        <is>
          <t>EBIT estimate FY2027</t>
        </is>
      </c>
      <c r="F323" s="83">
        <f>BDP("CL US Equity","BEST_EBIT","BEST_FPERIOD_OVERRIDE","27Y")</f>
        <v/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28Y</t>
        </is>
      </c>
      <c r="E324" t="inlineStr">
        <is>
          <t>EPS estimate FY2028</t>
        </is>
      </c>
      <c r="F324" s="83">
        <f>BDP("CL US Equity","BEST_EPS","BEST_FPERIOD_OVERRIDE","28Y")</f>
        <v/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28Y</t>
        </is>
      </c>
      <c r="E325" t="inlineStr">
        <is>
          <t>Revenue estimate FY2028</t>
        </is>
      </c>
      <c r="F325" s="83">
        <f>BDP("CL US Equity","BEST_SALES","BEST_FPERIOD_OVERRIDE","28Y")</f>
        <v/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28Y</t>
        </is>
      </c>
      <c r="E326" t="inlineStr">
        <is>
          <t>EBIT estimate FY2028</t>
        </is>
      </c>
      <c r="F326" s="83">
        <f>BDP("CL US Equity","BEST_EBIT","BEST_FPERIOD_OVERRIDE","28Y")</f>
        <v/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E327" t="inlineStr">
        <is>
          <t>Last price</t>
        </is>
      </c>
      <c r="F327" s="83">
        <f>BDP("CLX US Equity","PX_LAST")</f>
        <v/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E328" t="inlineStr">
        <is>
          <t>Market cap (raw)</t>
        </is>
      </c>
      <c r="F328" s="83">
        <f>BDP("CLX US Equity","CUR_MKT_CAP")</f>
        <v/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E329" t="inlineStr">
        <is>
          <t>YTD price change %</t>
        </is>
      </c>
      <c r="F329" s="83">
        <f>BDP("CLX US Equity","CHG_PCT_YTD")</f>
        <v/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E330" t="inlineStr">
        <is>
          <t>Net debt / EBITDA</t>
        </is>
      </c>
      <c r="F330" s="83">
        <f>BDP("CLX US Equity","NET_DEBT_TO_EBITDA")</f>
        <v/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E331" t="inlineStr">
        <is>
          <t>ROIC (LTM)</t>
        </is>
      </c>
      <c r="F331" s="83">
        <f>BDP("CLX US Equity","RETURN_ON_INV_CAPITAL")</f>
        <v/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E332" t="inlineStr">
        <is>
          <t>LTM operating income</t>
        </is>
      </c>
      <c r="F332" s="83">
        <f>BDP("CLX US Equity","TRAIL_12M_OPER_INC")</f>
        <v/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E333" t="inlineStr">
        <is>
          <t>LTM EBITDA</t>
        </is>
      </c>
      <c r="F333" s="83">
        <f>BDP("CLX US Equity","TRAIL_12M_EBITDA")</f>
        <v/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E334" t="inlineStr">
        <is>
          <t>Total debt</t>
        </is>
      </c>
      <c r="F334" s="83">
        <f>BDP("CLX US Equity","SHORT_AND_LONG_TERM_DEBT")</f>
        <v/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E335" t="inlineStr">
        <is>
          <t>Total equity</t>
        </is>
      </c>
      <c r="F335" s="83">
        <f>BDP("CLX US Equity","TOTAL_EQUITY")</f>
        <v/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E336" t="inlineStr">
        <is>
          <t>Cash &amp; equivalents</t>
        </is>
      </c>
      <c r="F336" s="83">
        <f>BDP("CLX US Equity","BS_CASH_NEAR_CASH_ITEM")</f>
        <v/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24Y</t>
        </is>
      </c>
      <c r="E337" t="inlineStr">
        <is>
          <t>EPS estimate FY2024</t>
        </is>
      </c>
      <c r="F337" s="83">
        <f>BDP("CLX US Equity","BEST_EPS","BEST_FPERIOD_OVERRIDE","24Y")</f>
        <v/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24Y</t>
        </is>
      </c>
      <c r="E338" t="inlineStr">
        <is>
          <t>Revenue estimate FY2024</t>
        </is>
      </c>
      <c r="F338" s="83">
        <f>BDP("CLX US Equity","BEST_SALES","BEST_FPERIOD_OVERRIDE","24Y")</f>
        <v/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24Y</t>
        </is>
      </c>
      <c r="E339" t="inlineStr">
        <is>
          <t>EBIT estimate FY2024</t>
        </is>
      </c>
      <c r="F339" s="83">
        <f>BDP("CLX US Equity","BEST_EBIT","BEST_FPERIOD_OVERRIDE","24Y")</f>
        <v/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25Y</t>
        </is>
      </c>
      <c r="E340" t="inlineStr">
        <is>
          <t>EPS estimate FY2025</t>
        </is>
      </c>
      <c r="F340" s="83">
        <f>BDP("CLX US Equity","BEST_EPS","BEST_FPERIOD_OVERRIDE","25Y")</f>
        <v/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25Y</t>
        </is>
      </c>
      <c r="E341" t="inlineStr">
        <is>
          <t>Revenue estimate FY2025</t>
        </is>
      </c>
      <c r="F341" s="83">
        <f>BDP("CLX US Equity","BEST_SALES","BEST_FPERIOD_OVERRIDE","25Y")</f>
        <v/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25Y</t>
        </is>
      </c>
      <c r="E342" t="inlineStr">
        <is>
          <t>EBIT estimate FY2025</t>
        </is>
      </c>
      <c r="F342" s="83">
        <f>BDP("CLX US Equity","BEST_EBIT","BEST_FPERIOD_OVERRIDE","25Y")</f>
        <v/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26Y</t>
        </is>
      </c>
      <c r="E343" t="inlineStr">
        <is>
          <t>EPS estimate FY2026</t>
        </is>
      </c>
      <c r="F343" s="83">
        <f>BDP("CLX US Equity","BEST_EPS","BEST_FPERIOD_OVERRIDE","26Y")</f>
        <v/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26Y</t>
        </is>
      </c>
      <c r="E344" t="inlineStr">
        <is>
          <t>Revenue estimate FY2026</t>
        </is>
      </c>
      <c r="F344" s="83">
        <f>BDP("CLX US Equity","BEST_SALES","BEST_FPERIOD_OVERRIDE","26Y")</f>
        <v/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26Y</t>
        </is>
      </c>
      <c r="E345" t="inlineStr">
        <is>
          <t>EBIT estimate FY2026</t>
        </is>
      </c>
      <c r="F345" s="83">
        <f>BDP("CLX US Equity","BEST_EBIT","BEST_FPERIOD_OVERRIDE","26Y")</f>
        <v/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27Y</t>
        </is>
      </c>
      <c r="E346" t="inlineStr">
        <is>
          <t>EPS estimate FY2027</t>
        </is>
      </c>
      <c r="F346" s="83">
        <f>BDP("CLX US Equity","BEST_EPS","BEST_FPERIOD_OVERRIDE","27Y")</f>
        <v/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27Y</t>
        </is>
      </c>
      <c r="E347" t="inlineStr">
        <is>
          <t>Revenue estimate FY2027</t>
        </is>
      </c>
      <c r="F347" s="83">
        <f>BDP("CLX US Equity","BEST_SALES","BEST_FPERIOD_OVERRIDE","27Y")</f>
        <v/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27Y</t>
        </is>
      </c>
      <c r="E348" t="inlineStr">
        <is>
          <t>EBIT estimate FY2027</t>
        </is>
      </c>
      <c r="F348" s="83">
        <f>BDP("CLX US Equity","BEST_EBIT","BEST_FPERIOD_OVERRIDE","27Y")</f>
        <v/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28Y</t>
        </is>
      </c>
      <c r="E349" t="inlineStr">
        <is>
          <t>EPS estimate FY2028</t>
        </is>
      </c>
      <c r="F349" s="83">
        <f>BDP("CLX US Equity","BEST_EPS","BEST_FPERIOD_OVERRIDE","28Y")</f>
        <v/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28Y</t>
        </is>
      </c>
      <c r="E350" t="inlineStr">
        <is>
          <t>Revenue estimate FY2028</t>
        </is>
      </c>
      <c r="F350" s="83">
        <f>BDP("CLX US Equity","BEST_SALES","BEST_FPERIOD_OVERRIDE","28Y")</f>
        <v/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28Y</t>
        </is>
      </c>
      <c r="E351" t="inlineStr">
        <is>
          <t>EBIT estimate FY2028</t>
        </is>
      </c>
      <c r="F351" s="83">
        <f>BDP("CLX US Equity","BEST_EBIT","BEST_FPERIOD_OVERRIDE","28Y")</f>
        <v/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E352" t="inlineStr">
        <is>
          <t>Last price</t>
        </is>
      </c>
      <c r="F352" s="83">
        <f>BDP("KMB US Equity","PX_LAST")</f>
        <v/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E353" t="inlineStr">
        <is>
          <t>Market cap (raw)</t>
        </is>
      </c>
      <c r="F353" s="83">
        <f>BDP("KMB US Equity","CUR_MKT_CAP")</f>
        <v/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E354" t="inlineStr">
        <is>
          <t>YTD price change %</t>
        </is>
      </c>
      <c r="F354" s="83">
        <f>BDP("KMB US Equity","CHG_PCT_YTD")</f>
        <v/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E355" t="inlineStr">
        <is>
          <t>Net debt / EBITDA</t>
        </is>
      </c>
      <c r="F355" s="83">
        <f>BDP("KMB US Equity","NET_DEBT_TO_EBITDA")</f>
        <v/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E356" t="inlineStr">
        <is>
          <t>ROIC (LTM)</t>
        </is>
      </c>
      <c r="F356" s="83">
        <f>BDP("KMB US Equity","RETURN_ON_INV_CAPITAL")</f>
        <v/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E357" t="inlineStr">
        <is>
          <t>LTM operating income</t>
        </is>
      </c>
      <c r="F357" s="83">
        <f>BDP("KMB US Equity","TRAIL_12M_OPER_INC")</f>
        <v/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E358" t="inlineStr">
        <is>
          <t>LTM EBITDA</t>
        </is>
      </c>
      <c r="F358" s="83">
        <f>BDP("KMB US Equity","TRAIL_12M_EBITDA")</f>
        <v/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E359" t="inlineStr">
        <is>
          <t>Total debt</t>
        </is>
      </c>
      <c r="F359" s="83">
        <f>BDP("KMB US Equity","SHORT_AND_LONG_TERM_DEBT")</f>
        <v/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E360" t="inlineStr">
        <is>
          <t>Total equity</t>
        </is>
      </c>
      <c r="F360" s="83">
        <f>BDP("KMB US Equity","TOTAL_EQUITY")</f>
        <v/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E361" t="inlineStr">
        <is>
          <t>Cash &amp; equivalents</t>
        </is>
      </c>
      <c r="F361" s="83">
        <f>BDP("KMB US Equity","BS_CASH_NEAR_CASH_ITEM")</f>
        <v/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24Y</t>
        </is>
      </c>
      <c r="E362" t="inlineStr">
        <is>
          <t>EPS estimate FY2024</t>
        </is>
      </c>
      <c r="F362" s="83">
        <f>BDP("KMB US Equity","BEST_EPS","BEST_FPERIOD_OVERRIDE","24Y")</f>
        <v/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24Y</t>
        </is>
      </c>
      <c r="E363" t="inlineStr">
        <is>
          <t>Revenue estimate FY2024</t>
        </is>
      </c>
      <c r="F363" s="83">
        <f>BDP("KMB US Equity","BEST_SALES","BEST_FPERIOD_OVERRIDE","24Y")</f>
        <v/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24Y</t>
        </is>
      </c>
      <c r="E364" t="inlineStr">
        <is>
          <t>EBIT estimate FY2024</t>
        </is>
      </c>
      <c r="F364" s="83">
        <f>BDP("KMB US Equity","BEST_EBIT","BEST_FPERIOD_OVERRIDE","24Y")</f>
        <v/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25Y</t>
        </is>
      </c>
      <c r="E365" t="inlineStr">
        <is>
          <t>EPS estimate FY2025</t>
        </is>
      </c>
      <c r="F365" s="83">
        <f>BDP("KMB US Equity","BEST_EPS","BEST_FPERIOD_OVERRIDE","25Y")</f>
        <v/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25Y</t>
        </is>
      </c>
      <c r="E366" t="inlineStr">
        <is>
          <t>Revenue estimate FY2025</t>
        </is>
      </c>
      <c r="F366" s="83">
        <f>BDP("KMB US Equity","BEST_SALES","BEST_FPERIOD_OVERRIDE","25Y")</f>
        <v/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25Y</t>
        </is>
      </c>
      <c r="E367" t="inlineStr">
        <is>
          <t>EBIT estimate FY2025</t>
        </is>
      </c>
      <c r="F367" s="83">
        <f>BDP("KMB US Equity","BEST_EBIT","BEST_FPERIOD_OVERRIDE","25Y")</f>
        <v/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26Y</t>
        </is>
      </c>
      <c r="E368" t="inlineStr">
        <is>
          <t>EPS estimate FY2026</t>
        </is>
      </c>
      <c r="F368" s="83">
        <f>BDP("KMB US Equity","BEST_EPS","BEST_FPERIOD_OVERRIDE","26Y")</f>
        <v/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26Y</t>
        </is>
      </c>
      <c r="E369" t="inlineStr">
        <is>
          <t>Revenue estimate FY2026</t>
        </is>
      </c>
      <c r="F369" s="83">
        <f>BDP("KMB US Equity","BEST_SALES","BEST_FPERIOD_OVERRIDE","26Y")</f>
        <v/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26Y</t>
        </is>
      </c>
      <c r="E370" t="inlineStr">
        <is>
          <t>EBIT estimate FY2026</t>
        </is>
      </c>
      <c r="F370" s="83">
        <f>BDP("KMB US Equity","BEST_EBIT","BEST_FPERIOD_OVERRIDE","26Y")</f>
        <v/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27Y</t>
        </is>
      </c>
      <c r="E371" t="inlineStr">
        <is>
          <t>EPS estimate FY2027</t>
        </is>
      </c>
      <c r="F371" s="83">
        <f>BDP("KMB US Equity","BEST_EPS","BEST_FPERIOD_OVERRIDE","27Y")</f>
        <v/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27Y</t>
        </is>
      </c>
      <c r="E372" t="inlineStr">
        <is>
          <t>Revenue estimate FY2027</t>
        </is>
      </c>
      <c r="F372" s="83">
        <f>BDP("KMB US Equity","BEST_SALES","BEST_FPERIOD_OVERRIDE","27Y")</f>
        <v/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27Y</t>
        </is>
      </c>
      <c r="E373" t="inlineStr">
        <is>
          <t>EBIT estimate FY2027</t>
        </is>
      </c>
      <c r="F373" s="83">
        <f>BDP("KMB US Equity","BEST_EBIT","BEST_FPERIOD_OVERRIDE","27Y")</f>
        <v/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28Y</t>
        </is>
      </c>
      <c r="E374" t="inlineStr">
        <is>
          <t>EPS estimate FY2028</t>
        </is>
      </c>
      <c r="F374" s="83">
        <f>BDP("KMB US Equity","BEST_EPS","BEST_FPERIOD_OVERRIDE","28Y")</f>
        <v/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28Y</t>
        </is>
      </c>
      <c r="E375" t="inlineStr">
        <is>
          <t>Revenue estimate FY2028</t>
        </is>
      </c>
      <c r="F375" s="83">
        <f>BDP("KMB US Equity","BEST_SALES","BEST_FPERIOD_OVERRIDE","28Y")</f>
        <v/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28Y</t>
        </is>
      </c>
      <c r="E376" t="inlineStr">
        <is>
          <t>EBIT estimate FY2028</t>
        </is>
      </c>
      <c r="F376" s="83">
        <f>BDP("KMB US Equity","BEST_EBIT","BEST_FPERIOD_OVERRIDE","28Y")</f>
        <v/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E377" t="inlineStr">
        <is>
          <t>Last price</t>
        </is>
      </c>
      <c r="F377" s="83">
        <f>BDP("HD US Equity","PX_LAST")</f>
        <v/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E378" t="inlineStr">
        <is>
          <t>Market cap (raw)</t>
        </is>
      </c>
      <c r="F378" s="83">
        <f>BDP("HD US Equity","CUR_MKT_CAP")</f>
        <v/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E379" t="inlineStr">
        <is>
          <t>YTD price change %</t>
        </is>
      </c>
      <c r="F379" s="83">
        <f>BDP("HD US Equity","CHG_PCT_YTD")</f>
        <v/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E380" t="inlineStr">
        <is>
          <t>Net debt / EBITDA</t>
        </is>
      </c>
      <c r="F380" s="83">
        <f>BDP("HD US Equity","NET_DEBT_TO_EBITDA")</f>
        <v/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E381" t="inlineStr">
        <is>
          <t>ROIC (LTM)</t>
        </is>
      </c>
      <c r="F381" s="83">
        <f>BDP("HD US Equity","RETURN_ON_INV_CAPITAL")</f>
        <v/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E382" t="inlineStr">
        <is>
          <t>LTM operating income</t>
        </is>
      </c>
      <c r="F382" s="83">
        <f>BDP("HD US Equity","TRAIL_12M_OPER_INC")</f>
        <v/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E383" t="inlineStr">
        <is>
          <t>LTM EBITDA</t>
        </is>
      </c>
      <c r="F383" s="83">
        <f>BDP("HD US Equity","TRAIL_12M_EBITDA")</f>
        <v/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E384" t="inlineStr">
        <is>
          <t>Total debt</t>
        </is>
      </c>
      <c r="F384" s="83">
        <f>BDP("HD US Equity","SHORT_AND_LONG_TERM_DEBT")</f>
        <v/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E385" t="inlineStr">
        <is>
          <t>Total equity</t>
        </is>
      </c>
      <c r="F385" s="83">
        <f>BDP("HD US Equity","TOTAL_EQUITY")</f>
        <v/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E386" t="inlineStr">
        <is>
          <t>Cash &amp; equivalents</t>
        </is>
      </c>
      <c r="F386" s="83">
        <f>BDP("HD US Equity","BS_CASH_NEAR_CASH_ITEM")</f>
        <v/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24Y</t>
        </is>
      </c>
      <c r="E387" t="inlineStr">
        <is>
          <t>EPS estimate FY2024</t>
        </is>
      </c>
      <c r="F387" s="83">
        <f>BDP("HD US Equity","BEST_EPS","BEST_FPERIOD_OVERRIDE","24Y")</f>
        <v/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24Y</t>
        </is>
      </c>
      <c r="E388" t="inlineStr">
        <is>
          <t>Revenue estimate FY2024</t>
        </is>
      </c>
      <c r="F388" s="83">
        <f>BDP("HD US Equity","BEST_SALES","BEST_FPERIOD_OVERRIDE","24Y")</f>
        <v/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24Y</t>
        </is>
      </c>
      <c r="E389" t="inlineStr">
        <is>
          <t>EBIT estimate FY2024</t>
        </is>
      </c>
      <c r="F389" s="83">
        <f>BDP("HD US Equity","BEST_EBIT","BEST_FPERIOD_OVERRIDE","24Y")</f>
        <v/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25Y</t>
        </is>
      </c>
      <c r="E390" t="inlineStr">
        <is>
          <t>EPS estimate FY2025</t>
        </is>
      </c>
      <c r="F390" s="83">
        <f>BDP("HD US Equity","BEST_EPS","BEST_FPERIOD_OVERRIDE","25Y")</f>
        <v/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25Y</t>
        </is>
      </c>
      <c r="E391" t="inlineStr">
        <is>
          <t>Revenue estimate FY2025</t>
        </is>
      </c>
      <c r="F391" s="83">
        <f>BDP("HD US Equity","BEST_SALES","BEST_FPERIOD_OVERRIDE","25Y")</f>
        <v/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25Y</t>
        </is>
      </c>
      <c r="E392" t="inlineStr">
        <is>
          <t>EBIT estimate FY2025</t>
        </is>
      </c>
      <c r="F392" s="83">
        <f>BDP("HD US Equity","BEST_EBIT","BEST_FPERIOD_OVERRIDE","25Y")</f>
        <v/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26Y</t>
        </is>
      </c>
      <c r="E393" t="inlineStr">
        <is>
          <t>EPS estimate FY2026</t>
        </is>
      </c>
      <c r="F393" s="83">
        <f>BDP("HD US Equity","BEST_EPS","BEST_FPERIOD_OVERRIDE","26Y")</f>
        <v/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26Y</t>
        </is>
      </c>
      <c r="E394" t="inlineStr">
        <is>
          <t>Revenue estimate FY2026</t>
        </is>
      </c>
      <c r="F394" s="83">
        <f>BDP("HD US Equity","BEST_SALES","BEST_FPERIOD_OVERRIDE","26Y")</f>
        <v/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26Y</t>
        </is>
      </c>
      <c r="E395" t="inlineStr">
        <is>
          <t>EBIT estimate FY2026</t>
        </is>
      </c>
      <c r="F395" s="83">
        <f>BDP("HD US Equity","BEST_EBIT","BEST_FPERIOD_OVERRIDE","26Y")</f>
        <v/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27Y</t>
        </is>
      </c>
      <c r="E396" t="inlineStr">
        <is>
          <t>EPS estimate FY2027</t>
        </is>
      </c>
      <c r="F396" s="83">
        <f>BDP("HD US Equity","BEST_EPS","BEST_FPERIOD_OVERRIDE","27Y")</f>
        <v/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27Y</t>
        </is>
      </c>
      <c r="E397" t="inlineStr">
        <is>
          <t>Revenue estimate FY2027</t>
        </is>
      </c>
      <c r="F397" s="83">
        <f>BDP("HD US Equity","BEST_SALES","BEST_FPERIOD_OVERRIDE","27Y")</f>
        <v/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27Y</t>
        </is>
      </c>
      <c r="E398" t="inlineStr">
        <is>
          <t>EBIT estimate FY2027</t>
        </is>
      </c>
      <c r="F398" s="83">
        <f>BDP("HD US Equity","BEST_EBIT","BEST_FPERIOD_OVERRIDE","27Y")</f>
        <v/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28Y</t>
        </is>
      </c>
      <c r="E399" t="inlineStr">
        <is>
          <t>EPS estimate FY2028</t>
        </is>
      </c>
      <c r="F399" s="83">
        <f>BDP("HD US Equity","BEST_EPS","BEST_FPERIOD_OVERRIDE","28Y")</f>
        <v/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28Y</t>
        </is>
      </c>
      <c r="E400" t="inlineStr">
        <is>
          <t>Revenue estimate FY2028</t>
        </is>
      </c>
      <c r="F400" s="83">
        <f>BDP("HD US Equity","BEST_SALES","BEST_FPERIOD_OVERRIDE","28Y")</f>
        <v/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28Y</t>
        </is>
      </c>
      <c r="E401" t="inlineStr">
        <is>
          <t>EBIT estimate FY2028</t>
        </is>
      </c>
      <c r="F401" s="83">
        <f>BDP("HD US Equity","BEST_EBIT","BEST_FPERIOD_OVERRIDE","28Y")</f>
        <v/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E402" t="inlineStr">
        <is>
          <t>Last price</t>
        </is>
      </c>
      <c r="F402" s="83">
        <f>BDP("WMT US Equity","PX_LAST")</f>
        <v/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E403" t="inlineStr">
        <is>
          <t>Market cap (raw)</t>
        </is>
      </c>
      <c r="F403" s="83">
        <f>BDP("WMT US Equity","CUR_MKT_CAP")</f>
        <v/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E404" t="inlineStr">
        <is>
          <t>YTD price change %</t>
        </is>
      </c>
      <c r="F404" s="83">
        <f>BDP("WMT US Equity","CHG_PCT_YTD")</f>
        <v/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E405" t="inlineStr">
        <is>
          <t>Net debt / EBITDA</t>
        </is>
      </c>
      <c r="F405" s="83">
        <f>BDP("WMT US Equity","NET_DEBT_TO_EBITDA")</f>
        <v/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E406" t="inlineStr">
        <is>
          <t>ROIC (LTM)</t>
        </is>
      </c>
      <c r="F406" s="83">
        <f>BDP("WMT US Equity","RETURN_ON_INV_CAPITAL")</f>
        <v/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E407" t="inlineStr">
        <is>
          <t>LTM operating income</t>
        </is>
      </c>
      <c r="F407" s="83">
        <f>BDP("WMT US Equity","TRAIL_12M_OPER_INC")</f>
        <v/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E408" t="inlineStr">
        <is>
          <t>LTM EBITDA</t>
        </is>
      </c>
      <c r="F408" s="83">
        <f>BDP("WMT US Equity","TRAIL_12M_EBITDA")</f>
        <v/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E409" t="inlineStr">
        <is>
          <t>Total debt</t>
        </is>
      </c>
      <c r="F409" s="83">
        <f>BDP("WMT US Equity","SHORT_AND_LONG_TERM_DEBT")</f>
        <v/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E410" t="inlineStr">
        <is>
          <t>Total equity</t>
        </is>
      </c>
      <c r="F410" s="83">
        <f>BDP("WMT US Equity","TOTAL_EQUITY")</f>
        <v/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E411" t="inlineStr">
        <is>
          <t>Cash &amp; equivalents</t>
        </is>
      </c>
      <c r="F411" s="83">
        <f>BDP("WMT US Equity","BS_CASH_NEAR_CASH_ITEM")</f>
        <v/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24Y</t>
        </is>
      </c>
      <c r="E412" t="inlineStr">
        <is>
          <t>EPS estimate FY2024</t>
        </is>
      </c>
      <c r="F412" s="83">
        <f>BDP("WMT US Equity","BEST_EPS","BEST_FPERIOD_OVERRIDE","24Y")</f>
        <v/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24Y</t>
        </is>
      </c>
      <c r="E413" t="inlineStr">
        <is>
          <t>Revenue estimate FY2024</t>
        </is>
      </c>
      <c r="F413" s="83">
        <f>BDP("WMT US Equity","BEST_SALES","BEST_FPERIOD_OVERRIDE","24Y")</f>
        <v/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24Y</t>
        </is>
      </c>
      <c r="E414" t="inlineStr">
        <is>
          <t>EBIT estimate FY2024</t>
        </is>
      </c>
      <c r="F414" s="83">
        <f>BDP("WMT US Equity","BEST_EBIT","BEST_FPERIOD_OVERRIDE","24Y")</f>
        <v/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25Y</t>
        </is>
      </c>
      <c r="E415" t="inlineStr">
        <is>
          <t>EPS estimate FY2025</t>
        </is>
      </c>
      <c r="F415" s="83">
        <f>BDP("WMT US Equity","BEST_EPS","BEST_FPERIOD_OVERRIDE","25Y")</f>
        <v/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25Y</t>
        </is>
      </c>
      <c r="E416" t="inlineStr">
        <is>
          <t>Revenue estimate FY2025</t>
        </is>
      </c>
      <c r="F416" s="83">
        <f>BDP("WMT US Equity","BEST_SALES","BEST_FPERIOD_OVERRIDE","25Y")</f>
        <v/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25Y</t>
        </is>
      </c>
      <c r="E417" t="inlineStr">
        <is>
          <t>EBIT estimate FY2025</t>
        </is>
      </c>
      <c r="F417" s="83">
        <f>BDP("WMT US Equity","BEST_EBIT","BEST_FPERIOD_OVERRIDE","25Y")</f>
        <v/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26Y</t>
        </is>
      </c>
      <c r="E418" t="inlineStr">
        <is>
          <t>EPS estimate FY2026</t>
        </is>
      </c>
      <c r="F418" s="83">
        <f>BDP("WMT US Equity","BEST_EPS","BEST_FPERIOD_OVERRIDE","26Y")</f>
        <v/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26Y</t>
        </is>
      </c>
      <c r="E419" t="inlineStr">
        <is>
          <t>Revenue estimate FY2026</t>
        </is>
      </c>
      <c r="F419" s="83">
        <f>BDP("WMT US Equity","BEST_SALES","BEST_FPERIOD_OVERRIDE","26Y")</f>
        <v/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26Y</t>
        </is>
      </c>
      <c r="E420" t="inlineStr">
        <is>
          <t>EBIT estimate FY2026</t>
        </is>
      </c>
      <c r="F420" s="83">
        <f>BDP("WMT US Equity","BEST_EBIT","BEST_FPERIOD_OVERRIDE","26Y")</f>
        <v/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27Y</t>
        </is>
      </c>
      <c r="E421" t="inlineStr">
        <is>
          <t>EPS estimate FY2027</t>
        </is>
      </c>
      <c r="F421" s="83">
        <f>BDP("WMT US Equity","BEST_EPS","BEST_FPERIOD_OVERRIDE","27Y")</f>
        <v/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27Y</t>
        </is>
      </c>
      <c r="E422" t="inlineStr">
        <is>
          <t>Revenue estimate FY2027</t>
        </is>
      </c>
      <c r="F422" s="83">
        <f>BDP("WMT US Equity","BEST_SALES","BEST_FPERIOD_OVERRIDE","27Y")</f>
        <v/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27Y</t>
        </is>
      </c>
      <c r="E423" t="inlineStr">
        <is>
          <t>EBIT estimate FY2027</t>
        </is>
      </c>
      <c r="F423" s="83">
        <f>BDP("WMT US Equity","BEST_EBIT","BEST_FPERIOD_OVERRIDE","27Y")</f>
        <v/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28Y</t>
        </is>
      </c>
      <c r="E424" t="inlineStr">
        <is>
          <t>EPS estimate FY2028</t>
        </is>
      </c>
      <c r="F424" s="83">
        <f>BDP("WMT US Equity","BEST_EPS","BEST_FPERIOD_OVERRIDE","28Y")</f>
        <v/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28Y</t>
        </is>
      </c>
      <c r="E425" t="inlineStr">
        <is>
          <t>Revenue estimate FY2028</t>
        </is>
      </c>
      <c r="F425" s="83">
        <f>BDP("WMT US Equity","BEST_SALES","BEST_FPERIOD_OVERRIDE","28Y")</f>
        <v/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28Y</t>
        </is>
      </c>
      <c r="E426" t="inlineStr">
        <is>
          <t>EBIT estimate FY2028</t>
        </is>
      </c>
      <c r="F426" s="83">
        <f>BDP("WMT US Equity","BEST_EBIT","BEST_FPERIOD_OVERRIDE","28Y")</f>
        <v/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E427" t="inlineStr">
        <is>
          <t>Last price</t>
        </is>
      </c>
      <c r="F427" s="83">
        <f>BDP("ADP US Equity","PX_LAST")</f>
        <v/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E428" t="inlineStr">
        <is>
          <t>Market cap (raw)</t>
        </is>
      </c>
      <c r="F428" s="83">
        <f>BDP("ADP US Equity","CUR_MKT_CAP")</f>
        <v/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E429" t="inlineStr">
        <is>
          <t>YTD price change %</t>
        </is>
      </c>
      <c r="F429" s="83">
        <f>BDP("ADP US Equity","CHG_PCT_YTD")</f>
        <v/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E430" t="inlineStr">
        <is>
          <t>Net debt / EBITDA</t>
        </is>
      </c>
      <c r="F430" s="83">
        <f>BDP("ADP US Equity","NET_DEBT_TO_EBITDA")</f>
        <v/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E431" t="inlineStr">
        <is>
          <t>ROIC (LTM)</t>
        </is>
      </c>
      <c r="F431" s="83">
        <f>BDP("ADP US Equity","RETURN_ON_INV_CAPITAL")</f>
        <v/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E432" t="inlineStr">
        <is>
          <t>LTM operating income</t>
        </is>
      </c>
      <c r="F432" s="83">
        <f>BDP("ADP US Equity","TRAIL_12M_OPER_INC")</f>
        <v/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E433" t="inlineStr">
        <is>
          <t>LTM EBITDA</t>
        </is>
      </c>
      <c r="F433" s="83">
        <f>BDP("ADP US Equity","TRAIL_12M_EBITDA")</f>
        <v/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E434" t="inlineStr">
        <is>
          <t>Total debt</t>
        </is>
      </c>
      <c r="F434" s="83">
        <f>BDP("ADP US Equity","SHORT_AND_LONG_TERM_DEBT")</f>
        <v/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E435" t="inlineStr">
        <is>
          <t>Total equity</t>
        </is>
      </c>
      <c r="F435" s="83">
        <f>BDP("ADP US Equity","TOTAL_EQUITY")</f>
        <v/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E436" t="inlineStr">
        <is>
          <t>Cash &amp; equivalents</t>
        </is>
      </c>
      <c r="F436" s="83">
        <f>BDP("ADP US Equity","BS_CASH_NEAR_CASH_ITEM")</f>
        <v/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24Y</t>
        </is>
      </c>
      <c r="E437" t="inlineStr">
        <is>
          <t>EPS estimate FY2024</t>
        </is>
      </c>
      <c r="F437" s="83">
        <f>BDP("ADP US Equity","BEST_EPS","BEST_FPERIOD_OVERRIDE","24Y")</f>
        <v/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24Y</t>
        </is>
      </c>
      <c r="E438" t="inlineStr">
        <is>
          <t>Revenue estimate FY2024</t>
        </is>
      </c>
      <c r="F438" s="83">
        <f>BDP("ADP US Equity","BEST_SALES","BEST_FPERIOD_OVERRIDE","24Y")</f>
        <v/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24Y</t>
        </is>
      </c>
      <c r="E439" t="inlineStr">
        <is>
          <t>EBIT estimate FY2024</t>
        </is>
      </c>
      <c r="F439" s="83">
        <f>BDP("ADP US Equity","BEST_EBIT","BEST_FPERIOD_OVERRIDE","24Y")</f>
        <v/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25Y</t>
        </is>
      </c>
      <c r="E440" t="inlineStr">
        <is>
          <t>EPS estimate FY2025</t>
        </is>
      </c>
      <c r="F440" s="83">
        <f>BDP("ADP US Equity","BEST_EPS","BEST_FPERIOD_OVERRIDE","25Y")</f>
        <v/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25Y</t>
        </is>
      </c>
      <c r="E441" t="inlineStr">
        <is>
          <t>Revenue estimate FY2025</t>
        </is>
      </c>
      <c r="F441" s="83">
        <f>BDP("ADP US Equity","BEST_SALES","BEST_FPERIOD_OVERRIDE","25Y")</f>
        <v/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25Y</t>
        </is>
      </c>
      <c r="E442" t="inlineStr">
        <is>
          <t>EBIT estimate FY2025</t>
        </is>
      </c>
      <c r="F442" s="83">
        <f>BDP("ADP US Equity","BEST_EBIT","BEST_FPERIOD_OVERRIDE","25Y")</f>
        <v/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26Y</t>
        </is>
      </c>
      <c r="E443" t="inlineStr">
        <is>
          <t>EPS estimate FY2026</t>
        </is>
      </c>
      <c r="F443" s="83">
        <f>BDP("ADP US Equity","BEST_EPS","BEST_FPERIOD_OVERRIDE","26Y")</f>
        <v/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26Y</t>
        </is>
      </c>
      <c r="E444" t="inlineStr">
        <is>
          <t>Revenue estimate FY2026</t>
        </is>
      </c>
      <c r="F444" s="83">
        <f>BDP("ADP US Equity","BEST_SALES","BEST_FPERIOD_OVERRIDE","26Y")</f>
        <v/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26Y</t>
        </is>
      </c>
      <c r="E445" t="inlineStr">
        <is>
          <t>EBIT estimate FY2026</t>
        </is>
      </c>
      <c r="F445" s="83">
        <f>BDP("ADP US Equity","BEST_EBIT","BEST_FPERIOD_OVERRIDE","26Y")</f>
        <v/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27Y</t>
        </is>
      </c>
      <c r="E446" t="inlineStr">
        <is>
          <t>EPS estimate FY2027</t>
        </is>
      </c>
      <c r="F446" s="83">
        <f>BDP("ADP US Equity","BEST_EPS","BEST_FPERIOD_OVERRIDE","27Y")</f>
        <v/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27Y</t>
        </is>
      </c>
      <c r="E447" t="inlineStr">
        <is>
          <t>Revenue estimate FY2027</t>
        </is>
      </c>
      <c r="F447" s="83">
        <f>BDP("ADP US Equity","BEST_SALES","BEST_FPERIOD_OVERRIDE","27Y")</f>
        <v/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27Y</t>
        </is>
      </c>
      <c r="E448" t="inlineStr">
        <is>
          <t>EBIT estimate FY2027</t>
        </is>
      </c>
      <c r="F448" s="83">
        <f>BDP("ADP US Equity","BEST_EBIT","BEST_FPERIOD_OVERRIDE","27Y")</f>
        <v/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28Y</t>
        </is>
      </c>
      <c r="E449" t="inlineStr">
        <is>
          <t>EPS estimate FY2028</t>
        </is>
      </c>
      <c r="F449" s="83">
        <f>BDP("ADP US Equity","BEST_EPS","BEST_FPERIOD_OVERRIDE","28Y")</f>
        <v/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28Y</t>
        </is>
      </c>
      <c r="E450" t="inlineStr">
        <is>
          <t>Revenue estimate FY2028</t>
        </is>
      </c>
      <c r="F450" s="83">
        <f>BDP("ADP US Equity","BEST_SALES","BEST_FPERIOD_OVERRIDE","28Y")</f>
        <v/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28Y</t>
        </is>
      </c>
      <c r="E451" t="inlineStr">
        <is>
          <t>EBIT estimate FY2028</t>
        </is>
      </c>
      <c r="F451" s="83">
        <f>BDP("ADP US Equity","BEST_EBIT","BEST_FPERIOD_OVERRIDE","28Y")</f>
        <v/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E452" t="inlineStr">
        <is>
          <t>Last price</t>
        </is>
      </c>
      <c r="F452" s="83">
        <f>BDP("IBM US Equity","PX_LAST")</f>
        <v/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E453" t="inlineStr">
        <is>
          <t>Market cap (raw)</t>
        </is>
      </c>
      <c r="F453" s="83">
        <f>BDP("IBM US Equity","CUR_MKT_CAP")</f>
        <v/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E454" t="inlineStr">
        <is>
          <t>YTD price change %</t>
        </is>
      </c>
      <c r="F454" s="83">
        <f>BDP("IBM US Equity","CHG_PCT_YTD")</f>
        <v/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E455" t="inlineStr">
        <is>
          <t>Net debt / EBITDA</t>
        </is>
      </c>
      <c r="F455" s="83">
        <f>BDP("IBM US Equity","NET_DEBT_TO_EBITDA")</f>
        <v/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E456" t="inlineStr">
        <is>
          <t>ROIC (LTM)</t>
        </is>
      </c>
      <c r="F456" s="83">
        <f>BDP("IBM US Equity","RETURN_ON_INV_CAPITAL")</f>
        <v/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E457" t="inlineStr">
        <is>
          <t>LTM operating income</t>
        </is>
      </c>
      <c r="F457" s="83">
        <f>BDP("IBM US Equity","TRAIL_12M_OPER_INC")</f>
        <v/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E458" t="inlineStr">
        <is>
          <t>LTM EBITDA</t>
        </is>
      </c>
      <c r="F458" s="83">
        <f>BDP("IBM US Equity","TRAIL_12M_EBITDA")</f>
        <v/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E459" t="inlineStr">
        <is>
          <t>Total debt</t>
        </is>
      </c>
      <c r="F459" s="83">
        <f>BDP("IBM US Equity","SHORT_AND_LONG_TERM_DEBT")</f>
        <v/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E460" t="inlineStr">
        <is>
          <t>Total equity</t>
        </is>
      </c>
      <c r="F460" s="83">
        <f>BDP("IBM US Equity","TOTAL_EQUITY")</f>
        <v/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E461" t="inlineStr">
        <is>
          <t>Cash &amp; equivalents</t>
        </is>
      </c>
      <c r="F461" s="83">
        <f>BDP("IBM US Equity","BS_CASH_NEAR_CASH_ITEM")</f>
        <v/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24Y</t>
        </is>
      </c>
      <c r="E462" t="inlineStr">
        <is>
          <t>EPS estimate FY2024</t>
        </is>
      </c>
      <c r="F462" s="83">
        <f>BDP("IBM US Equity","BEST_EPS","BEST_FPERIOD_OVERRIDE","24Y")</f>
        <v/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24Y</t>
        </is>
      </c>
      <c r="E463" t="inlineStr">
        <is>
          <t>Revenue estimate FY2024</t>
        </is>
      </c>
      <c r="F463" s="83">
        <f>BDP("IBM US Equity","BEST_SALES","BEST_FPERIOD_OVERRIDE","24Y")</f>
        <v/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24Y</t>
        </is>
      </c>
      <c r="E464" t="inlineStr">
        <is>
          <t>EBIT estimate FY2024</t>
        </is>
      </c>
      <c r="F464" s="83">
        <f>BDP("IBM US Equity","BEST_EBIT","BEST_FPERIOD_OVERRIDE","24Y")</f>
        <v/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25Y</t>
        </is>
      </c>
      <c r="E465" t="inlineStr">
        <is>
          <t>EPS estimate FY2025</t>
        </is>
      </c>
      <c r="F465" s="83">
        <f>BDP("IBM US Equity","BEST_EPS","BEST_FPERIOD_OVERRIDE","25Y")</f>
        <v/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25Y</t>
        </is>
      </c>
      <c r="E466" t="inlineStr">
        <is>
          <t>Revenue estimate FY2025</t>
        </is>
      </c>
      <c r="F466" s="83">
        <f>BDP("IBM US Equity","BEST_SALES","BEST_FPERIOD_OVERRIDE","25Y")</f>
        <v/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25Y</t>
        </is>
      </c>
      <c r="E467" t="inlineStr">
        <is>
          <t>EBIT estimate FY2025</t>
        </is>
      </c>
      <c r="F467" s="83">
        <f>BDP("IBM US Equity","BEST_EBIT","BEST_FPERIOD_OVERRIDE","25Y")</f>
        <v/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26Y</t>
        </is>
      </c>
      <c r="E468" t="inlineStr">
        <is>
          <t>EPS estimate FY2026</t>
        </is>
      </c>
      <c r="F468" s="83">
        <f>BDP("IBM US Equity","BEST_EPS","BEST_FPERIOD_OVERRIDE","26Y")</f>
        <v/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26Y</t>
        </is>
      </c>
      <c r="E469" t="inlineStr">
        <is>
          <t>Revenue estimate FY2026</t>
        </is>
      </c>
      <c r="F469" s="83">
        <f>BDP("IBM US Equity","BEST_SALES","BEST_FPERIOD_OVERRIDE","26Y")</f>
        <v/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26Y</t>
        </is>
      </c>
      <c r="E470" t="inlineStr">
        <is>
          <t>EBIT estimate FY2026</t>
        </is>
      </c>
      <c r="F470" s="83">
        <f>BDP("IBM US Equity","BEST_EBIT","BEST_FPERIOD_OVERRIDE","26Y")</f>
        <v/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27Y</t>
        </is>
      </c>
      <c r="E471" t="inlineStr">
        <is>
          <t>EPS estimate FY2027</t>
        </is>
      </c>
      <c r="F471" s="83">
        <f>BDP("IBM US Equity","BEST_EPS","BEST_FPERIOD_OVERRIDE","27Y")</f>
        <v/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27Y</t>
        </is>
      </c>
      <c r="E472" t="inlineStr">
        <is>
          <t>Revenue estimate FY2027</t>
        </is>
      </c>
      <c r="F472" s="83">
        <f>BDP("IBM US Equity","BEST_SALES","BEST_FPERIOD_OVERRIDE","27Y")</f>
        <v/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27Y</t>
        </is>
      </c>
      <c r="E473" t="inlineStr">
        <is>
          <t>EBIT estimate FY2027</t>
        </is>
      </c>
      <c r="F473" s="83">
        <f>BDP("IBM US Equity","BEST_EBIT","BEST_FPERIOD_OVERRIDE","27Y")</f>
        <v/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28Y</t>
        </is>
      </c>
      <c r="E474" t="inlineStr">
        <is>
          <t>EPS estimate FY2028</t>
        </is>
      </c>
      <c r="F474" s="83">
        <f>BDP("IBM US Equity","BEST_EPS","BEST_FPERIOD_OVERRIDE","28Y")</f>
        <v/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28Y</t>
        </is>
      </c>
      <c r="E475" t="inlineStr">
        <is>
          <t>Revenue estimate FY2028</t>
        </is>
      </c>
      <c r="F475" s="83">
        <f>BDP("IBM US Equity","BEST_SALES","BEST_FPERIOD_OVERRIDE","28Y")</f>
        <v/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28Y</t>
        </is>
      </c>
      <c r="E476" t="inlineStr">
        <is>
          <t>EBIT estimate FY2028</t>
        </is>
      </c>
      <c r="F476" s="83">
        <f>BDP("IBM US Equity","BEST_EBIT","BEST_FPERIOD_OVERRIDE","28Y")</f>
        <v/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E477" t="inlineStr">
        <is>
          <t>Last price</t>
        </is>
      </c>
      <c r="F477" s="83">
        <f>BDP("MCD US Equity","PX_LAST")</f>
        <v/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E478" t="inlineStr">
        <is>
          <t>Market cap (raw)</t>
        </is>
      </c>
      <c r="F478" s="83">
        <f>BDP("MCD US Equity","CUR_MKT_CAP")</f>
        <v/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E479" t="inlineStr">
        <is>
          <t>YTD price change %</t>
        </is>
      </c>
      <c r="F479" s="83">
        <f>BDP("MCD US Equity","CHG_PCT_YTD")</f>
        <v/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E480" t="inlineStr">
        <is>
          <t>Net debt / EBITDA</t>
        </is>
      </c>
      <c r="F480" s="83">
        <f>BDP("MCD US Equity","NET_DEBT_TO_EBITDA")</f>
        <v/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E481" t="inlineStr">
        <is>
          <t>ROIC (LTM)</t>
        </is>
      </c>
      <c r="F481" s="83">
        <f>BDP("MCD US Equity","RETURN_ON_INV_CAPITAL")</f>
        <v/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E482" t="inlineStr">
        <is>
          <t>LTM operating income</t>
        </is>
      </c>
      <c r="F482" s="83">
        <f>BDP("MCD US Equity","TRAIL_12M_OPER_INC")</f>
        <v/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E483" t="inlineStr">
        <is>
          <t>LTM EBITDA</t>
        </is>
      </c>
      <c r="F483" s="83">
        <f>BDP("MCD US Equity","TRAIL_12M_EBITDA")</f>
        <v/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E484" t="inlineStr">
        <is>
          <t>Total debt</t>
        </is>
      </c>
      <c r="F484" s="83">
        <f>BDP("MCD US Equity","SHORT_AND_LONG_TERM_DEBT")</f>
        <v/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E485" t="inlineStr">
        <is>
          <t>Total equity</t>
        </is>
      </c>
      <c r="F485" s="83">
        <f>BDP("MCD US Equity","TOTAL_EQUITY")</f>
        <v/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E486" t="inlineStr">
        <is>
          <t>Cash &amp; equivalents</t>
        </is>
      </c>
      <c r="F486" s="83">
        <f>BDP("MCD US Equity","BS_CASH_NEAR_CASH_ITEM")</f>
        <v/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24Y</t>
        </is>
      </c>
      <c r="E487" t="inlineStr">
        <is>
          <t>EPS estimate FY2024</t>
        </is>
      </c>
      <c r="F487" s="83">
        <f>BDP("MCD US Equity","BEST_EPS","BEST_FPERIOD_OVERRIDE","24Y")</f>
        <v/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24Y</t>
        </is>
      </c>
      <c r="E488" t="inlineStr">
        <is>
          <t>Revenue estimate FY2024</t>
        </is>
      </c>
      <c r="F488" s="83">
        <f>BDP("MCD US Equity","BEST_SALES","BEST_FPERIOD_OVERRIDE","24Y")</f>
        <v/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24Y</t>
        </is>
      </c>
      <c r="E489" t="inlineStr">
        <is>
          <t>EBIT estimate FY2024</t>
        </is>
      </c>
      <c r="F489" s="83">
        <f>BDP("MCD US Equity","BEST_EBIT","BEST_FPERIOD_OVERRIDE","24Y")</f>
        <v/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25Y</t>
        </is>
      </c>
      <c r="E490" t="inlineStr">
        <is>
          <t>EPS estimate FY2025</t>
        </is>
      </c>
      <c r="F490" s="83">
        <f>BDP("MCD US Equity","BEST_EPS","BEST_FPERIOD_OVERRIDE","25Y")</f>
        <v/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25Y</t>
        </is>
      </c>
      <c r="E491" t="inlineStr">
        <is>
          <t>Revenue estimate FY2025</t>
        </is>
      </c>
      <c r="F491" s="83">
        <f>BDP("MCD US Equity","BEST_SALES","BEST_FPERIOD_OVERRIDE","25Y")</f>
        <v/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25Y</t>
        </is>
      </c>
      <c r="E492" t="inlineStr">
        <is>
          <t>EBIT estimate FY2025</t>
        </is>
      </c>
      <c r="F492" s="83">
        <f>BDP("MCD US Equity","BEST_EBIT","BEST_FPERIOD_OVERRIDE","25Y")</f>
        <v/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26Y</t>
        </is>
      </c>
      <c r="E493" t="inlineStr">
        <is>
          <t>EPS estimate FY2026</t>
        </is>
      </c>
      <c r="F493" s="83">
        <f>BDP("MCD US Equity","BEST_EPS","BEST_FPERIOD_OVERRIDE","26Y")</f>
        <v/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26Y</t>
        </is>
      </c>
      <c r="E494" t="inlineStr">
        <is>
          <t>Revenue estimate FY2026</t>
        </is>
      </c>
      <c r="F494" s="83">
        <f>BDP("MCD US Equity","BEST_SALES","BEST_FPERIOD_OVERRIDE","26Y")</f>
        <v/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26Y</t>
        </is>
      </c>
      <c r="E495" t="inlineStr">
        <is>
          <t>EBIT estimate FY2026</t>
        </is>
      </c>
      <c r="F495" s="83">
        <f>BDP("MCD US Equity","BEST_EBIT","BEST_FPERIOD_OVERRIDE","26Y")</f>
        <v/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27Y</t>
        </is>
      </c>
      <c r="E496" t="inlineStr">
        <is>
          <t>EPS estimate FY2027</t>
        </is>
      </c>
      <c r="F496" s="83">
        <f>BDP("MCD US Equity","BEST_EPS","BEST_FPERIOD_OVERRIDE","27Y")</f>
        <v/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27Y</t>
        </is>
      </c>
      <c r="E497" t="inlineStr">
        <is>
          <t>Revenue estimate FY2027</t>
        </is>
      </c>
      <c r="F497" s="83">
        <f>BDP("MCD US Equity","BEST_SALES","BEST_FPERIOD_OVERRIDE","27Y")</f>
        <v/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27Y</t>
        </is>
      </c>
      <c r="E498" t="inlineStr">
        <is>
          <t>EBIT estimate FY2027</t>
        </is>
      </c>
      <c r="F498" s="83">
        <f>BDP("MCD US Equity","BEST_EBIT","BEST_FPERIOD_OVERRIDE","27Y")</f>
        <v/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28Y</t>
        </is>
      </c>
      <c r="E499" t="inlineStr">
        <is>
          <t>EPS estimate FY2028</t>
        </is>
      </c>
      <c r="F499" s="83">
        <f>BDP("MCD US Equity","BEST_EPS","BEST_FPERIOD_OVERRIDE","28Y")</f>
        <v/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28Y</t>
        </is>
      </c>
      <c r="E500" t="inlineStr">
        <is>
          <t>Revenue estimate FY2028</t>
        </is>
      </c>
      <c r="F500" s="83">
        <f>BDP("MCD US Equity","BEST_SALES","BEST_FPERIOD_OVERRIDE","28Y")</f>
        <v/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28Y</t>
        </is>
      </c>
      <c r="E501" t="inlineStr">
        <is>
          <t>EBIT estimate FY2028</t>
        </is>
      </c>
      <c r="F501" s="83">
        <f>BDP("MCD US Equity","BEST_EBIT","BEST_FPERIOD_OVERRIDE","28Y")</f>
        <v/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E502" t="inlineStr">
        <is>
          <t>Last price</t>
        </is>
      </c>
      <c r="F502" s="83">
        <f>BDP("HON US Equity","PX_LAST")</f>
        <v/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E503" t="inlineStr">
        <is>
          <t>Market cap (raw)</t>
        </is>
      </c>
      <c r="F503" s="83">
        <f>BDP("HON US Equity","CUR_MKT_CAP")</f>
        <v/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E504" t="inlineStr">
        <is>
          <t>YTD price change %</t>
        </is>
      </c>
      <c r="F504" s="83">
        <f>BDP("HON US Equity","CHG_PCT_YTD")</f>
        <v/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E505" t="inlineStr">
        <is>
          <t>Net debt / EBITDA</t>
        </is>
      </c>
      <c r="F505" s="83">
        <f>BDP("HON US Equity","NET_DEBT_TO_EBITDA")</f>
        <v/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E506" t="inlineStr">
        <is>
          <t>ROIC (LTM)</t>
        </is>
      </c>
      <c r="F506" s="83">
        <f>BDP("HON US Equity","RETURN_ON_INV_CAPITAL")</f>
        <v/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E507" t="inlineStr">
        <is>
          <t>LTM operating income</t>
        </is>
      </c>
      <c r="F507" s="83">
        <f>BDP("HON US Equity","TRAIL_12M_OPER_INC")</f>
        <v/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E508" t="inlineStr">
        <is>
          <t>LTM EBITDA</t>
        </is>
      </c>
      <c r="F508" s="83">
        <f>BDP("HON US Equity","TRAIL_12M_EBITDA")</f>
        <v/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E509" t="inlineStr">
        <is>
          <t>Total debt</t>
        </is>
      </c>
      <c r="F509" s="83">
        <f>BDP("HON US Equity","SHORT_AND_LONG_TERM_DEBT")</f>
        <v/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E510" t="inlineStr">
        <is>
          <t>Total equity</t>
        </is>
      </c>
      <c r="F510" s="83">
        <f>BDP("HON US Equity","TOTAL_EQUITY")</f>
        <v/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E511" t="inlineStr">
        <is>
          <t>Cash &amp; equivalents</t>
        </is>
      </c>
      <c r="F511" s="83">
        <f>BDP("HON US Equity","BS_CASH_NEAR_CASH_ITEM")</f>
        <v/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24Y</t>
        </is>
      </c>
      <c r="E512" t="inlineStr">
        <is>
          <t>EPS estimate FY2024</t>
        </is>
      </c>
      <c r="F512" s="83">
        <f>BDP("HON US Equity","BEST_EPS","BEST_FPERIOD_OVERRIDE","24Y")</f>
        <v/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24Y</t>
        </is>
      </c>
      <c r="E513" t="inlineStr">
        <is>
          <t>Revenue estimate FY2024</t>
        </is>
      </c>
      <c r="F513" s="83">
        <f>BDP("HON US Equity","BEST_SALES","BEST_FPERIOD_OVERRIDE","24Y")</f>
        <v/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24Y</t>
        </is>
      </c>
      <c r="E514" t="inlineStr">
        <is>
          <t>EBIT estimate FY2024</t>
        </is>
      </c>
      <c r="F514" s="83">
        <f>BDP("HON US Equity","BEST_EBIT","BEST_FPERIOD_OVERRIDE","24Y")</f>
        <v/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25Y</t>
        </is>
      </c>
      <c r="E515" t="inlineStr">
        <is>
          <t>EPS estimate FY2025</t>
        </is>
      </c>
      <c r="F515" s="83">
        <f>BDP("HON US Equity","BEST_EPS","BEST_FPERIOD_OVERRIDE","25Y")</f>
        <v/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25Y</t>
        </is>
      </c>
      <c r="E516" t="inlineStr">
        <is>
          <t>Revenue estimate FY2025</t>
        </is>
      </c>
      <c r="F516" s="83">
        <f>BDP("HON US Equity","BEST_SALES","BEST_FPERIOD_OVERRIDE","25Y")</f>
        <v/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25Y</t>
        </is>
      </c>
      <c r="E517" t="inlineStr">
        <is>
          <t>EBIT estimate FY2025</t>
        </is>
      </c>
      <c r="F517" s="83">
        <f>BDP("HON US Equity","BEST_EBIT","BEST_FPERIOD_OVERRIDE","25Y")</f>
        <v/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26Y</t>
        </is>
      </c>
      <c r="E518" t="inlineStr">
        <is>
          <t>EPS estimate FY2026</t>
        </is>
      </c>
      <c r="F518" s="83">
        <f>BDP("HON US Equity","BEST_EPS","BEST_FPERIOD_OVERRIDE","26Y")</f>
        <v/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26Y</t>
        </is>
      </c>
      <c r="E519" t="inlineStr">
        <is>
          <t>Revenue estimate FY2026</t>
        </is>
      </c>
      <c r="F519" s="83">
        <f>BDP("HON US Equity","BEST_SALES","BEST_FPERIOD_OVERRIDE","26Y")</f>
        <v/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26Y</t>
        </is>
      </c>
      <c r="E520" t="inlineStr">
        <is>
          <t>EBIT estimate FY2026</t>
        </is>
      </c>
      <c r="F520" s="83">
        <f>BDP("HON US Equity","BEST_EBIT","BEST_FPERIOD_OVERRIDE","26Y")</f>
        <v/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27Y</t>
        </is>
      </c>
      <c r="E521" t="inlineStr">
        <is>
          <t>EPS estimate FY2027</t>
        </is>
      </c>
      <c r="F521" s="83">
        <f>BDP("HON US Equity","BEST_EPS","BEST_FPERIOD_OVERRIDE","27Y")</f>
        <v/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27Y</t>
        </is>
      </c>
      <c r="E522" t="inlineStr">
        <is>
          <t>Revenue estimate FY2027</t>
        </is>
      </c>
      <c r="F522" s="83">
        <f>BDP("HON US Equity","BEST_SALES","BEST_FPERIOD_OVERRIDE","27Y")</f>
        <v/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27Y</t>
        </is>
      </c>
      <c r="E523" t="inlineStr">
        <is>
          <t>EBIT estimate FY2027</t>
        </is>
      </c>
      <c r="F523" s="83">
        <f>BDP("HON US Equity","BEST_EBIT","BEST_FPERIOD_OVERRIDE","27Y")</f>
        <v/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28Y</t>
        </is>
      </c>
      <c r="E524" t="inlineStr">
        <is>
          <t>EPS estimate FY2028</t>
        </is>
      </c>
      <c r="F524" s="83">
        <f>BDP("HON US Equity","BEST_EPS","BEST_FPERIOD_OVERRIDE","28Y")</f>
        <v/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28Y</t>
        </is>
      </c>
      <c r="E525" t="inlineStr">
        <is>
          <t>Revenue estimate FY2028</t>
        </is>
      </c>
      <c r="F525" s="83">
        <f>BDP("HON US Equity","BEST_SALES","BEST_FPERIOD_OVERRIDE","28Y")</f>
        <v/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28Y</t>
        </is>
      </c>
      <c r="E526" t="inlineStr">
        <is>
          <t>EBIT estimate FY2028</t>
        </is>
      </c>
      <c r="F526" s="83">
        <f>BDP("HON US Equity","BEST_EBIT","BEST_FPERIOD_OVERRIDE","28Y")</f>
        <v/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E527" t="inlineStr">
        <is>
          <t>Last price</t>
        </is>
      </c>
      <c r="F527" s="83">
        <f>BDP("SBUX US Equity","PX_LAST")</f>
        <v/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E528" t="inlineStr">
        <is>
          <t>Market cap (raw)</t>
        </is>
      </c>
      <c r="F528" s="83">
        <f>BDP("SBUX US Equity","CUR_MKT_CAP")</f>
        <v/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E529" t="inlineStr">
        <is>
          <t>YTD price change %</t>
        </is>
      </c>
      <c r="F529" s="83">
        <f>BDP("SBUX US Equity","CHG_PCT_YTD")</f>
        <v/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E530" t="inlineStr">
        <is>
          <t>Net debt / EBITDA</t>
        </is>
      </c>
      <c r="F530" s="83">
        <f>BDP("SBUX US Equity","NET_DEBT_TO_EBITDA")</f>
        <v/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E531" t="inlineStr">
        <is>
          <t>ROIC (LTM)</t>
        </is>
      </c>
      <c r="F531" s="83">
        <f>BDP("SBUX US Equity","RETURN_ON_INV_CAPITAL")</f>
        <v/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E532" t="inlineStr">
        <is>
          <t>LTM operating income</t>
        </is>
      </c>
      <c r="F532" s="83">
        <f>BDP("SBUX US Equity","TRAIL_12M_OPER_INC")</f>
        <v/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E533" t="inlineStr">
        <is>
          <t>LTM EBITDA</t>
        </is>
      </c>
      <c r="F533" s="83">
        <f>BDP("SBUX US Equity","TRAIL_12M_EBITDA")</f>
        <v/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E534" t="inlineStr">
        <is>
          <t>Total debt</t>
        </is>
      </c>
      <c r="F534" s="83">
        <f>BDP("SBUX US Equity","SHORT_AND_LONG_TERM_DEBT")</f>
        <v/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E535" t="inlineStr">
        <is>
          <t>Total equity</t>
        </is>
      </c>
      <c r="F535" s="83">
        <f>BDP("SBUX US Equity","TOTAL_EQUITY")</f>
        <v/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E536" t="inlineStr">
        <is>
          <t>Cash &amp; equivalents</t>
        </is>
      </c>
      <c r="F536" s="83">
        <f>BDP("SBUX US Equity","BS_CASH_NEAR_CASH_ITEM")</f>
        <v/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24Y</t>
        </is>
      </c>
      <c r="E537" t="inlineStr">
        <is>
          <t>EPS estimate FY2024</t>
        </is>
      </c>
      <c r="F537" s="83">
        <f>BDP("SBUX US Equity","BEST_EPS","BEST_FPERIOD_OVERRIDE","24Y")</f>
        <v/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24Y</t>
        </is>
      </c>
      <c r="E538" t="inlineStr">
        <is>
          <t>Revenue estimate FY2024</t>
        </is>
      </c>
      <c r="F538" s="83">
        <f>BDP("SBUX US Equity","BEST_SALES","BEST_FPERIOD_OVERRIDE","24Y")</f>
        <v/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24Y</t>
        </is>
      </c>
      <c r="E539" t="inlineStr">
        <is>
          <t>EBIT estimate FY2024</t>
        </is>
      </c>
      <c r="F539" s="83">
        <f>BDP("SBUX US Equity","BEST_EBIT","BEST_FPERIOD_OVERRIDE","24Y")</f>
        <v/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25Y</t>
        </is>
      </c>
      <c r="E540" t="inlineStr">
        <is>
          <t>EPS estimate FY2025</t>
        </is>
      </c>
      <c r="F540" s="83">
        <f>BDP("SBUX US Equity","BEST_EPS","BEST_FPERIOD_OVERRIDE","25Y")</f>
        <v/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25Y</t>
        </is>
      </c>
      <c r="E541" t="inlineStr">
        <is>
          <t>Revenue estimate FY2025</t>
        </is>
      </c>
      <c r="F541" s="83">
        <f>BDP("SBUX US Equity","BEST_SALES","BEST_FPERIOD_OVERRIDE","25Y")</f>
        <v/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25Y</t>
        </is>
      </c>
      <c r="E542" t="inlineStr">
        <is>
          <t>EBIT estimate FY2025</t>
        </is>
      </c>
      <c r="F542" s="83">
        <f>BDP("SBUX US Equity","BEST_EBIT","BEST_FPERIOD_OVERRIDE","25Y")</f>
        <v/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26Y</t>
        </is>
      </c>
      <c r="E543" t="inlineStr">
        <is>
          <t>EPS estimate FY2026</t>
        </is>
      </c>
      <c r="F543" s="83">
        <f>BDP("SBUX US Equity","BEST_EPS","BEST_FPERIOD_OVERRIDE","26Y")</f>
        <v/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26Y</t>
        </is>
      </c>
      <c r="E544" t="inlineStr">
        <is>
          <t>Revenue estimate FY2026</t>
        </is>
      </c>
      <c r="F544" s="83">
        <f>BDP("SBUX US Equity","BEST_SALES","BEST_FPERIOD_OVERRIDE","26Y")</f>
        <v/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26Y</t>
        </is>
      </c>
      <c r="E545" t="inlineStr">
        <is>
          <t>EBIT estimate FY2026</t>
        </is>
      </c>
      <c r="F545" s="83">
        <f>BDP("SBUX US Equity","BEST_EBIT","BEST_FPERIOD_OVERRIDE","26Y")</f>
        <v/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27Y</t>
        </is>
      </c>
      <c r="E546" t="inlineStr">
        <is>
          <t>EPS estimate FY2027</t>
        </is>
      </c>
      <c r="F546" s="83">
        <f>BDP("SBUX US Equity","BEST_EPS","BEST_FPERIOD_OVERRIDE","27Y")</f>
        <v/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27Y</t>
        </is>
      </c>
      <c r="E547" t="inlineStr">
        <is>
          <t>Revenue estimate FY2027</t>
        </is>
      </c>
      <c r="F547" s="83">
        <f>BDP("SBUX US Equity","BEST_SALES","BEST_FPERIOD_OVERRIDE","27Y")</f>
        <v/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27Y</t>
        </is>
      </c>
      <c r="E548" t="inlineStr">
        <is>
          <t>EBIT estimate FY2027</t>
        </is>
      </c>
      <c r="F548" s="83">
        <f>BDP("SBUX US Equity","BEST_EBIT","BEST_FPERIOD_OVERRIDE","27Y")</f>
        <v/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28Y</t>
        </is>
      </c>
      <c r="E549" t="inlineStr">
        <is>
          <t>EPS estimate FY2028</t>
        </is>
      </c>
      <c r="F549" s="83">
        <f>BDP("SBUX US Equity","BEST_EPS","BEST_FPERIOD_OVERRIDE","28Y")</f>
        <v/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28Y</t>
        </is>
      </c>
      <c r="E550" t="inlineStr">
        <is>
          <t>Revenue estimate FY2028</t>
        </is>
      </c>
      <c r="F550" s="83">
        <f>BDP("SBUX US Equity","BEST_SALES","BEST_FPERIOD_OVERRIDE","28Y")</f>
        <v/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28Y</t>
        </is>
      </c>
      <c r="E551" t="inlineStr">
        <is>
          <t>EBIT estimate FY2028</t>
        </is>
      </c>
      <c r="F551" s="83">
        <f>BDP("SBUX US Equity","BEST_EBIT","BEST_FPERIOD_OVERRIDE","28Y")</f>
        <v/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E552" t="inlineStr">
        <is>
          <t>Last price</t>
        </is>
      </c>
      <c r="F552" s="83">
        <f>BDP("NKE US Equity","PX_LAST")</f>
        <v/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E553" t="inlineStr">
        <is>
          <t>Market cap (raw)</t>
        </is>
      </c>
      <c r="F553" s="83">
        <f>BDP("NKE US Equity","CUR_MKT_CAP")</f>
        <v/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E554" t="inlineStr">
        <is>
          <t>YTD price change %</t>
        </is>
      </c>
      <c r="F554" s="83">
        <f>BDP("NKE US Equity","CHG_PCT_YTD")</f>
        <v/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E555" t="inlineStr">
        <is>
          <t>Net debt / EBITDA</t>
        </is>
      </c>
      <c r="F555" s="83">
        <f>BDP("NKE US Equity","NET_DEBT_TO_EBITDA")</f>
        <v/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E556" t="inlineStr">
        <is>
          <t>ROIC (LTM)</t>
        </is>
      </c>
      <c r="F556" s="83">
        <f>BDP("NKE US Equity","RETURN_ON_INV_CAPITAL")</f>
        <v/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E557" t="inlineStr">
        <is>
          <t>LTM operating income</t>
        </is>
      </c>
      <c r="F557" s="83">
        <f>BDP("NKE US Equity","TRAIL_12M_OPER_INC")</f>
        <v/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E558" t="inlineStr">
        <is>
          <t>LTM EBITDA</t>
        </is>
      </c>
      <c r="F558" s="83">
        <f>BDP("NKE US Equity","TRAIL_12M_EBITDA")</f>
        <v/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E559" t="inlineStr">
        <is>
          <t>Total debt</t>
        </is>
      </c>
      <c r="F559" s="83">
        <f>BDP("NKE US Equity","SHORT_AND_LONG_TERM_DEBT")</f>
        <v/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E560" t="inlineStr">
        <is>
          <t>Total equity</t>
        </is>
      </c>
      <c r="F560" s="83">
        <f>BDP("NKE US Equity","TOTAL_EQUITY")</f>
        <v/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E561" t="inlineStr">
        <is>
          <t>Cash &amp; equivalents</t>
        </is>
      </c>
      <c r="F561" s="83">
        <f>BDP("NKE US Equity","BS_CASH_NEAR_CASH_ITEM")</f>
        <v/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24Y</t>
        </is>
      </c>
      <c r="E562" t="inlineStr">
        <is>
          <t>EPS estimate FY2024</t>
        </is>
      </c>
      <c r="F562" s="83">
        <f>BDP("NKE US Equity","BEST_EPS","BEST_FPERIOD_OVERRIDE","24Y")</f>
        <v/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24Y</t>
        </is>
      </c>
      <c r="E563" t="inlineStr">
        <is>
          <t>Revenue estimate FY2024</t>
        </is>
      </c>
      <c r="F563" s="83">
        <f>BDP("NKE US Equity","BEST_SALES","BEST_FPERIOD_OVERRIDE","24Y")</f>
        <v/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24Y</t>
        </is>
      </c>
      <c r="E564" t="inlineStr">
        <is>
          <t>EBIT estimate FY2024</t>
        </is>
      </c>
      <c r="F564" s="83">
        <f>BDP("NKE US Equity","BEST_EBIT","BEST_FPERIOD_OVERRIDE","24Y")</f>
        <v/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25Y</t>
        </is>
      </c>
      <c r="E565" t="inlineStr">
        <is>
          <t>EPS estimate FY2025</t>
        </is>
      </c>
      <c r="F565" s="83">
        <f>BDP("NKE US Equity","BEST_EPS","BEST_FPERIOD_OVERRIDE","25Y")</f>
        <v/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25Y</t>
        </is>
      </c>
      <c r="E566" t="inlineStr">
        <is>
          <t>Revenue estimate FY2025</t>
        </is>
      </c>
      <c r="F566" s="83">
        <f>BDP("NKE US Equity","BEST_SALES","BEST_FPERIOD_OVERRIDE","25Y")</f>
        <v/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25Y</t>
        </is>
      </c>
      <c r="E567" t="inlineStr">
        <is>
          <t>EBIT estimate FY2025</t>
        </is>
      </c>
      <c r="F567" s="83">
        <f>BDP("NKE US Equity","BEST_EBIT","BEST_FPERIOD_OVERRIDE","25Y")</f>
        <v/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26Y</t>
        </is>
      </c>
      <c r="E568" t="inlineStr">
        <is>
          <t>EPS estimate FY2026</t>
        </is>
      </c>
      <c r="F568" s="83">
        <f>BDP("NKE US Equity","BEST_EPS","BEST_FPERIOD_OVERRIDE","26Y")</f>
        <v/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26Y</t>
        </is>
      </c>
      <c r="E569" t="inlineStr">
        <is>
          <t>Revenue estimate FY2026</t>
        </is>
      </c>
      <c r="F569" s="83">
        <f>BDP("NKE US Equity","BEST_SALES","BEST_FPERIOD_OVERRIDE","26Y")</f>
        <v/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26Y</t>
        </is>
      </c>
      <c r="E570" t="inlineStr">
        <is>
          <t>EBIT estimate FY2026</t>
        </is>
      </c>
      <c r="F570" s="83">
        <f>BDP("NKE US Equity","BEST_EBIT","BEST_FPERIOD_OVERRIDE","26Y")</f>
        <v/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27Y</t>
        </is>
      </c>
      <c r="E571" t="inlineStr">
        <is>
          <t>EPS estimate FY2027</t>
        </is>
      </c>
      <c r="F571" s="83">
        <f>BDP("NKE US Equity","BEST_EPS","BEST_FPERIOD_OVERRIDE","27Y")</f>
        <v/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27Y</t>
        </is>
      </c>
      <c r="E572" t="inlineStr">
        <is>
          <t>Revenue estimate FY2027</t>
        </is>
      </c>
      <c r="F572" s="83">
        <f>BDP("NKE US Equity","BEST_SALES","BEST_FPERIOD_OVERRIDE","27Y")</f>
        <v/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27Y</t>
        </is>
      </c>
      <c r="E573" t="inlineStr">
        <is>
          <t>EBIT estimate FY2027</t>
        </is>
      </c>
      <c r="F573" s="83">
        <f>BDP("NKE US Equity","BEST_EBIT","BEST_FPERIOD_OVERRIDE","27Y")</f>
        <v/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28Y</t>
        </is>
      </c>
      <c r="E574" t="inlineStr">
        <is>
          <t>EPS estimate FY2028</t>
        </is>
      </c>
      <c r="F574" s="83">
        <f>BDP("NKE US Equity","BEST_EPS","BEST_FPERIOD_OVERRIDE","28Y")</f>
        <v/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28Y</t>
        </is>
      </c>
      <c r="E575" t="inlineStr">
        <is>
          <t>Revenue estimate FY2028</t>
        </is>
      </c>
      <c r="F575" s="83">
        <f>BDP("NKE US Equity","BEST_SALES","BEST_FPERIOD_OVERRIDE","28Y")</f>
        <v/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28Y</t>
        </is>
      </c>
      <c r="E576" t="inlineStr">
        <is>
          <t>EBIT estimate FY2028</t>
        </is>
      </c>
      <c r="F576" s="83">
        <f>BDP("NKE US Equity","BEST_EBIT","BEST_FPERIOD_OVERRIDE","28Y")</f>
        <v/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E577" t="inlineStr">
        <is>
          <t>Last price</t>
        </is>
      </c>
      <c r="F577" s="83">
        <f>BDP("UNP US Equity","PX_LAST")</f>
        <v/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E578" t="inlineStr">
        <is>
          <t>Market cap (raw)</t>
        </is>
      </c>
      <c r="F578" s="83">
        <f>BDP("UNP US Equity","CUR_MKT_CAP")</f>
        <v/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E579" t="inlineStr">
        <is>
          <t>YTD price change %</t>
        </is>
      </c>
      <c r="F579" s="83">
        <f>BDP("UNP US Equity","CHG_PCT_YTD")</f>
        <v/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E580" t="inlineStr">
        <is>
          <t>Net debt / EBITDA</t>
        </is>
      </c>
      <c r="F580" s="83">
        <f>BDP("UNP US Equity","NET_DEBT_TO_EBITDA")</f>
        <v/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E581" t="inlineStr">
        <is>
          <t>ROIC (LTM)</t>
        </is>
      </c>
      <c r="F581" s="83">
        <f>BDP("UNP US Equity","RETURN_ON_INV_CAPITAL")</f>
        <v/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E582" t="inlineStr">
        <is>
          <t>LTM operating income</t>
        </is>
      </c>
      <c r="F582" s="83">
        <f>BDP("UNP US Equity","TRAIL_12M_OPER_INC")</f>
        <v/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E583" t="inlineStr">
        <is>
          <t>LTM EBITDA</t>
        </is>
      </c>
      <c r="F583" s="83">
        <f>BDP("UNP US Equity","TRAIL_12M_EBITDA")</f>
        <v/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E584" t="inlineStr">
        <is>
          <t>Total debt</t>
        </is>
      </c>
      <c r="F584" s="83">
        <f>BDP("UNP US Equity","SHORT_AND_LONG_TERM_DEBT")</f>
        <v/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E585" t="inlineStr">
        <is>
          <t>Total equity</t>
        </is>
      </c>
      <c r="F585" s="83">
        <f>BDP("UNP US Equity","TOTAL_EQUITY")</f>
        <v/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E586" t="inlineStr">
        <is>
          <t>Cash &amp; equivalents</t>
        </is>
      </c>
      <c r="F586" s="83">
        <f>BDP("UNP US Equity","BS_CASH_NEAR_CASH_ITEM")</f>
        <v/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24Y</t>
        </is>
      </c>
      <c r="E587" t="inlineStr">
        <is>
          <t>EPS estimate FY2024</t>
        </is>
      </c>
      <c r="F587" s="83">
        <f>BDP("UNP US Equity","BEST_EPS","BEST_FPERIOD_OVERRIDE","24Y")</f>
        <v/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24Y</t>
        </is>
      </c>
      <c r="E588" t="inlineStr">
        <is>
          <t>Revenue estimate FY2024</t>
        </is>
      </c>
      <c r="F588" s="83">
        <f>BDP("UNP US Equity","BEST_SALES","BEST_FPERIOD_OVERRIDE","24Y")</f>
        <v/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24Y</t>
        </is>
      </c>
      <c r="E589" t="inlineStr">
        <is>
          <t>EBIT estimate FY2024</t>
        </is>
      </c>
      <c r="F589" s="83">
        <f>BDP("UNP US Equity","BEST_EBIT","BEST_FPERIOD_OVERRIDE","24Y")</f>
        <v/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25Y</t>
        </is>
      </c>
      <c r="E590" t="inlineStr">
        <is>
          <t>EPS estimate FY2025</t>
        </is>
      </c>
      <c r="F590" s="83">
        <f>BDP("UNP US Equity","BEST_EPS","BEST_FPERIOD_OVERRIDE","25Y")</f>
        <v/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25Y</t>
        </is>
      </c>
      <c r="E591" t="inlineStr">
        <is>
          <t>Revenue estimate FY2025</t>
        </is>
      </c>
      <c r="F591" s="83">
        <f>BDP("UNP US Equity","BEST_SALES","BEST_FPERIOD_OVERRIDE","25Y")</f>
        <v/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25Y</t>
        </is>
      </c>
      <c r="E592" t="inlineStr">
        <is>
          <t>EBIT estimate FY2025</t>
        </is>
      </c>
      <c r="F592" s="83">
        <f>BDP("UNP US Equity","BEST_EBIT","BEST_FPERIOD_OVERRIDE","25Y")</f>
        <v/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26Y</t>
        </is>
      </c>
      <c r="E593" t="inlineStr">
        <is>
          <t>EPS estimate FY2026</t>
        </is>
      </c>
      <c r="F593" s="83">
        <f>BDP("UNP US Equity","BEST_EPS","BEST_FPERIOD_OVERRIDE","26Y")</f>
        <v/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26Y</t>
        </is>
      </c>
      <c r="E594" t="inlineStr">
        <is>
          <t>Revenue estimate FY2026</t>
        </is>
      </c>
      <c r="F594" s="83">
        <f>BDP("UNP US Equity","BEST_SALES","BEST_FPERIOD_OVERRIDE","26Y")</f>
        <v/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26Y</t>
        </is>
      </c>
      <c r="E595" t="inlineStr">
        <is>
          <t>EBIT estimate FY2026</t>
        </is>
      </c>
      <c r="F595" s="83">
        <f>BDP("UNP US Equity","BEST_EBIT","BEST_FPERIOD_OVERRIDE","26Y")</f>
        <v/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27Y</t>
        </is>
      </c>
      <c r="E596" t="inlineStr">
        <is>
          <t>EPS estimate FY2027</t>
        </is>
      </c>
      <c r="F596" s="83">
        <f>BDP("UNP US Equity","BEST_EPS","BEST_FPERIOD_OVERRIDE","27Y")</f>
        <v/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27Y</t>
        </is>
      </c>
      <c r="E597" t="inlineStr">
        <is>
          <t>Revenue estimate FY2027</t>
        </is>
      </c>
      <c r="F597" s="83">
        <f>BDP("UNP US Equity","BEST_SALES","BEST_FPERIOD_OVERRIDE","27Y")</f>
        <v/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27Y</t>
        </is>
      </c>
      <c r="E598" t="inlineStr">
        <is>
          <t>EBIT estimate FY2027</t>
        </is>
      </c>
      <c r="F598" s="83">
        <f>BDP("UNP US Equity","BEST_EBIT","BEST_FPERIOD_OVERRIDE","27Y")</f>
        <v/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28Y</t>
        </is>
      </c>
      <c r="E599" t="inlineStr">
        <is>
          <t>EPS estimate FY2028</t>
        </is>
      </c>
      <c r="F599" s="83">
        <f>BDP("UNP US Equity","BEST_EPS","BEST_FPERIOD_OVERRIDE","28Y")</f>
        <v/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28Y</t>
        </is>
      </c>
      <c r="E600" t="inlineStr">
        <is>
          <t>Revenue estimate FY2028</t>
        </is>
      </c>
      <c r="F600" s="83">
        <f>BDP("UNP US Equity","BEST_SALES","BEST_FPERIOD_OVERRIDE","28Y")</f>
        <v/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28Y</t>
        </is>
      </c>
      <c r="E601" t="inlineStr">
        <is>
          <t>EBIT estimate FY2028</t>
        </is>
      </c>
      <c r="F601" s="83">
        <f>BDP("UNP US Equity","BEST_EBIT","BEST_FPERIOD_OVERRIDE","28Y")</f>
        <v/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E602" t="inlineStr">
        <is>
          <t>Last price</t>
        </is>
      </c>
      <c r="F602" s="83">
        <f>BDP("ETN US Equity","PX_LAST")</f>
        <v/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E603" t="inlineStr">
        <is>
          <t>Market cap (raw)</t>
        </is>
      </c>
      <c r="F603" s="83">
        <f>BDP("ETN US Equity","CUR_MKT_CAP")</f>
        <v/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E604" t="inlineStr">
        <is>
          <t>YTD price change %</t>
        </is>
      </c>
      <c r="F604" s="83">
        <f>BDP("ETN US Equity","CHG_PCT_YTD")</f>
        <v/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E605" t="inlineStr">
        <is>
          <t>Net debt / EBITDA</t>
        </is>
      </c>
      <c r="F605" s="83">
        <f>BDP("ETN US Equity","NET_DEBT_TO_EBITDA")</f>
        <v/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E606" t="inlineStr">
        <is>
          <t>ROIC (LTM)</t>
        </is>
      </c>
      <c r="F606" s="83">
        <f>BDP("ETN US Equity","RETURN_ON_INV_CAPITAL")</f>
        <v/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E607" t="inlineStr">
        <is>
          <t>LTM operating income</t>
        </is>
      </c>
      <c r="F607" s="83">
        <f>BDP("ETN US Equity","TRAIL_12M_OPER_INC")</f>
        <v/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E608" t="inlineStr">
        <is>
          <t>LTM EBITDA</t>
        </is>
      </c>
      <c r="F608" s="83">
        <f>BDP("ETN US Equity","TRAIL_12M_EBITDA")</f>
        <v/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E609" t="inlineStr">
        <is>
          <t>Total debt</t>
        </is>
      </c>
      <c r="F609" s="83">
        <f>BDP("ETN US Equity","SHORT_AND_LONG_TERM_DEBT")</f>
        <v/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E610" t="inlineStr">
        <is>
          <t>Total equity</t>
        </is>
      </c>
      <c r="F610" s="83">
        <f>BDP("ETN US Equity","TOTAL_EQUITY")</f>
        <v/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E611" t="inlineStr">
        <is>
          <t>Cash &amp; equivalents</t>
        </is>
      </c>
      <c r="F611" s="83">
        <f>BDP("ETN US Equity","BS_CASH_NEAR_CASH_ITEM")</f>
        <v/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24Y</t>
        </is>
      </c>
      <c r="E612" t="inlineStr">
        <is>
          <t>EPS estimate FY2024</t>
        </is>
      </c>
      <c r="F612" s="83">
        <f>BDP("ETN US Equity","BEST_EPS","BEST_FPERIOD_OVERRIDE","24Y")</f>
        <v/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24Y</t>
        </is>
      </c>
      <c r="E613" t="inlineStr">
        <is>
          <t>Revenue estimate FY2024</t>
        </is>
      </c>
      <c r="F613" s="83">
        <f>BDP("ETN US Equity","BEST_SALES","BEST_FPERIOD_OVERRIDE","24Y")</f>
        <v/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24Y</t>
        </is>
      </c>
      <c r="E614" t="inlineStr">
        <is>
          <t>EBIT estimate FY2024</t>
        </is>
      </c>
      <c r="F614" s="83">
        <f>BDP("ETN US Equity","BEST_EBIT","BEST_FPERIOD_OVERRIDE","24Y")</f>
        <v/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25Y</t>
        </is>
      </c>
      <c r="E615" t="inlineStr">
        <is>
          <t>EPS estimate FY2025</t>
        </is>
      </c>
      <c r="F615" s="83">
        <f>BDP("ETN US Equity","BEST_EPS","BEST_FPERIOD_OVERRIDE","25Y")</f>
        <v/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25Y</t>
        </is>
      </c>
      <c r="E616" t="inlineStr">
        <is>
          <t>Revenue estimate FY2025</t>
        </is>
      </c>
      <c r="F616" s="83">
        <f>BDP("ETN US Equity","BEST_SALES","BEST_FPERIOD_OVERRIDE","25Y")</f>
        <v/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25Y</t>
        </is>
      </c>
      <c r="E617" t="inlineStr">
        <is>
          <t>EBIT estimate FY2025</t>
        </is>
      </c>
      <c r="F617" s="83">
        <f>BDP("ETN US Equity","BEST_EBIT","BEST_FPERIOD_OVERRIDE","25Y")</f>
        <v/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26Y</t>
        </is>
      </c>
      <c r="E618" t="inlineStr">
        <is>
          <t>EPS estimate FY2026</t>
        </is>
      </c>
      <c r="F618" s="83">
        <f>BDP("ETN US Equity","BEST_EPS","BEST_FPERIOD_OVERRIDE","26Y")</f>
        <v/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26Y</t>
        </is>
      </c>
      <c r="E619" t="inlineStr">
        <is>
          <t>Revenue estimate FY2026</t>
        </is>
      </c>
      <c r="F619" s="83">
        <f>BDP("ETN US Equity","BEST_SALES","BEST_FPERIOD_OVERRIDE","26Y")</f>
        <v/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26Y</t>
        </is>
      </c>
      <c r="E620" t="inlineStr">
        <is>
          <t>EBIT estimate FY2026</t>
        </is>
      </c>
      <c r="F620" s="83">
        <f>BDP("ETN US Equity","BEST_EBIT","BEST_FPERIOD_OVERRIDE","26Y")</f>
        <v/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27Y</t>
        </is>
      </c>
      <c r="E621" t="inlineStr">
        <is>
          <t>EPS estimate FY2027</t>
        </is>
      </c>
      <c r="F621" s="83">
        <f>BDP("ETN US Equity","BEST_EPS","BEST_FPERIOD_OVERRIDE","27Y")</f>
        <v/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27Y</t>
        </is>
      </c>
      <c r="E622" t="inlineStr">
        <is>
          <t>Revenue estimate FY2027</t>
        </is>
      </c>
      <c r="F622" s="83">
        <f>BDP("ETN US Equity","BEST_SALES","BEST_FPERIOD_OVERRIDE","27Y")</f>
        <v/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27Y</t>
        </is>
      </c>
      <c r="E623" t="inlineStr">
        <is>
          <t>EBIT estimate FY2027</t>
        </is>
      </c>
      <c r="F623" s="83">
        <f>BDP("ETN US Equity","BEST_EBIT","BEST_FPERIOD_OVERRIDE","27Y")</f>
        <v/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28Y</t>
        </is>
      </c>
      <c r="E624" t="inlineStr">
        <is>
          <t>EPS estimate FY2028</t>
        </is>
      </c>
      <c r="F624" s="83">
        <f>BDP("ETN US Equity","BEST_EPS","BEST_FPERIOD_OVERRIDE","28Y")</f>
        <v/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28Y</t>
        </is>
      </c>
      <c r="E625" t="inlineStr">
        <is>
          <t>Revenue estimate FY2028</t>
        </is>
      </c>
      <c r="F625" s="83">
        <f>BDP("ETN US Equity","BEST_SALES","BEST_FPERIOD_OVERRIDE","28Y")</f>
        <v/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28Y</t>
        </is>
      </c>
      <c r="E626" t="inlineStr">
        <is>
          <t>EBIT estimate FY2028</t>
        </is>
      </c>
      <c r="F626" s="83">
        <f>BDP("ETN US Equity","BEST_EBIT","BEST_FPERIOD_OVERRIDE","28Y")</f>
        <v/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E627" t="inlineStr">
        <is>
          <t>Last price</t>
        </is>
      </c>
      <c r="F627" s="83">
        <f>BDP("HCA US Equity","PX_LAST")</f>
        <v/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E628" t="inlineStr">
        <is>
          <t>Market cap (raw)</t>
        </is>
      </c>
      <c r="F628" s="83">
        <f>BDP("HCA US Equity","CUR_MKT_CAP")</f>
        <v/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E629" t="inlineStr">
        <is>
          <t>YTD price change %</t>
        </is>
      </c>
      <c r="F629" s="83">
        <f>BDP("HCA US Equity","CHG_PCT_YTD")</f>
        <v/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E630" t="inlineStr">
        <is>
          <t>Net debt / EBITDA</t>
        </is>
      </c>
      <c r="F630" s="83">
        <f>BDP("HCA US Equity","NET_DEBT_TO_EBITDA")</f>
        <v/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E631" t="inlineStr">
        <is>
          <t>ROIC (LTM)</t>
        </is>
      </c>
      <c r="F631" s="83">
        <f>BDP("HCA US Equity","RETURN_ON_INV_CAPITAL")</f>
        <v/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E632" t="inlineStr">
        <is>
          <t>LTM operating income</t>
        </is>
      </c>
      <c r="F632" s="83">
        <f>BDP("HCA US Equity","TRAIL_12M_OPER_INC")</f>
        <v/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E633" t="inlineStr">
        <is>
          <t>LTM EBITDA</t>
        </is>
      </c>
      <c r="F633" s="83">
        <f>BDP("HCA US Equity","TRAIL_12M_EBITDA")</f>
        <v/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E634" t="inlineStr">
        <is>
          <t>Total debt</t>
        </is>
      </c>
      <c r="F634" s="83">
        <f>BDP("HCA US Equity","SHORT_AND_LONG_TERM_DEBT")</f>
        <v/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E635" t="inlineStr">
        <is>
          <t>Total equity</t>
        </is>
      </c>
      <c r="F635" s="83">
        <f>BDP("HCA US Equity","TOTAL_EQUITY")</f>
        <v/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E636" t="inlineStr">
        <is>
          <t>Cash &amp; equivalents</t>
        </is>
      </c>
      <c r="F636" s="83">
        <f>BDP("HCA US Equity","BS_CASH_NEAR_CASH_ITEM")</f>
        <v/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24Y</t>
        </is>
      </c>
      <c r="E637" t="inlineStr">
        <is>
          <t>EPS estimate FY2024</t>
        </is>
      </c>
      <c r="F637" s="83">
        <f>BDP("HCA US Equity","BEST_EPS","BEST_FPERIOD_OVERRIDE","24Y")</f>
        <v/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24Y</t>
        </is>
      </c>
      <c r="E638" t="inlineStr">
        <is>
          <t>Revenue estimate FY2024</t>
        </is>
      </c>
      <c r="F638" s="83">
        <f>BDP("HCA US Equity","BEST_SALES","BEST_FPERIOD_OVERRIDE","24Y")</f>
        <v/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24Y</t>
        </is>
      </c>
      <c r="E639" t="inlineStr">
        <is>
          <t>EBIT estimate FY2024</t>
        </is>
      </c>
      <c r="F639" s="83">
        <f>BDP("HCA US Equity","BEST_EBIT","BEST_FPERIOD_OVERRIDE","24Y")</f>
        <v/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25Y</t>
        </is>
      </c>
      <c r="E640" t="inlineStr">
        <is>
          <t>EPS estimate FY2025</t>
        </is>
      </c>
      <c r="F640" s="83">
        <f>BDP("HCA US Equity","BEST_EPS","BEST_FPERIOD_OVERRIDE","25Y")</f>
        <v/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25Y</t>
        </is>
      </c>
      <c r="E641" t="inlineStr">
        <is>
          <t>Revenue estimate FY2025</t>
        </is>
      </c>
      <c r="F641" s="83">
        <f>BDP("HCA US Equity","BEST_SALES","BEST_FPERIOD_OVERRIDE","25Y")</f>
        <v/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25Y</t>
        </is>
      </c>
      <c r="E642" t="inlineStr">
        <is>
          <t>EBIT estimate FY2025</t>
        </is>
      </c>
      <c r="F642" s="83">
        <f>BDP("HCA US Equity","BEST_EBIT","BEST_FPERIOD_OVERRIDE","25Y")</f>
        <v/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26Y</t>
        </is>
      </c>
      <c r="E643" t="inlineStr">
        <is>
          <t>EPS estimate FY2026</t>
        </is>
      </c>
      <c r="F643" s="83">
        <f>BDP("HCA US Equity","BEST_EPS","BEST_FPERIOD_OVERRIDE","26Y")</f>
        <v/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26Y</t>
        </is>
      </c>
      <c r="E644" t="inlineStr">
        <is>
          <t>Revenue estimate FY2026</t>
        </is>
      </c>
      <c r="F644" s="83">
        <f>BDP("HCA US Equity","BEST_SALES","BEST_FPERIOD_OVERRIDE","26Y")</f>
        <v/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26Y</t>
        </is>
      </c>
      <c r="E645" t="inlineStr">
        <is>
          <t>EBIT estimate FY2026</t>
        </is>
      </c>
      <c r="F645" s="83">
        <f>BDP("HCA US Equity","BEST_EBIT","BEST_FPERIOD_OVERRIDE","26Y")</f>
        <v/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27Y</t>
        </is>
      </c>
      <c r="E646" t="inlineStr">
        <is>
          <t>EPS estimate FY2027</t>
        </is>
      </c>
      <c r="F646" s="83">
        <f>BDP("HCA US Equity","BEST_EPS","BEST_FPERIOD_OVERRIDE","27Y")</f>
        <v/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27Y</t>
        </is>
      </c>
      <c r="E647" t="inlineStr">
        <is>
          <t>Revenue estimate FY2027</t>
        </is>
      </c>
      <c r="F647" s="83">
        <f>BDP("HCA US Equity","BEST_SALES","BEST_FPERIOD_OVERRIDE","27Y")</f>
        <v/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27Y</t>
        </is>
      </c>
      <c r="E648" t="inlineStr">
        <is>
          <t>EBIT estimate FY2027</t>
        </is>
      </c>
      <c r="F648" s="83">
        <f>BDP("HCA US Equity","BEST_EBIT","BEST_FPERIOD_OVERRIDE","27Y")</f>
        <v/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28Y</t>
        </is>
      </c>
      <c r="E649" t="inlineStr">
        <is>
          <t>EPS estimate FY2028</t>
        </is>
      </c>
      <c r="F649" s="83">
        <f>BDP("HCA US Equity","BEST_EPS","BEST_FPERIOD_OVERRIDE","28Y")</f>
        <v/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28Y</t>
        </is>
      </c>
      <c r="E650" t="inlineStr">
        <is>
          <t>Revenue estimate FY2028</t>
        </is>
      </c>
      <c r="F650" s="83">
        <f>BDP("HCA US Equity","BEST_SALES","BEST_FPERIOD_OVERRIDE","28Y")</f>
        <v/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28Y</t>
        </is>
      </c>
      <c r="E651" t="inlineStr">
        <is>
          <t>EBIT estimate FY2028</t>
        </is>
      </c>
      <c r="F651" s="83">
        <f>BDP("HCA US Equity","BEST_EBIT","BEST_FPERIOD_OVERRIDE","28Y")</f>
        <v/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E652" t="inlineStr">
        <is>
          <t>Last price</t>
        </is>
      </c>
      <c r="F652" s="83">
        <f>BDP("UNH US Equity","PX_LAST")</f>
        <v/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E653" t="inlineStr">
        <is>
          <t>Market cap (raw)</t>
        </is>
      </c>
      <c r="F653" s="83">
        <f>BDP("UNH US Equity","CUR_MKT_CAP")</f>
        <v/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E654" t="inlineStr">
        <is>
          <t>YTD price change %</t>
        </is>
      </c>
      <c r="F654" s="83">
        <f>BDP("UNH US Equity","CHG_PCT_YTD")</f>
        <v/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E655" t="inlineStr">
        <is>
          <t>Net debt / EBITDA</t>
        </is>
      </c>
      <c r="F655" s="83">
        <f>BDP("UNH US Equity","NET_DEBT_TO_EBITDA")</f>
        <v/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E656" t="inlineStr">
        <is>
          <t>ROIC (LTM)</t>
        </is>
      </c>
      <c r="F656" s="83">
        <f>BDP("UNH US Equity","RETURN_ON_INV_CAPITAL")</f>
        <v/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E657" t="inlineStr">
        <is>
          <t>LTM operating income</t>
        </is>
      </c>
      <c r="F657" s="83">
        <f>BDP("UNH US Equity","TRAIL_12M_OPER_INC")</f>
        <v/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E658" t="inlineStr">
        <is>
          <t>LTM EBITDA</t>
        </is>
      </c>
      <c r="F658" s="83">
        <f>BDP("UNH US Equity","TRAIL_12M_EBITDA")</f>
        <v/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E659" t="inlineStr">
        <is>
          <t>Total debt</t>
        </is>
      </c>
      <c r="F659" s="83">
        <f>BDP("UNH US Equity","SHORT_AND_LONG_TERM_DEBT")</f>
        <v/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E660" t="inlineStr">
        <is>
          <t>Total equity</t>
        </is>
      </c>
      <c r="F660" s="83">
        <f>BDP("UNH US Equity","TOTAL_EQUITY")</f>
        <v/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E661" t="inlineStr">
        <is>
          <t>Cash &amp; equivalents</t>
        </is>
      </c>
      <c r="F661" s="83">
        <f>BDP("UNH US Equity","BS_CASH_NEAR_CASH_ITEM")</f>
        <v/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24Y</t>
        </is>
      </c>
      <c r="E662" t="inlineStr">
        <is>
          <t>EPS estimate FY2024</t>
        </is>
      </c>
      <c r="F662" s="83">
        <f>BDP("UNH US Equity","BEST_EPS","BEST_FPERIOD_OVERRIDE","24Y")</f>
        <v/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24Y</t>
        </is>
      </c>
      <c r="E663" t="inlineStr">
        <is>
          <t>Revenue estimate FY2024</t>
        </is>
      </c>
      <c r="F663" s="83">
        <f>BDP("UNH US Equity","BEST_SALES","BEST_FPERIOD_OVERRIDE","24Y")</f>
        <v/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24Y</t>
        </is>
      </c>
      <c r="E664" t="inlineStr">
        <is>
          <t>EBIT estimate FY2024</t>
        </is>
      </c>
      <c r="F664" s="83">
        <f>BDP("UNH US Equity","BEST_EBIT","BEST_FPERIOD_OVERRIDE","24Y")</f>
        <v/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25Y</t>
        </is>
      </c>
      <c r="E665" t="inlineStr">
        <is>
          <t>EPS estimate FY2025</t>
        </is>
      </c>
      <c r="F665" s="83">
        <f>BDP("UNH US Equity","BEST_EPS","BEST_FPERIOD_OVERRIDE","25Y")</f>
        <v/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25Y</t>
        </is>
      </c>
      <c r="E666" t="inlineStr">
        <is>
          <t>Revenue estimate FY2025</t>
        </is>
      </c>
      <c r="F666" s="83">
        <f>BDP("UNH US Equity","BEST_SALES","BEST_FPERIOD_OVERRIDE","25Y")</f>
        <v/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25Y</t>
        </is>
      </c>
      <c r="E667" t="inlineStr">
        <is>
          <t>EBIT estimate FY2025</t>
        </is>
      </c>
      <c r="F667" s="83">
        <f>BDP("UNH US Equity","BEST_EBIT","BEST_FPERIOD_OVERRIDE","25Y")</f>
        <v/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26Y</t>
        </is>
      </c>
      <c r="E668" t="inlineStr">
        <is>
          <t>EPS estimate FY2026</t>
        </is>
      </c>
      <c r="F668" s="83">
        <f>BDP("UNH US Equity","BEST_EPS","BEST_FPERIOD_OVERRIDE","26Y")</f>
        <v/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26Y</t>
        </is>
      </c>
      <c r="E669" t="inlineStr">
        <is>
          <t>Revenue estimate FY2026</t>
        </is>
      </c>
      <c r="F669" s="83">
        <f>BDP("UNH US Equity","BEST_SALES","BEST_FPERIOD_OVERRIDE","26Y")</f>
        <v/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26Y</t>
        </is>
      </c>
      <c r="E670" t="inlineStr">
        <is>
          <t>EBIT estimate FY2026</t>
        </is>
      </c>
      <c r="F670" s="83">
        <f>BDP("UNH US Equity","BEST_EBIT","BEST_FPERIOD_OVERRIDE","26Y")</f>
        <v/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27Y</t>
        </is>
      </c>
      <c r="E671" t="inlineStr">
        <is>
          <t>EPS estimate FY2027</t>
        </is>
      </c>
      <c r="F671" s="83">
        <f>BDP("UNH US Equity","BEST_EPS","BEST_FPERIOD_OVERRIDE","27Y")</f>
        <v/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27Y</t>
        </is>
      </c>
      <c r="E672" t="inlineStr">
        <is>
          <t>Revenue estimate FY2027</t>
        </is>
      </c>
      <c r="F672" s="83">
        <f>BDP("UNH US Equity","BEST_SALES","BEST_FPERIOD_OVERRIDE","27Y")</f>
        <v/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27Y</t>
        </is>
      </c>
      <c r="E673" t="inlineStr">
        <is>
          <t>EBIT estimate FY2027</t>
        </is>
      </c>
      <c r="F673" s="83">
        <f>BDP("UNH US Equity","BEST_EBIT","BEST_FPERIOD_OVERRIDE","27Y")</f>
        <v/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28Y</t>
        </is>
      </c>
      <c r="E674" t="inlineStr">
        <is>
          <t>EPS estimate FY2028</t>
        </is>
      </c>
      <c r="F674" s="83">
        <f>BDP("UNH US Equity","BEST_EPS","BEST_FPERIOD_OVERRIDE","28Y")</f>
        <v/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28Y</t>
        </is>
      </c>
      <c r="E675" t="inlineStr">
        <is>
          <t>Revenue estimate FY2028</t>
        </is>
      </c>
      <c r="F675" s="83">
        <f>BDP("UNH US Equity","BEST_SALES","BEST_FPERIOD_OVERRIDE","28Y")</f>
        <v/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28Y</t>
        </is>
      </c>
      <c r="E676" t="inlineStr">
        <is>
          <t>EBIT estimate FY2028</t>
        </is>
      </c>
      <c r="F676" s="83">
        <f>BDP("UNH US Equity","BEST_EBIT","BEST_FPERIOD_OVERRIDE","28Y")</f>
        <v/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E677" t="inlineStr">
        <is>
          <t>Last price</t>
        </is>
      </c>
      <c r="F677" s="83">
        <f>BDP("CACC US Equity","PX_LAST")</f>
        <v/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E678" t="inlineStr">
        <is>
          <t>Market cap (raw)</t>
        </is>
      </c>
      <c r="F678" s="83">
        <f>BDP("CACC US Equity","CUR_MKT_CAP")</f>
        <v/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E679" t="inlineStr">
        <is>
          <t>YTD price change %</t>
        </is>
      </c>
      <c r="F679" s="83">
        <f>BDP("CACC US Equity","CHG_PCT_YTD")</f>
        <v/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E680" t="inlineStr">
        <is>
          <t>Net debt / EBITDA</t>
        </is>
      </c>
      <c r="F680" s="83">
        <f>BDP("CACC US Equity","NET_DEBT_TO_EBITDA")</f>
        <v/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E681" t="inlineStr">
        <is>
          <t>ROIC (LTM)</t>
        </is>
      </c>
      <c r="F681" s="83">
        <f>BDP("CACC US Equity","RETURN_ON_INV_CAPITAL")</f>
        <v/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E682" t="inlineStr">
        <is>
          <t>LTM operating income</t>
        </is>
      </c>
      <c r="F682" s="83">
        <f>BDP("CACC US Equity","TRAIL_12M_OPER_INC")</f>
        <v/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E683" t="inlineStr">
        <is>
          <t>LTM EBITDA</t>
        </is>
      </c>
      <c r="F683" s="83">
        <f>BDP("CACC US Equity","TRAIL_12M_EBITDA")</f>
        <v/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E684" t="inlineStr">
        <is>
          <t>Total debt</t>
        </is>
      </c>
      <c r="F684" s="83">
        <f>BDP("CACC US Equity","SHORT_AND_LONG_TERM_DEBT")</f>
        <v/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E685" t="inlineStr">
        <is>
          <t>Total equity</t>
        </is>
      </c>
      <c r="F685" s="83">
        <f>BDP("CACC US Equity","TOTAL_EQUITY")</f>
        <v/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E686" t="inlineStr">
        <is>
          <t>Cash &amp; equivalents</t>
        </is>
      </c>
      <c r="F686" s="83">
        <f>BDP("CACC US Equity","BS_CASH_NEAR_CASH_ITEM")</f>
        <v/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24Y</t>
        </is>
      </c>
      <c r="E687" t="inlineStr">
        <is>
          <t>EPS estimate FY2024</t>
        </is>
      </c>
      <c r="F687" s="83">
        <f>BDP("CACC US Equity","BEST_EPS","BEST_FPERIOD_OVERRIDE","24Y")</f>
        <v/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24Y</t>
        </is>
      </c>
      <c r="E688" t="inlineStr">
        <is>
          <t>Revenue estimate FY2024</t>
        </is>
      </c>
      <c r="F688" s="83">
        <f>BDP("CACC US Equity","BEST_SALES","BEST_FPERIOD_OVERRIDE","24Y")</f>
        <v/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24Y</t>
        </is>
      </c>
      <c r="E689" t="inlineStr">
        <is>
          <t>EBIT estimate FY2024</t>
        </is>
      </c>
      <c r="F689" s="83">
        <f>BDP("CACC US Equity","BEST_EBIT","BEST_FPERIOD_OVERRIDE","24Y")</f>
        <v/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25Y</t>
        </is>
      </c>
      <c r="E690" t="inlineStr">
        <is>
          <t>EPS estimate FY2025</t>
        </is>
      </c>
      <c r="F690" s="83">
        <f>BDP("CACC US Equity","BEST_EPS","BEST_FPERIOD_OVERRIDE","25Y")</f>
        <v/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25Y</t>
        </is>
      </c>
      <c r="E691" t="inlineStr">
        <is>
          <t>Revenue estimate FY2025</t>
        </is>
      </c>
      <c r="F691" s="83">
        <f>BDP("CACC US Equity","BEST_SALES","BEST_FPERIOD_OVERRIDE","25Y")</f>
        <v/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25Y</t>
        </is>
      </c>
      <c r="E692" t="inlineStr">
        <is>
          <t>EBIT estimate FY2025</t>
        </is>
      </c>
      <c r="F692" s="83">
        <f>BDP("CACC US Equity","BEST_EBIT","BEST_FPERIOD_OVERRIDE","25Y")</f>
        <v/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26Y</t>
        </is>
      </c>
      <c r="E693" t="inlineStr">
        <is>
          <t>EPS estimate FY2026</t>
        </is>
      </c>
      <c r="F693" s="83">
        <f>BDP("CACC US Equity","BEST_EPS","BEST_FPERIOD_OVERRIDE","26Y")</f>
        <v/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26Y</t>
        </is>
      </c>
      <c r="E694" t="inlineStr">
        <is>
          <t>Revenue estimate FY2026</t>
        </is>
      </c>
      <c r="F694" s="83">
        <f>BDP("CACC US Equity","BEST_SALES","BEST_FPERIOD_OVERRIDE","26Y")</f>
        <v/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26Y</t>
        </is>
      </c>
      <c r="E695" t="inlineStr">
        <is>
          <t>EBIT estimate FY2026</t>
        </is>
      </c>
      <c r="F695" s="83">
        <f>BDP("CACC US Equity","BEST_EBIT","BEST_FPERIOD_OVERRIDE","26Y")</f>
        <v/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27Y</t>
        </is>
      </c>
      <c r="E696" t="inlineStr">
        <is>
          <t>EPS estimate FY2027</t>
        </is>
      </c>
      <c r="F696" s="83">
        <f>BDP("CACC US Equity","BEST_EPS","BEST_FPERIOD_OVERRIDE","27Y")</f>
        <v/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27Y</t>
        </is>
      </c>
      <c r="E697" t="inlineStr">
        <is>
          <t>Revenue estimate FY2027</t>
        </is>
      </c>
      <c r="F697" s="83">
        <f>BDP("CACC US Equity","BEST_SALES","BEST_FPERIOD_OVERRIDE","27Y")</f>
        <v/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27Y</t>
        </is>
      </c>
      <c r="E698" t="inlineStr">
        <is>
          <t>EBIT estimate FY2027</t>
        </is>
      </c>
      <c r="F698" s="83">
        <f>BDP("CACC US Equity","BEST_EBIT","BEST_FPERIOD_OVERRIDE","27Y")</f>
        <v/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28Y</t>
        </is>
      </c>
      <c r="E699" t="inlineStr">
        <is>
          <t>EPS estimate FY2028</t>
        </is>
      </c>
      <c r="F699" s="83">
        <f>BDP("CACC US Equity","BEST_EPS","BEST_FPERIOD_OVERRIDE","28Y")</f>
        <v/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28Y</t>
        </is>
      </c>
      <c r="E700" t="inlineStr">
        <is>
          <t>Revenue estimate FY2028</t>
        </is>
      </c>
      <c r="F700" s="83">
        <f>BDP("CACC US Equity","BEST_SALES","BEST_FPERIOD_OVERRIDE","28Y")</f>
        <v/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28Y</t>
        </is>
      </c>
      <c r="E701" t="inlineStr">
        <is>
          <t>EBIT estimate FY2028</t>
        </is>
      </c>
      <c r="F701" s="83">
        <f>BDP("CACC US Equity","BEST_EBIT","BEST_FPERIOD_OVERRIDE","28Y")</f>
        <v/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E702" t="inlineStr">
        <is>
          <t>Last price</t>
        </is>
      </c>
      <c r="F702" s="83">
        <f>BDP("GL US Equity","PX_LAST")</f>
        <v/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E703" t="inlineStr">
        <is>
          <t>Market cap (raw)</t>
        </is>
      </c>
      <c r="F703" s="83">
        <f>BDP("GL US Equity","CUR_MKT_CAP")</f>
        <v/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E704" t="inlineStr">
        <is>
          <t>YTD price change %</t>
        </is>
      </c>
      <c r="F704" s="83">
        <f>BDP("GL US Equity","CHG_PCT_YTD")</f>
        <v/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E705" t="inlineStr">
        <is>
          <t>Net debt / EBITDA</t>
        </is>
      </c>
      <c r="F705" s="83">
        <f>BDP("GL US Equity","NET_DEBT_TO_EBITDA")</f>
        <v/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E706" t="inlineStr">
        <is>
          <t>ROIC (LTM)</t>
        </is>
      </c>
      <c r="F706" s="83">
        <f>BDP("GL US Equity","RETURN_ON_INV_CAPITAL")</f>
        <v/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E707" t="inlineStr">
        <is>
          <t>LTM operating income</t>
        </is>
      </c>
      <c r="F707" s="83">
        <f>BDP("GL US Equity","TRAIL_12M_OPER_INC")</f>
        <v/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E708" t="inlineStr">
        <is>
          <t>LTM EBITDA</t>
        </is>
      </c>
      <c r="F708" s="83">
        <f>BDP("GL US Equity","TRAIL_12M_EBITDA")</f>
        <v/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E709" t="inlineStr">
        <is>
          <t>Total debt</t>
        </is>
      </c>
      <c r="F709" s="83">
        <f>BDP("GL US Equity","SHORT_AND_LONG_TERM_DEBT")</f>
        <v/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E710" t="inlineStr">
        <is>
          <t>Total equity</t>
        </is>
      </c>
      <c r="F710" s="83">
        <f>BDP("GL US Equity","TOTAL_EQUITY")</f>
        <v/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E711" t="inlineStr">
        <is>
          <t>Cash &amp; equivalents</t>
        </is>
      </c>
      <c r="F711" s="83">
        <f>BDP("GL US Equity","BS_CASH_NEAR_CASH_ITEM")</f>
        <v/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24Y</t>
        </is>
      </c>
      <c r="E712" t="inlineStr">
        <is>
          <t>EPS estimate FY2024</t>
        </is>
      </c>
      <c r="F712" s="83">
        <f>BDP("GL US Equity","BEST_EPS","BEST_FPERIOD_OVERRIDE","24Y")</f>
        <v/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24Y</t>
        </is>
      </c>
      <c r="E713" t="inlineStr">
        <is>
          <t>Revenue estimate FY2024</t>
        </is>
      </c>
      <c r="F713" s="83">
        <f>BDP("GL US Equity","BEST_SALES","BEST_FPERIOD_OVERRIDE","24Y")</f>
        <v/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24Y</t>
        </is>
      </c>
      <c r="E714" t="inlineStr">
        <is>
          <t>EBIT estimate FY2024</t>
        </is>
      </c>
      <c r="F714" s="83">
        <f>BDP("GL US Equity","BEST_EBIT","BEST_FPERIOD_OVERRIDE","24Y")</f>
        <v/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25Y</t>
        </is>
      </c>
      <c r="E715" t="inlineStr">
        <is>
          <t>EPS estimate FY2025</t>
        </is>
      </c>
      <c r="F715" s="83">
        <f>BDP("GL US Equity","BEST_EPS","BEST_FPERIOD_OVERRIDE","25Y")</f>
        <v/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25Y</t>
        </is>
      </c>
      <c r="E716" t="inlineStr">
        <is>
          <t>Revenue estimate FY2025</t>
        </is>
      </c>
      <c r="F716" s="83">
        <f>BDP("GL US Equity","BEST_SALES","BEST_FPERIOD_OVERRIDE","25Y")</f>
        <v/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25Y</t>
        </is>
      </c>
      <c r="E717" t="inlineStr">
        <is>
          <t>EBIT estimate FY2025</t>
        </is>
      </c>
      <c r="F717" s="83">
        <f>BDP("GL US Equity","BEST_EBIT","BEST_FPERIOD_OVERRIDE","25Y")</f>
        <v/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26Y</t>
        </is>
      </c>
      <c r="E718" t="inlineStr">
        <is>
          <t>EPS estimate FY2026</t>
        </is>
      </c>
      <c r="F718" s="83">
        <f>BDP("GL US Equity","BEST_EPS","BEST_FPERIOD_OVERRIDE","26Y")</f>
        <v/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26Y</t>
        </is>
      </c>
      <c r="E719" t="inlineStr">
        <is>
          <t>Revenue estimate FY2026</t>
        </is>
      </c>
      <c r="F719" s="83">
        <f>BDP("GL US Equity","BEST_SALES","BEST_FPERIOD_OVERRIDE","26Y")</f>
        <v/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26Y</t>
        </is>
      </c>
      <c r="E720" t="inlineStr">
        <is>
          <t>EBIT estimate FY2026</t>
        </is>
      </c>
      <c r="F720" s="83">
        <f>BDP("GL US Equity","BEST_EBIT","BEST_FPERIOD_OVERRIDE","26Y")</f>
        <v/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27Y</t>
        </is>
      </c>
      <c r="E721" t="inlineStr">
        <is>
          <t>EPS estimate FY2027</t>
        </is>
      </c>
      <c r="F721" s="83">
        <f>BDP("GL US Equity","BEST_EPS","BEST_FPERIOD_OVERRIDE","27Y")</f>
        <v/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27Y</t>
        </is>
      </c>
      <c r="E722" t="inlineStr">
        <is>
          <t>Revenue estimate FY2027</t>
        </is>
      </c>
      <c r="F722" s="83">
        <f>BDP("GL US Equity","BEST_SALES","BEST_FPERIOD_OVERRIDE","27Y")</f>
        <v/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27Y</t>
        </is>
      </c>
      <c r="E723" t="inlineStr">
        <is>
          <t>EBIT estimate FY2027</t>
        </is>
      </c>
      <c r="F723" s="83">
        <f>BDP("GL US Equity","BEST_EBIT","BEST_FPERIOD_OVERRIDE","27Y")</f>
        <v/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28Y</t>
        </is>
      </c>
      <c r="E724" t="inlineStr">
        <is>
          <t>EPS estimate FY2028</t>
        </is>
      </c>
      <c r="F724" s="83">
        <f>BDP("GL US Equity","BEST_EPS","BEST_FPERIOD_OVERRIDE","28Y")</f>
        <v/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28Y</t>
        </is>
      </c>
      <c r="E725" t="inlineStr">
        <is>
          <t>Revenue estimate FY2028</t>
        </is>
      </c>
      <c r="F725" s="83">
        <f>BDP("GL US Equity","BEST_SALES","BEST_FPERIOD_OVERRIDE","28Y")</f>
        <v/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28Y</t>
        </is>
      </c>
      <c r="E726" t="inlineStr">
        <is>
          <t>EBIT estimate FY2028</t>
        </is>
      </c>
      <c r="F726" s="83">
        <f>BDP("GL US Equity","BEST_EBIT","BEST_FPERIOD_OVERRIDE","28Y")</f>
        <v/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E727" t="inlineStr">
        <is>
          <t>Last price</t>
        </is>
      </c>
      <c r="F727" s="83">
        <f>BDP("APO US Equity","PX_LAST")</f>
        <v/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E728" t="inlineStr">
        <is>
          <t>Market cap (raw)</t>
        </is>
      </c>
      <c r="F728" s="83">
        <f>BDP("APO US Equity","CUR_MKT_CAP")</f>
        <v/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E729" t="inlineStr">
        <is>
          <t>YTD price change %</t>
        </is>
      </c>
      <c r="F729" s="83">
        <f>BDP("APO US Equity","CHG_PCT_YTD")</f>
        <v/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E730" t="inlineStr">
        <is>
          <t>Net debt / EBITDA</t>
        </is>
      </c>
      <c r="F730" s="83">
        <f>BDP("APO US Equity","NET_DEBT_TO_EBITDA")</f>
        <v/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E731" t="inlineStr">
        <is>
          <t>ROIC (LTM)</t>
        </is>
      </c>
      <c r="F731" s="83">
        <f>BDP("APO US Equity","RETURN_ON_INV_CAPITAL")</f>
        <v/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E732" t="inlineStr">
        <is>
          <t>LTM operating income</t>
        </is>
      </c>
      <c r="F732" s="83">
        <f>BDP("APO US Equity","TRAIL_12M_OPER_INC")</f>
        <v/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E733" t="inlineStr">
        <is>
          <t>LTM EBITDA</t>
        </is>
      </c>
      <c r="F733" s="83">
        <f>BDP("APO US Equity","TRAIL_12M_EBITDA")</f>
        <v/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E734" t="inlineStr">
        <is>
          <t>Total debt</t>
        </is>
      </c>
      <c r="F734" s="83">
        <f>BDP("APO US Equity","SHORT_AND_LONG_TERM_DEBT")</f>
        <v/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E735" t="inlineStr">
        <is>
          <t>Total equity</t>
        </is>
      </c>
      <c r="F735" s="83">
        <f>BDP("APO US Equity","TOTAL_EQUITY")</f>
        <v/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E736" t="inlineStr">
        <is>
          <t>Cash &amp; equivalents</t>
        </is>
      </c>
      <c r="F736" s="83">
        <f>BDP("APO US Equity","BS_CASH_NEAR_CASH_ITEM")</f>
        <v/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24Y</t>
        </is>
      </c>
      <c r="E737" t="inlineStr">
        <is>
          <t>EPS estimate FY2024</t>
        </is>
      </c>
      <c r="F737" s="83">
        <f>BDP("APO US Equity","BEST_EPS","BEST_FPERIOD_OVERRIDE","24Y")</f>
        <v/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24Y</t>
        </is>
      </c>
      <c r="E738" t="inlineStr">
        <is>
          <t>Revenue estimate FY2024</t>
        </is>
      </c>
      <c r="F738" s="83">
        <f>BDP("APO US Equity","BEST_SALES","BEST_FPERIOD_OVERRIDE","24Y")</f>
        <v/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24Y</t>
        </is>
      </c>
      <c r="E739" t="inlineStr">
        <is>
          <t>EBIT estimate FY2024</t>
        </is>
      </c>
      <c r="F739" s="83">
        <f>BDP("APO US Equity","BEST_EBIT","BEST_FPERIOD_OVERRIDE","24Y")</f>
        <v/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25Y</t>
        </is>
      </c>
      <c r="E740" t="inlineStr">
        <is>
          <t>EPS estimate FY2025</t>
        </is>
      </c>
      <c r="F740" s="83">
        <f>BDP("APO US Equity","BEST_EPS","BEST_FPERIOD_OVERRIDE","25Y")</f>
        <v/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25Y</t>
        </is>
      </c>
      <c r="E741" t="inlineStr">
        <is>
          <t>Revenue estimate FY2025</t>
        </is>
      </c>
      <c r="F741" s="83">
        <f>BDP("APO US Equity","BEST_SALES","BEST_FPERIOD_OVERRIDE","25Y")</f>
        <v/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25Y</t>
        </is>
      </c>
      <c r="E742" t="inlineStr">
        <is>
          <t>EBIT estimate FY2025</t>
        </is>
      </c>
      <c r="F742" s="83">
        <f>BDP("APO US Equity","BEST_EBIT","BEST_FPERIOD_OVERRIDE","25Y")</f>
        <v/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26Y</t>
        </is>
      </c>
      <c r="E743" t="inlineStr">
        <is>
          <t>EPS estimate FY2026</t>
        </is>
      </c>
      <c r="F743" s="83">
        <f>BDP("APO US Equity","BEST_EPS","BEST_FPERIOD_OVERRIDE","26Y")</f>
        <v/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26Y</t>
        </is>
      </c>
      <c r="E744" t="inlineStr">
        <is>
          <t>Revenue estimate FY2026</t>
        </is>
      </c>
      <c r="F744" s="83">
        <f>BDP("APO US Equity","BEST_SALES","BEST_FPERIOD_OVERRIDE","26Y")</f>
        <v/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26Y</t>
        </is>
      </c>
      <c r="E745" t="inlineStr">
        <is>
          <t>EBIT estimate FY2026</t>
        </is>
      </c>
      <c r="F745" s="83">
        <f>BDP("APO US Equity","BEST_EBIT","BEST_FPERIOD_OVERRIDE","26Y")</f>
        <v/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27Y</t>
        </is>
      </c>
      <c r="E746" t="inlineStr">
        <is>
          <t>EPS estimate FY2027</t>
        </is>
      </c>
      <c r="F746" s="83">
        <f>BDP("APO US Equity","BEST_EPS","BEST_FPERIOD_OVERRIDE","27Y")</f>
        <v/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27Y</t>
        </is>
      </c>
      <c r="E747" t="inlineStr">
        <is>
          <t>Revenue estimate FY2027</t>
        </is>
      </c>
      <c r="F747" s="83">
        <f>BDP("APO US Equity","BEST_SALES","BEST_FPERIOD_OVERRIDE","27Y")</f>
        <v/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27Y</t>
        </is>
      </c>
      <c r="E748" t="inlineStr">
        <is>
          <t>EBIT estimate FY2027</t>
        </is>
      </c>
      <c r="F748" s="83">
        <f>BDP("APO US Equity","BEST_EBIT","BEST_FPERIOD_OVERRIDE","27Y")</f>
        <v/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28Y</t>
        </is>
      </c>
      <c r="E749" t="inlineStr">
        <is>
          <t>EPS estimate FY2028</t>
        </is>
      </c>
      <c r="F749" s="83">
        <f>BDP("APO US Equity","BEST_EPS","BEST_FPERIOD_OVERRIDE","28Y")</f>
        <v/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28Y</t>
        </is>
      </c>
      <c r="E750" t="inlineStr">
        <is>
          <t>Revenue estimate FY2028</t>
        </is>
      </c>
      <c r="F750" s="83">
        <f>BDP("APO US Equity","BEST_SALES","BEST_FPERIOD_OVERRIDE","28Y")</f>
        <v/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28Y</t>
        </is>
      </c>
      <c r="E751" t="inlineStr">
        <is>
          <t>EBIT estimate FY2028</t>
        </is>
      </c>
      <c r="F751" s="83">
        <f>BDP("APO US Equity","BEST_EBIT","BEST_FPERIOD_OVERRIDE","28Y")</f>
        <v/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E752" t="inlineStr">
        <is>
          <t>Last price</t>
        </is>
      </c>
      <c r="F752" s="83">
        <f>BDP("BN US Equity","PX_LAST")</f>
        <v/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E753" t="inlineStr">
        <is>
          <t>Market cap (raw)</t>
        </is>
      </c>
      <c r="F753" s="83">
        <f>BDP("BN US Equity","CUR_MKT_CAP")</f>
        <v/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E754" t="inlineStr">
        <is>
          <t>YTD price change %</t>
        </is>
      </c>
      <c r="F754" s="83">
        <f>BDP("BN US Equity","CHG_PCT_YTD")</f>
        <v/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E755" t="inlineStr">
        <is>
          <t>Net debt / EBITDA</t>
        </is>
      </c>
      <c r="F755" s="83">
        <f>BDP("BN US Equity","NET_DEBT_TO_EBITDA")</f>
        <v/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E756" t="inlineStr">
        <is>
          <t>ROIC (LTM)</t>
        </is>
      </c>
      <c r="F756" s="83">
        <f>BDP("BN US Equity","RETURN_ON_INV_CAPITAL")</f>
        <v/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E757" t="inlineStr">
        <is>
          <t>LTM operating income</t>
        </is>
      </c>
      <c r="F757" s="83">
        <f>BDP("BN US Equity","TRAIL_12M_OPER_INC")</f>
        <v/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E758" t="inlineStr">
        <is>
          <t>LTM EBITDA</t>
        </is>
      </c>
      <c r="F758" s="83">
        <f>BDP("BN US Equity","TRAIL_12M_EBITDA")</f>
        <v/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E759" t="inlineStr">
        <is>
          <t>Total debt</t>
        </is>
      </c>
      <c r="F759" s="83">
        <f>BDP("BN US Equity","SHORT_AND_LONG_TERM_DEBT")</f>
        <v/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E760" t="inlineStr">
        <is>
          <t>Total equity</t>
        </is>
      </c>
      <c r="F760" s="83">
        <f>BDP("BN US Equity","TOTAL_EQUITY")</f>
        <v/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E761" t="inlineStr">
        <is>
          <t>Cash &amp; equivalents</t>
        </is>
      </c>
      <c r="F761" s="83">
        <f>BDP("BN US Equity","BS_CASH_NEAR_CASH_ITEM")</f>
        <v/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24Y</t>
        </is>
      </c>
      <c r="E762" t="inlineStr">
        <is>
          <t>EPS estimate FY2024</t>
        </is>
      </c>
      <c r="F762" s="83">
        <f>BDP("BN US Equity","BEST_EPS","BEST_FPERIOD_OVERRIDE","24Y")</f>
        <v/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24Y</t>
        </is>
      </c>
      <c r="E763" t="inlineStr">
        <is>
          <t>Revenue estimate FY2024</t>
        </is>
      </c>
      <c r="F763" s="83">
        <f>BDP("BN US Equity","BEST_SALES","BEST_FPERIOD_OVERRIDE","24Y")</f>
        <v/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24Y</t>
        </is>
      </c>
      <c r="E764" t="inlineStr">
        <is>
          <t>EBIT estimate FY2024</t>
        </is>
      </c>
      <c r="F764" s="83">
        <f>BDP("BN US Equity","BEST_EBIT","BEST_FPERIOD_OVERRIDE","24Y")</f>
        <v/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25Y</t>
        </is>
      </c>
      <c r="E765" t="inlineStr">
        <is>
          <t>EPS estimate FY2025</t>
        </is>
      </c>
      <c r="F765" s="83">
        <f>BDP("BN US Equity","BEST_EPS","BEST_FPERIOD_OVERRIDE","25Y")</f>
        <v/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25Y</t>
        </is>
      </c>
      <c r="E766" t="inlineStr">
        <is>
          <t>Revenue estimate FY2025</t>
        </is>
      </c>
      <c r="F766" s="83">
        <f>BDP("BN US Equity","BEST_SALES","BEST_FPERIOD_OVERRIDE","25Y")</f>
        <v/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25Y</t>
        </is>
      </c>
      <c r="E767" t="inlineStr">
        <is>
          <t>EBIT estimate FY2025</t>
        </is>
      </c>
      <c r="F767" s="83">
        <f>BDP("BN US Equity","BEST_EBIT","BEST_FPERIOD_OVERRIDE","25Y")</f>
        <v/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26Y</t>
        </is>
      </c>
      <c r="E768" t="inlineStr">
        <is>
          <t>EPS estimate FY2026</t>
        </is>
      </c>
      <c r="F768" s="83">
        <f>BDP("BN US Equity","BEST_EPS","BEST_FPERIOD_OVERRIDE","26Y")</f>
        <v/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26Y</t>
        </is>
      </c>
      <c r="E769" t="inlineStr">
        <is>
          <t>Revenue estimate FY2026</t>
        </is>
      </c>
      <c r="F769" s="83">
        <f>BDP("BN US Equity","BEST_SALES","BEST_FPERIOD_OVERRIDE","26Y")</f>
        <v/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26Y</t>
        </is>
      </c>
      <c r="E770" t="inlineStr">
        <is>
          <t>EBIT estimate FY2026</t>
        </is>
      </c>
      <c r="F770" s="83">
        <f>BDP("BN US Equity","BEST_EBIT","BEST_FPERIOD_OVERRIDE","26Y")</f>
        <v/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27Y</t>
        </is>
      </c>
      <c r="E771" t="inlineStr">
        <is>
          <t>EPS estimate FY2027</t>
        </is>
      </c>
      <c r="F771" s="83">
        <f>BDP("BN US Equity","BEST_EPS","BEST_FPERIOD_OVERRIDE","27Y")</f>
        <v/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27Y</t>
        </is>
      </c>
      <c r="E772" t="inlineStr">
        <is>
          <t>Revenue estimate FY2027</t>
        </is>
      </c>
      <c r="F772" s="83">
        <f>BDP("BN US Equity","BEST_SALES","BEST_FPERIOD_OVERRIDE","27Y")</f>
        <v/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27Y</t>
        </is>
      </c>
      <c r="E773" t="inlineStr">
        <is>
          <t>EBIT estimate FY2027</t>
        </is>
      </c>
      <c r="F773" s="83">
        <f>BDP("BN US Equity","BEST_EBIT","BEST_FPERIOD_OVERRIDE","27Y")</f>
        <v/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28Y</t>
        </is>
      </c>
      <c r="E774" t="inlineStr">
        <is>
          <t>EPS estimate FY2028</t>
        </is>
      </c>
      <c r="F774" s="83">
        <f>BDP("BN US Equity","BEST_EPS","BEST_FPERIOD_OVERRIDE","28Y")</f>
        <v/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28Y</t>
        </is>
      </c>
      <c r="E775" t="inlineStr">
        <is>
          <t>Revenue estimate FY2028</t>
        </is>
      </c>
      <c r="F775" s="83">
        <f>BDP("BN US Equity","BEST_SALES","BEST_FPERIOD_OVERRIDE","28Y")</f>
        <v/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28Y</t>
        </is>
      </c>
      <c r="E776" t="inlineStr">
        <is>
          <t>EBIT estimate FY2028</t>
        </is>
      </c>
      <c r="F776" s="83">
        <f>BDP("BN US Equity","BEST_EBIT","BEST_FPERIOD_OVERRIDE","28Y")</f>
        <v/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E777" t="inlineStr">
        <is>
          <t>Last price</t>
        </is>
      </c>
      <c r="F777" s="83">
        <f>BDP("CVNA US Equity","PX_LAST")</f>
        <v/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E778" t="inlineStr">
        <is>
          <t>Market cap (raw)</t>
        </is>
      </c>
      <c r="F778" s="83">
        <f>BDP("CVNA US Equity","CUR_MKT_CAP")</f>
        <v/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E779" t="inlineStr">
        <is>
          <t>YTD price change %</t>
        </is>
      </c>
      <c r="F779" s="83">
        <f>BDP("CVNA US Equity","CHG_PCT_YTD")</f>
        <v/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E780" t="inlineStr">
        <is>
          <t>Net debt / EBITDA</t>
        </is>
      </c>
      <c r="F780" s="83">
        <f>BDP("CVNA US Equity","NET_DEBT_TO_EBITDA")</f>
        <v/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E781" t="inlineStr">
        <is>
          <t>ROIC (LTM)</t>
        </is>
      </c>
      <c r="F781" s="83">
        <f>BDP("CVNA US Equity","RETURN_ON_INV_CAPITAL")</f>
        <v/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E782" t="inlineStr">
        <is>
          <t>LTM operating income</t>
        </is>
      </c>
      <c r="F782" s="83">
        <f>BDP("CVNA US Equity","TRAIL_12M_OPER_INC")</f>
        <v/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E783" t="inlineStr">
        <is>
          <t>LTM EBITDA</t>
        </is>
      </c>
      <c r="F783" s="83">
        <f>BDP("CVNA US Equity","TRAIL_12M_EBITDA")</f>
        <v/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E784" t="inlineStr">
        <is>
          <t>Total debt</t>
        </is>
      </c>
      <c r="F784" s="83">
        <f>BDP("CVNA US Equity","SHORT_AND_LONG_TERM_DEBT")</f>
        <v/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E785" t="inlineStr">
        <is>
          <t>Total equity</t>
        </is>
      </c>
      <c r="F785" s="83">
        <f>BDP("CVNA US Equity","TOTAL_EQUITY")</f>
        <v/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E786" t="inlineStr">
        <is>
          <t>Cash &amp; equivalents</t>
        </is>
      </c>
      <c r="F786" s="83">
        <f>BDP("CVNA US Equity","BS_CASH_NEAR_CASH_ITEM")</f>
        <v/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24Y</t>
        </is>
      </c>
      <c r="E787" t="inlineStr">
        <is>
          <t>EPS estimate FY2024</t>
        </is>
      </c>
      <c r="F787" s="83">
        <f>BDP("CVNA US Equity","BEST_EPS","BEST_FPERIOD_OVERRIDE","24Y")</f>
        <v/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24Y</t>
        </is>
      </c>
      <c r="E788" t="inlineStr">
        <is>
          <t>Revenue estimate FY2024</t>
        </is>
      </c>
      <c r="F788" s="83">
        <f>BDP("CVNA US Equity","BEST_SALES","BEST_FPERIOD_OVERRIDE","24Y")</f>
        <v/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24Y</t>
        </is>
      </c>
      <c r="E789" t="inlineStr">
        <is>
          <t>EBIT estimate FY2024</t>
        </is>
      </c>
      <c r="F789" s="83">
        <f>BDP("CVNA US Equity","BEST_EBIT","BEST_FPERIOD_OVERRIDE","24Y")</f>
        <v/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25Y</t>
        </is>
      </c>
      <c r="E790" t="inlineStr">
        <is>
          <t>EPS estimate FY2025</t>
        </is>
      </c>
      <c r="F790" s="83">
        <f>BDP("CVNA US Equity","BEST_EPS","BEST_FPERIOD_OVERRIDE","25Y")</f>
        <v/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25Y</t>
        </is>
      </c>
      <c r="E791" t="inlineStr">
        <is>
          <t>Revenue estimate FY2025</t>
        </is>
      </c>
      <c r="F791" s="83">
        <f>BDP("CVNA US Equity","BEST_SALES","BEST_FPERIOD_OVERRIDE","25Y")</f>
        <v/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25Y</t>
        </is>
      </c>
      <c r="E792" t="inlineStr">
        <is>
          <t>EBIT estimate FY2025</t>
        </is>
      </c>
      <c r="F792" s="83">
        <f>BDP("CVNA US Equity","BEST_EBIT","BEST_FPERIOD_OVERRIDE","25Y")</f>
        <v/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26Y</t>
        </is>
      </c>
      <c r="E793" t="inlineStr">
        <is>
          <t>EPS estimate FY2026</t>
        </is>
      </c>
      <c r="F793" s="83">
        <f>BDP("CVNA US Equity","BEST_EPS","BEST_FPERIOD_OVERRIDE","26Y")</f>
        <v/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26Y</t>
        </is>
      </c>
      <c r="E794" t="inlineStr">
        <is>
          <t>Revenue estimate FY2026</t>
        </is>
      </c>
      <c r="F794" s="83">
        <f>BDP("CVNA US Equity","BEST_SALES","BEST_FPERIOD_OVERRIDE","26Y")</f>
        <v/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26Y</t>
        </is>
      </c>
      <c r="E795" t="inlineStr">
        <is>
          <t>EBIT estimate FY2026</t>
        </is>
      </c>
      <c r="F795" s="83">
        <f>BDP("CVNA US Equity","BEST_EBIT","BEST_FPERIOD_OVERRIDE","26Y")</f>
        <v/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27Y</t>
        </is>
      </c>
      <c r="E796" t="inlineStr">
        <is>
          <t>EPS estimate FY2027</t>
        </is>
      </c>
      <c r="F796" s="83">
        <f>BDP("CVNA US Equity","BEST_EPS","BEST_FPERIOD_OVERRIDE","27Y")</f>
        <v/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27Y</t>
        </is>
      </c>
      <c r="E797" t="inlineStr">
        <is>
          <t>Revenue estimate FY2027</t>
        </is>
      </c>
      <c r="F797" s="83">
        <f>BDP("CVNA US Equity","BEST_SALES","BEST_FPERIOD_OVERRIDE","27Y")</f>
        <v/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27Y</t>
        </is>
      </c>
      <c r="E798" t="inlineStr">
        <is>
          <t>EBIT estimate FY2027</t>
        </is>
      </c>
      <c r="F798" s="83">
        <f>BDP("CVNA US Equity","BEST_EBIT","BEST_FPERIOD_OVERRIDE","27Y")</f>
        <v/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28Y</t>
        </is>
      </c>
      <c r="E799" t="inlineStr">
        <is>
          <t>EPS estimate FY2028</t>
        </is>
      </c>
      <c r="F799" s="83">
        <f>BDP("CVNA US Equity","BEST_EPS","BEST_FPERIOD_OVERRIDE","28Y")</f>
        <v/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28Y</t>
        </is>
      </c>
      <c r="E800" t="inlineStr">
        <is>
          <t>Revenue estimate FY2028</t>
        </is>
      </c>
      <c r="F800" s="83">
        <f>BDP("CVNA US Equity","BEST_SALES","BEST_FPERIOD_OVERRIDE","28Y")</f>
        <v/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28Y</t>
        </is>
      </c>
      <c r="E801" t="inlineStr">
        <is>
          <t>EBIT estimate FY2028</t>
        </is>
      </c>
      <c r="F801" s="83">
        <f>BDP("CVNA US Equity","BEST_EBIT","BEST_FPERIOD_OVERRIDE","28Y")</f>
        <v/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E802" t="inlineStr">
        <is>
          <t>Last price</t>
        </is>
      </c>
      <c r="F802" s="83">
        <f>BDP("JPM US Equity","PX_LAST")</f>
        <v/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E803" t="inlineStr">
        <is>
          <t>Market cap (raw)</t>
        </is>
      </c>
      <c r="F803" s="83">
        <f>BDP("JPM US Equity","CUR_MKT_CAP")</f>
        <v/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E804" t="inlineStr">
        <is>
          <t>YTD price change %</t>
        </is>
      </c>
      <c r="F804" s="83">
        <f>BDP("JPM US Equity","CHG_PCT_YTD")</f>
        <v/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E805" t="inlineStr">
        <is>
          <t>Net debt / EBITDA</t>
        </is>
      </c>
      <c r="F805" s="83">
        <f>BDP("JPM US Equity","NET_DEBT_TO_EBITDA")</f>
        <v/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E806" t="inlineStr">
        <is>
          <t>ROIC (LTM)</t>
        </is>
      </c>
      <c r="F806" s="83">
        <f>BDP("JPM US Equity","RETURN_ON_INV_CAPITAL")</f>
        <v/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E807" t="inlineStr">
        <is>
          <t>LTM operating income</t>
        </is>
      </c>
      <c r="F807" s="83">
        <f>BDP("JPM US Equity","TRAIL_12M_OPER_INC")</f>
        <v/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E808" t="inlineStr">
        <is>
          <t>LTM EBITDA</t>
        </is>
      </c>
      <c r="F808" s="83">
        <f>BDP("JPM US Equity","TRAIL_12M_EBITDA")</f>
        <v/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E809" t="inlineStr">
        <is>
          <t>Total debt</t>
        </is>
      </c>
      <c r="F809" s="83">
        <f>BDP("JPM US Equity","SHORT_AND_LONG_TERM_DEBT")</f>
        <v/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E810" t="inlineStr">
        <is>
          <t>Total equity</t>
        </is>
      </c>
      <c r="F810" s="83">
        <f>BDP("JPM US Equity","TOTAL_EQUITY")</f>
        <v/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E811" t="inlineStr">
        <is>
          <t>Cash &amp; equivalents</t>
        </is>
      </c>
      <c r="F811" s="83">
        <f>BDP("JPM US Equity","BS_CASH_NEAR_CASH_ITEM")</f>
        <v/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24Y</t>
        </is>
      </c>
      <c r="E812" t="inlineStr">
        <is>
          <t>EPS estimate FY2024</t>
        </is>
      </c>
      <c r="F812" s="83">
        <f>BDP("JPM US Equity","BEST_EPS","BEST_FPERIOD_OVERRIDE","24Y")</f>
        <v/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24Y</t>
        </is>
      </c>
      <c r="E813" t="inlineStr">
        <is>
          <t>Revenue estimate FY2024</t>
        </is>
      </c>
      <c r="F813" s="83">
        <f>BDP("JPM US Equity","BEST_SALES","BEST_FPERIOD_OVERRIDE","24Y")</f>
        <v/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24Y</t>
        </is>
      </c>
      <c r="E814" t="inlineStr">
        <is>
          <t>EBIT estimate FY2024</t>
        </is>
      </c>
      <c r="F814" s="83">
        <f>BDP("JPM US Equity","BEST_EBIT","BEST_FPERIOD_OVERRIDE","24Y")</f>
        <v/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25Y</t>
        </is>
      </c>
      <c r="E815" t="inlineStr">
        <is>
          <t>EPS estimate FY2025</t>
        </is>
      </c>
      <c r="F815" s="83">
        <f>BDP("JPM US Equity","BEST_EPS","BEST_FPERIOD_OVERRIDE","25Y")</f>
        <v/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25Y</t>
        </is>
      </c>
      <c r="E816" t="inlineStr">
        <is>
          <t>Revenue estimate FY2025</t>
        </is>
      </c>
      <c r="F816" s="83">
        <f>BDP("JPM US Equity","BEST_SALES","BEST_FPERIOD_OVERRIDE","25Y")</f>
        <v/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25Y</t>
        </is>
      </c>
      <c r="E817" t="inlineStr">
        <is>
          <t>EBIT estimate FY2025</t>
        </is>
      </c>
      <c r="F817" s="83">
        <f>BDP("JPM US Equity","BEST_EBIT","BEST_FPERIOD_OVERRIDE","25Y")</f>
        <v/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26Y</t>
        </is>
      </c>
      <c r="E818" t="inlineStr">
        <is>
          <t>EPS estimate FY2026</t>
        </is>
      </c>
      <c r="F818" s="83">
        <f>BDP("JPM US Equity","BEST_EPS","BEST_FPERIOD_OVERRIDE","26Y")</f>
        <v/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26Y</t>
        </is>
      </c>
      <c r="E819" t="inlineStr">
        <is>
          <t>Revenue estimate FY2026</t>
        </is>
      </c>
      <c r="F819" s="83">
        <f>BDP("JPM US Equity","BEST_SALES","BEST_FPERIOD_OVERRIDE","26Y")</f>
        <v/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26Y</t>
        </is>
      </c>
      <c r="E820" t="inlineStr">
        <is>
          <t>EBIT estimate FY2026</t>
        </is>
      </c>
      <c r="F820" s="83">
        <f>BDP("JPM US Equity","BEST_EBIT","BEST_FPERIOD_OVERRIDE","26Y")</f>
        <v/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27Y</t>
        </is>
      </c>
      <c r="E821" t="inlineStr">
        <is>
          <t>EPS estimate FY2027</t>
        </is>
      </c>
      <c r="F821" s="83">
        <f>BDP("JPM US Equity","BEST_EPS","BEST_FPERIOD_OVERRIDE","27Y")</f>
        <v/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27Y</t>
        </is>
      </c>
      <c r="E822" t="inlineStr">
        <is>
          <t>Revenue estimate FY2027</t>
        </is>
      </c>
      <c r="F822" s="83">
        <f>BDP("JPM US Equity","BEST_SALES","BEST_FPERIOD_OVERRIDE","27Y")</f>
        <v/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27Y</t>
        </is>
      </c>
      <c r="E823" t="inlineStr">
        <is>
          <t>EBIT estimate FY2027</t>
        </is>
      </c>
      <c r="F823" s="83">
        <f>BDP("JPM US Equity","BEST_EBIT","BEST_FPERIOD_OVERRIDE","27Y")</f>
        <v/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28Y</t>
        </is>
      </c>
      <c r="E824" t="inlineStr">
        <is>
          <t>EPS estimate FY2028</t>
        </is>
      </c>
      <c r="F824" s="83">
        <f>BDP("JPM US Equity","BEST_EPS","BEST_FPERIOD_OVERRIDE","28Y")</f>
        <v/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28Y</t>
        </is>
      </c>
      <c r="E825" t="inlineStr">
        <is>
          <t>Revenue estimate FY2028</t>
        </is>
      </c>
      <c r="F825" s="83">
        <f>BDP("JPM US Equity","BEST_SALES","BEST_FPERIOD_OVERRIDE","28Y")</f>
        <v/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28Y</t>
        </is>
      </c>
      <c r="E826" t="inlineStr">
        <is>
          <t>EBIT estimate FY2028</t>
        </is>
      </c>
      <c r="F826" s="83">
        <f>BDP("JPM US Equity","BEST_EBIT","BEST_FPERIOD_OVERRIDE","28Y")</f>
        <v/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E827" t="inlineStr">
        <is>
          <t>Last price</t>
        </is>
      </c>
      <c r="F827" s="83">
        <f>BDP("BX US Equity","PX_LAST")</f>
        <v/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E828" t="inlineStr">
        <is>
          <t>Market cap (raw)</t>
        </is>
      </c>
      <c r="F828" s="83">
        <f>BDP("BX US Equity","CUR_MKT_CAP")</f>
        <v/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E829" t="inlineStr">
        <is>
          <t>YTD price change %</t>
        </is>
      </c>
      <c r="F829" s="83">
        <f>BDP("BX US Equity","CHG_PCT_YTD")</f>
        <v/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E830" t="inlineStr">
        <is>
          <t>Net debt / EBITDA</t>
        </is>
      </c>
      <c r="F830" s="83">
        <f>BDP("BX US Equity","NET_DEBT_TO_EBITDA")</f>
        <v/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E831" t="inlineStr">
        <is>
          <t>ROIC (LTM)</t>
        </is>
      </c>
      <c r="F831" s="83">
        <f>BDP("BX US Equity","RETURN_ON_INV_CAPITAL")</f>
        <v/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E832" t="inlineStr">
        <is>
          <t>LTM operating income</t>
        </is>
      </c>
      <c r="F832" s="83">
        <f>BDP("BX US Equity","TRAIL_12M_OPER_INC")</f>
        <v/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E833" t="inlineStr">
        <is>
          <t>LTM EBITDA</t>
        </is>
      </c>
      <c r="F833" s="83">
        <f>BDP("BX US Equity","TRAIL_12M_EBITDA")</f>
        <v/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E834" t="inlineStr">
        <is>
          <t>Total debt</t>
        </is>
      </c>
      <c r="F834" s="83">
        <f>BDP("BX US Equity","SHORT_AND_LONG_TERM_DEBT")</f>
        <v/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E835" t="inlineStr">
        <is>
          <t>Total equity</t>
        </is>
      </c>
      <c r="F835" s="83">
        <f>BDP("BX US Equity","TOTAL_EQUITY")</f>
        <v/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E836" t="inlineStr">
        <is>
          <t>Cash &amp; equivalents</t>
        </is>
      </c>
      <c r="F836" s="83">
        <f>BDP("BX US Equity","BS_CASH_NEAR_CASH_ITEM")</f>
        <v/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24Y</t>
        </is>
      </c>
      <c r="E837" t="inlineStr">
        <is>
          <t>EPS estimate FY2024</t>
        </is>
      </c>
      <c r="F837" s="83">
        <f>BDP("BX US Equity","BEST_EPS","BEST_FPERIOD_OVERRIDE","24Y")</f>
        <v/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24Y</t>
        </is>
      </c>
      <c r="E838" t="inlineStr">
        <is>
          <t>Revenue estimate FY2024</t>
        </is>
      </c>
      <c r="F838" s="83">
        <f>BDP("BX US Equity","BEST_SALES","BEST_FPERIOD_OVERRIDE","24Y")</f>
        <v/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24Y</t>
        </is>
      </c>
      <c r="E839" t="inlineStr">
        <is>
          <t>EBIT estimate FY2024</t>
        </is>
      </c>
      <c r="F839" s="83">
        <f>BDP("BX US Equity","BEST_EBIT","BEST_FPERIOD_OVERRIDE","24Y")</f>
        <v/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25Y</t>
        </is>
      </c>
      <c r="E840" t="inlineStr">
        <is>
          <t>EPS estimate FY2025</t>
        </is>
      </c>
      <c r="F840" s="83">
        <f>BDP("BX US Equity","BEST_EPS","BEST_FPERIOD_OVERRIDE","25Y")</f>
        <v/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25Y</t>
        </is>
      </c>
      <c r="E841" t="inlineStr">
        <is>
          <t>Revenue estimate FY2025</t>
        </is>
      </c>
      <c r="F841" s="83">
        <f>BDP("BX US Equity","BEST_SALES","BEST_FPERIOD_OVERRIDE","25Y")</f>
        <v/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25Y</t>
        </is>
      </c>
      <c r="E842" t="inlineStr">
        <is>
          <t>EBIT estimate FY2025</t>
        </is>
      </c>
      <c r="F842" s="83">
        <f>BDP("BX US Equity","BEST_EBIT","BEST_FPERIOD_OVERRIDE","25Y")</f>
        <v/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26Y</t>
        </is>
      </c>
      <c r="E843" t="inlineStr">
        <is>
          <t>EPS estimate FY2026</t>
        </is>
      </c>
      <c r="F843" s="83">
        <f>BDP("BX US Equity","BEST_EPS","BEST_FPERIOD_OVERRIDE","26Y")</f>
        <v/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26Y</t>
        </is>
      </c>
      <c r="E844" t="inlineStr">
        <is>
          <t>Revenue estimate FY2026</t>
        </is>
      </c>
      <c r="F844" s="83">
        <f>BDP("BX US Equity","BEST_SALES","BEST_FPERIOD_OVERRIDE","26Y")</f>
        <v/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26Y</t>
        </is>
      </c>
      <c r="E845" t="inlineStr">
        <is>
          <t>EBIT estimate FY2026</t>
        </is>
      </c>
      <c r="F845" s="83">
        <f>BDP("BX US Equity","BEST_EBIT","BEST_FPERIOD_OVERRIDE","26Y")</f>
        <v/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27Y</t>
        </is>
      </c>
      <c r="E846" t="inlineStr">
        <is>
          <t>EPS estimate FY2027</t>
        </is>
      </c>
      <c r="F846" s="83">
        <f>BDP("BX US Equity","BEST_EPS","BEST_FPERIOD_OVERRIDE","27Y")</f>
        <v/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27Y</t>
        </is>
      </c>
      <c r="E847" t="inlineStr">
        <is>
          <t>Revenue estimate FY2027</t>
        </is>
      </c>
      <c r="F847" s="83">
        <f>BDP("BX US Equity","BEST_SALES","BEST_FPERIOD_OVERRIDE","27Y")</f>
        <v/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27Y</t>
        </is>
      </c>
      <c r="E848" t="inlineStr">
        <is>
          <t>EBIT estimate FY2027</t>
        </is>
      </c>
      <c r="F848" s="83">
        <f>BDP("BX US Equity","BEST_EBIT","BEST_FPERIOD_OVERRIDE","27Y")</f>
        <v/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28Y</t>
        </is>
      </c>
      <c r="E849" t="inlineStr">
        <is>
          <t>EPS estimate FY2028</t>
        </is>
      </c>
      <c r="F849" s="83">
        <f>BDP("BX US Equity","BEST_EPS","BEST_FPERIOD_OVERRIDE","28Y")</f>
        <v/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28Y</t>
        </is>
      </c>
      <c r="E850" t="inlineStr">
        <is>
          <t>Revenue estimate FY2028</t>
        </is>
      </c>
      <c r="F850" s="83">
        <f>BDP("BX US Equity","BEST_SALES","BEST_FPERIOD_OVERRIDE","28Y")</f>
        <v/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28Y</t>
        </is>
      </c>
      <c r="E851" t="inlineStr">
        <is>
          <t>EBIT estimate FY2028</t>
        </is>
      </c>
      <c r="F851" s="83">
        <f>BDP("BX US Equity","BEST_EBIT","BEST_FPERIOD_OVERRIDE","28Y")</f>
        <v/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E852" t="inlineStr">
        <is>
          <t>Last price</t>
        </is>
      </c>
      <c r="F852" s="83">
        <f>BDP("KKR US Equity","PX_LAST")</f>
        <v/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E853" t="inlineStr">
        <is>
          <t>Market cap (raw)</t>
        </is>
      </c>
      <c r="F853" s="83">
        <f>BDP("KKR US Equity","CUR_MKT_CAP")</f>
        <v/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E854" t="inlineStr">
        <is>
          <t>YTD price change %</t>
        </is>
      </c>
      <c r="F854" s="83">
        <f>BDP("KKR US Equity","CHG_PCT_YTD")</f>
        <v/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E855" t="inlineStr">
        <is>
          <t>Net debt / EBITDA</t>
        </is>
      </c>
      <c r="F855" s="83">
        <f>BDP("KKR US Equity","NET_DEBT_TO_EBITDA")</f>
        <v/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E856" t="inlineStr">
        <is>
          <t>ROIC (LTM)</t>
        </is>
      </c>
      <c r="F856" s="83">
        <f>BDP("KKR US Equity","RETURN_ON_INV_CAPITAL")</f>
        <v/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E857" t="inlineStr">
        <is>
          <t>LTM operating income</t>
        </is>
      </c>
      <c r="F857" s="83">
        <f>BDP("KKR US Equity","TRAIL_12M_OPER_INC")</f>
        <v/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E858" t="inlineStr">
        <is>
          <t>LTM EBITDA</t>
        </is>
      </c>
      <c r="F858" s="83">
        <f>BDP("KKR US Equity","TRAIL_12M_EBITDA")</f>
        <v/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E859" t="inlineStr">
        <is>
          <t>Total debt</t>
        </is>
      </c>
      <c r="F859" s="83">
        <f>BDP("KKR US Equity","SHORT_AND_LONG_TERM_DEBT")</f>
        <v/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E860" t="inlineStr">
        <is>
          <t>Total equity</t>
        </is>
      </c>
      <c r="F860" s="83">
        <f>BDP("KKR US Equity","TOTAL_EQUITY")</f>
        <v/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E861" t="inlineStr">
        <is>
          <t>Cash &amp; equivalents</t>
        </is>
      </c>
      <c r="F861" s="83">
        <f>BDP("KKR US Equity","BS_CASH_NEAR_CASH_ITEM")</f>
        <v/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24Y</t>
        </is>
      </c>
      <c r="E862" t="inlineStr">
        <is>
          <t>EPS estimate FY2024</t>
        </is>
      </c>
      <c r="F862" s="83">
        <f>BDP("KKR US Equity","BEST_EPS","BEST_FPERIOD_OVERRIDE","24Y")</f>
        <v/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24Y</t>
        </is>
      </c>
      <c r="E863" t="inlineStr">
        <is>
          <t>Revenue estimate FY2024</t>
        </is>
      </c>
      <c r="F863" s="83">
        <f>BDP("KKR US Equity","BEST_SALES","BEST_FPERIOD_OVERRIDE","24Y")</f>
        <v/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24Y</t>
        </is>
      </c>
      <c r="E864" t="inlineStr">
        <is>
          <t>EBIT estimate FY2024</t>
        </is>
      </c>
      <c r="F864" s="83">
        <f>BDP("KKR US Equity","BEST_EBIT","BEST_FPERIOD_OVERRIDE","24Y")</f>
        <v/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25Y</t>
        </is>
      </c>
      <c r="E865" t="inlineStr">
        <is>
          <t>EPS estimate FY2025</t>
        </is>
      </c>
      <c r="F865" s="83">
        <f>BDP("KKR US Equity","BEST_EPS","BEST_FPERIOD_OVERRIDE","25Y")</f>
        <v/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25Y</t>
        </is>
      </c>
      <c r="E866" t="inlineStr">
        <is>
          <t>Revenue estimate FY2025</t>
        </is>
      </c>
      <c r="F866" s="83">
        <f>BDP("KKR US Equity","BEST_SALES","BEST_FPERIOD_OVERRIDE","25Y")</f>
        <v/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25Y</t>
        </is>
      </c>
      <c r="E867" t="inlineStr">
        <is>
          <t>EBIT estimate FY2025</t>
        </is>
      </c>
      <c r="F867" s="83">
        <f>BDP("KKR US Equity","BEST_EBIT","BEST_FPERIOD_OVERRIDE","25Y")</f>
        <v/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26Y</t>
        </is>
      </c>
      <c r="E868" t="inlineStr">
        <is>
          <t>EPS estimate FY2026</t>
        </is>
      </c>
      <c r="F868" s="83">
        <f>BDP("KKR US Equity","BEST_EPS","BEST_FPERIOD_OVERRIDE","26Y")</f>
        <v/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26Y</t>
        </is>
      </c>
      <c r="E869" t="inlineStr">
        <is>
          <t>Revenue estimate FY2026</t>
        </is>
      </c>
      <c r="F869" s="83">
        <f>BDP("KKR US Equity","BEST_SALES","BEST_FPERIOD_OVERRIDE","26Y")</f>
        <v/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26Y</t>
        </is>
      </c>
      <c r="E870" t="inlineStr">
        <is>
          <t>EBIT estimate FY2026</t>
        </is>
      </c>
      <c r="F870" s="83">
        <f>BDP("KKR US Equity","BEST_EBIT","BEST_FPERIOD_OVERRIDE","26Y")</f>
        <v/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27Y</t>
        </is>
      </c>
      <c r="E871" t="inlineStr">
        <is>
          <t>EPS estimate FY2027</t>
        </is>
      </c>
      <c r="F871" s="83">
        <f>BDP("KKR US Equity","BEST_EPS","BEST_FPERIOD_OVERRIDE","27Y")</f>
        <v/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27Y</t>
        </is>
      </c>
      <c r="E872" t="inlineStr">
        <is>
          <t>Revenue estimate FY2027</t>
        </is>
      </c>
      <c r="F872" s="83">
        <f>BDP("KKR US Equity","BEST_SALES","BEST_FPERIOD_OVERRIDE","27Y")</f>
        <v/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27Y</t>
        </is>
      </c>
      <c r="E873" t="inlineStr">
        <is>
          <t>EBIT estimate FY2027</t>
        </is>
      </c>
      <c r="F873" s="83">
        <f>BDP("KKR US Equity","BEST_EBIT","BEST_FPERIOD_OVERRIDE","27Y")</f>
        <v/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28Y</t>
        </is>
      </c>
      <c r="E874" t="inlineStr">
        <is>
          <t>EPS estimate FY2028</t>
        </is>
      </c>
      <c r="F874" s="83">
        <f>BDP("KKR US Equity","BEST_EPS","BEST_FPERIOD_OVERRIDE","28Y")</f>
        <v/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28Y</t>
        </is>
      </c>
      <c r="E875" t="inlineStr">
        <is>
          <t>Revenue estimate FY2028</t>
        </is>
      </c>
      <c r="F875" s="83">
        <f>BDP("KKR US Equity","BEST_SALES","BEST_FPERIOD_OVERRIDE","28Y")</f>
        <v/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28Y</t>
        </is>
      </c>
      <c r="E876" t="inlineStr">
        <is>
          <t>EBIT estimate FY2028</t>
        </is>
      </c>
      <c r="F876" s="83">
        <f>BDP("KKR US Equity","BEST_EBIT","BEST_FPERIOD_OVERRIDE","28Y")</f>
        <v/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E877" t="inlineStr">
        <is>
          <t>Last price</t>
        </is>
      </c>
      <c r="F877" s="83">
        <f>BDP("IBKR US Equity","PX_LAST")</f>
        <v/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E878" t="inlineStr">
        <is>
          <t>Market cap (raw)</t>
        </is>
      </c>
      <c r="F878" s="83">
        <f>BDP("IBKR US Equity","CUR_MKT_CAP")</f>
        <v/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E879" t="inlineStr">
        <is>
          <t>YTD price change %</t>
        </is>
      </c>
      <c r="F879" s="83">
        <f>BDP("IBKR US Equity","CHG_PCT_YTD")</f>
        <v/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E880" t="inlineStr">
        <is>
          <t>Net debt / EBITDA</t>
        </is>
      </c>
      <c r="F880" s="83">
        <f>BDP("IBKR US Equity","NET_DEBT_TO_EBITDA")</f>
        <v/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E881" t="inlineStr">
        <is>
          <t>ROIC (LTM)</t>
        </is>
      </c>
      <c r="F881" s="83">
        <f>BDP("IBKR US Equity","RETURN_ON_INV_CAPITAL")</f>
        <v/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E882" t="inlineStr">
        <is>
          <t>LTM operating income</t>
        </is>
      </c>
      <c r="F882" s="83">
        <f>BDP("IBKR US Equity","TRAIL_12M_OPER_INC")</f>
        <v/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E883" t="inlineStr">
        <is>
          <t>LTM EBITDA</t>
        </is>
      </c>
      <c r="F883" s="83">
        <f>BDP("IBKR US Equity","TRAIL_12M_EBITDA")</f>
        <v/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E884" t="inlineStr">
        <is>
          <t>Total debt</t>
        </is>
      </c>
      <c r="F884" s="83">
        <f>BDP("IBKR US Equity","SHORT_AND_LONG_TERM_DEBT")</f>
        <v/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E885" t="inlineStr">
        <is>
          <t>Total equity</t>
        </is>
      </c>
      <c r="F885" s="83">
        <f>BDP("IBKR US Equity","TOTAL_EQUITY")</f>
        <v/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E886" t="inlineStr">
        <is>
          <t>Cash &amp; equivalents</t>
        </is>
      </c>
      <c r="F886" s="83">
        <f>BDP("IBKR US Equity","BS_CASH_NEAR_CASH_ITEM")</f>
        <v/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24Y</t>
        </is>
      </c>
      <c r="E887" t="inlineStr">
        <is>
          <t>EPS estimate FY2024</t>
        </is>
      </c>
      <c r="F887" s="83">
        <f>BDP("IBKR US Equity","BEST_EPS","BEST_FPERIOD_OVERRIDE","24Y")</f>
        <v/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24Y</t>
        </is>
      </c>
      <c r="E888" t="inlineStr">
        <is>
          <t>Revenue estimate FY2024</t>
        </is>
      </c>
      <c r="F888" s="83">
        <f>BDP("IBKR US Equity","BEST_SALES","BEST_FPERIOD_OVERRIDE","24Y")</f>
        <v/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24Y</t>
        </is>
      </c>
      <c r="E889" t="inlineStr">
        <is>
          <t>EBIT estimate FY2024</t>
        </is>
      </c>
      <c r="F889" s="83">
        <f>BDP("IBKR US Equity","BEST_EBIT","BEST_FPERIOD_OVERRIDE","24Y")</f>
        <v/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25Y</t>
        </is>
      </c>
      <c r="E890" t="inlineStr">
        <is>
          <t>EPS estimate FY2025</t>
        </is>
      </c>
      <c r="F890" s="83">
        <f>BDP("IBKR US Equity","BEST_EPS","BEST_FPERIOD_OVERRIDE","25Y")</f>
        <v/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25Y</t>
        </is>
      </c>
      <c r="E891" t="inlineStr">
        <is>
          <t>Revenue estimate FY2025</t>
        </is>
      </c>
      <c r="F891" s="83">
        <f>BDP("IBKR US Equity","BEST_SALES","BEST_FPERIOD_OVERRIDE","25Y")</f>
        <v/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25Y</t>
        </is>
      </c>
      <c r="E892" t="inlineStr">
        <is>
          <t>EBIT estimate FY2025</t>
        </is>
      </c>
      <c r="F892" s="83">
        <f>BDP("IBKR US Equity","BEST_EBIT","BEST_FPERIOD_OVERRIDE","25Y")</f>
        <v/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26Y</t>
        </is>
      </c>
      <c r="E893" t="inlineStr">
        <is>
          <t>EPS estimate FY2026</t>
        </is>
      </c>
      <c r="F893" s="83">
        <f>BDP("IBKR US Equity","BEST_EPS","BEST_FPERIOD_OVERRIDE","26Y")</f>
        <v/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26Y</t>
        </is>
      </c>
      <c r="E894" t="inlineStr">
        <is>
          <t>Revenue estimate FY2026</t>
        </is>
      </c>
      <c r="F894" s="83">
        <f>BDP("IBKR US Equity","BEST_SALES","BEST_FPERIOD_OVERRIDE","26Y")</f>
        <v/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26Y</t>
        </is>
      </c>
      <c r="E895" t="inlineStr">
        <is>
          <t>EBIT estimate FY2026</t>
        </is>
      </c>
      <c r="F895" s="83">
        <f>BDP("IBKR US Equity","BEST_EBIT","BEST_FPERIOD_OVERRIDE","26Y")</f>
        <v/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27Y</t>
        </is>
      </c>
      <c r="E896" t="inlineStr">
        <is>
          <t>EPS estimate FY2027</t>
        </is>
      </c>
      <c r="F896" s="83">
        <f>BDP("IBKR US Equity","BEST_EPS","BEST_FPERIOD_OVERRIDE","27Y")</f>
        <v/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27Y</t>
        </is>
      </c>
      <c r="E897" t="inlineStr">
        <is>
          <t>Revenue estimate FY2027</t>
        </is>
      </c>
      <c r="F897" s="83">
        <f>BDP("IBKR US Equity","BEST_SALES","BEST_FPERIOD_OVERRIDE","27Y")</f>
        <v/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27Y</t>
        </is>
      </c>
      <c r="E898" t="inlineStr">
        <is>
          <t>EBIT estimate FY2027</t>
        </is>
      </c>
      <c r="F898" s="83">
        <f>BDP("IBKR US Equity","BEST_EBIT","BEST_FPERIOD_OVERRIDE","27Y")</f>
        <v/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28Y</t>
        </is>
      </c>
      <c r="E899" t="inlineStr">
        <is>
          <t>EPS estimate FY2028</t>
        </is>
      </c>
      <c r="F899" s="83">
        <f>BDP("IBKR US Equity","BEST_EPS","BEST_FPERIOD_OVERRIDE","28Y")</f>
        <v/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28Y</t>
        </is>
      </c>
      <c r="E900" t="inlineStr">
        <is>
          <t>Revenue estimate FY2028</t>
        </is>
      </c>
      <c r="F900" s="83">
        <f>BDP("IBKR US Equity","BEST_SALES","BEST_FPERIOD_OVERRIDE","28Y")</f>
        <v/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28Y</t>
        </is>
      </c>
      <c r="E901" t="inlineStr">
        <is>
          <t>EBIT estimate FY2028</t>
        </is>
      </c>
      <c r="F901" s="83">
        <f>BDP("IBKR US Equity","BEST_EBIT","BEST_FPERIOD_OVERRIDE","28Y")</f>
        <v/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E902" t="inlineStr">
        <is>
          <t>Last price</t>
        </is>
      </c>
      <c r="F902" s="83">
        <f>BDP("AXP US Equity","PX_LAST")</f>
        <v/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E903" t="inlineStr">
        <is>
          <t>Market cap (raw)</t>
        </is>
      </c>
      <c r="F903" s="83">
        <f>BDP("AXP US Equity","CUR_MKT_CAP")</f>
        <v/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E904" t="inlineStr">
        <is>
          <t>YTD price change %</t>
        </is>
      </c>
      <c r="F904" s="83">
        <f>BDP("AXP US Equity","CHG_PCT_YTD")</f>
        <v/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E905" t="inlineStr">
        <is>
          <t>Net debt / EBITDA</t>
        </is>
      </c>
      <c r="F905" s="83">
        <f>BDP("AXP US Equity","NET_DEBT_TO_EBITDA")</f>
        <v/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E906" t="inlineStr">
        <is>
          <t>ROIC (LTM)</t>
        </is>
      </c>
      <c r="F906" s="83">
        <f>BDP("AXP US Equity","RETURN_ON_INV_CAPITAL")</f>
        <v/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E907" t="inlineStr">
        <is>
          <t>LTM operating income</t>
        </is>
      </c>
      <c r="F907" s="83">
        <f>BDP("AXP US Equity","TRAIL_12M_OPER_INC")</f>
        <v/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E908" t="inlineStr">
        <is>
          <t>LTM EBITDA</t>
        </is>
      </c>
      <c r="F908" s="83">
        <f>BDP("AXP US Equity","TRAIL_12M_EBITDA")</f>
        <v/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E909" t="inlineStr">
        <is>
          <t>Total debt</t>
        </is>
      </c>
      <c r="F909" s="83">
        <f>BDP("AXP US Equity","SHORT_AND_LONG_TERM_DEBT")</f>
        <v/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E910" t="inlineStr">
        <is>
          <t>Total equity</t>
        </is>
      </c>
      <c r="F910" s="83">
        <f>BDP("AXP US Equity","TOTAL_EQUITY")</f>
        <v/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E911" t="inlineStr">
        <is>
          <t>Cash &amp; equivalents</t>
        </is>
      </c>
      <c r="F911" s="83">
        <f>BDP("AXP US Equity","BS_CASH_NEAR_CASH_ITEM")</f>
        <v/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24Y</t>
        </is>
      </c>
      <c r="E912" t="inlineStr">
        <is>
          <t>EPS estimate FY2024</t>
        </is>
      </c>
      <c r="F912" s="83">
        <f>BDP("AXP US Equity","BEST_EPS","BEST_FPERIOD_OVERRIDE","24Y")</f>
        <v/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24Y</t>
        </is>
      </c>
      <c r="E913" t="inlineStr">
        <is>
          <t>Revenue estimate FY2024</t>
        </is>
      </c>
      <c r="F913" s="83">
        <f>BDP("AXP US Equity","BEST_SALES","BEST_FPERIOD_OVERRIDE","24Y")</f>
        <v/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24Y</t>
        </is>
      </c>
      <c r="E914" t="inlineStr">
        <is>
          <t>EBIT estimate FY2024</t>
        </is>
      </c>
      <c r="F914" s="83">
        <f>BDP("AXP US Equity","BEST_EBIT","BEST_FPERIOD_OVERRIDE","24Y")</f>
        <v/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25Y</t>
        </is>
      </c>
      <c r="E915" t="inlineStr">
        <is>
          <t>EPS estimate FY2025</t>
        </is>
      </c>
      <c r="F915" s="83">
        <f>BDP("AXP US Equity","BEST_EPS","BEST_FPERIOD_OVERRIDE","25Y")</f>
        <v/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25Y</t>
        </is>
      </c>
      <c r="E916" t="inlineStr">
        <is>
          <t>Revenue estimate FY2025</t>
        </is>
      </c>
      <c r="F916" s="83">
        <f>BDP("AXP US Equity","BEST_SALES","BEST_FPERIOD_OVERRIDE","25Y")</f>
        <v/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25Y</t>
        </is>
      </c>
      <c r="E917" t="inlineStr">
        <is>
          <t>EBIT estimate FY2025</t>
        </is>
      </c>
      <c r="F917" s="83">
        <f>BDP("AXP US Equity","BEST_EBIT","BEST_FPERIOD_OVERRIDE","25Y")</f>
        <v/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26Y</t>
        </is>
      </c>
      <c r="E918" t="inlineStr">
        <is>
          <t>EPS estimate FY2026</t>
        </is>
      </c>
      <c r="F918" s="83">
        <f>BDP("AXP US Equity","BEST_EPS","BEST_FPERIOD_OVERRIDE","26Y")</f>
        <v/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26Y</t>
        </is>
      </c>
      <c r="E919" t="inlineStr">
        <is>
          <t>Revenue estimate FY2026</t>
        </is>
      </c>
      <c r="F919" s="83">
        <f>BDP("AXP US Equity","BEST_SALES","BEST_FPERIOD_OVERRIDE","26Y")</f>
        <v/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26Y</t>
        </is>
      </c>
      <c r="E920" t="inlineStr">
        <is>
          <t>EBIT estimate FY2026</t>
        </is>
      </c>
      <c r="F920" s="83">
        <f>BDP("AXP US Equity","BEST_EBIT","BEST_FPERIOD_OVERRIDE","26Y")</f>
        <v/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27Y</t>
        </is>
      </c>
      <c r="E921" t="inlineStr">
        <is>
          <t>EPS estimate FY2027</t>
        </is>
      </c>
      <c r="F921" s="83">
        <f>BDP("AXP US Equity","BEST_EPS","BEST_FPERIOD_OVERRIDE","27Y")</f>
        <v/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27Y</t>
        </is>
      </c>
      <c r="E922" t="inlineStr">
        <is>
          <t>Revenue estimate FY2027</t>
        </is>
      </c>
      <c r="F922" s="83">
        <f>BDP("AXP US Equity","BEST_SALES","BEST_FPERIOD_OVERRIDE","27Y")</f>
        <v/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27Y</t>
        </is>
      </c>
      <c r="E923" t="inlineStr">
        <is>
          <t>EBIT estimate FY2027</t>
        </is>
      </c>
      <c r="F923" s="83">
        <f>BDP("AXP US Equity","BEST_EBIT","BEST_FPERIOD_OVERRIDE","27Y")</f>
        <v/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28Y</t>
        </is>
      </c>
      <c r="E924" t="inlineStr">
        <is>
          <t>EPS estimate FY2028</t>
        </is>
      </c>
      <c r="F924" s="83">
        <f>BDP("AXP US Equity","BEST_EPS","BEST_FPERIOD_OVERRIDE","28Y")</f>
        <v/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28Y</t>
        </is>
      </c>
      <c r="E925" t="inlineStr">
        <is>
          <t>Revenue estimate FY2028</t>
        </is>
      </c>
      <c r="F925" s="83">
        <f>BDP("AXP US Equity","BEST_SALES","BEST_FPERIOD_OVERRIDE","28Y")</f>
        <v/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28Y</t>
        </is>
      </c>
      <c r="E926" t="inlineStr">
        <is>
          <t>EBIT estimate FY2028</t>
        </is>
      </c>
      <c r="F926" s="83">
        <f>BDP("AXP US Equity","BEST_EBIT","BEST_FPERIOD_OVERRIDE","28Y")</f>
        <v/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E927" t="inlineStr">
        <is>
          <t>Last price</t>
        </is>
      </c>
      <c r="F927" s="83">
        <f>BDP("AON US Equity","PX_LAST")</f>
        <v/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E928" t="inlineStr">
        <is>
          <t>Market cap (raw)</t>
        </is>
      </c>
      <c r="F928" s="83">
        <f>BDP("AON US Equity","CUR_MKT_CAP")</f>
        <v/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E929" t="inlineStr">
        <is>
          <t>YTD price change %</t>
        </is>
      </c>
      <c r="F929" s="83">
        <f>BDP("AON US Equity","CHG_PCT_YTD")</f>
        <v/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E930" t="inlineStr">
        <is>
          <t>Net debt / EBITDA</t>
        </is>
      </c>
      <c r="F930" s="83">
        <f>BDP("AON US Equity","NET_DEBT_TO_EBITDA")</f>
        <v/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E931" t="inlineStr">
        <is>
          <t>ROIC (LTM)</t>
        </is>
      </c>
      <c r="F931" s="83">
        <f>BDP("AON US Equity","RETURN_ON_INV_CAPITAL")</f>
        <v/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E932" t="inlineStr">
        <is>
          <t>LTM operating income</t>
        </is>
      </c>
      <c r="F932" s="83">
        <f>BDP("AON US Equity","TRAIL_12M_OPER_INC")</f>
        <v/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E933" t="inlineStr">
        <is>
          <t>LTM EBITDA</t>
        </is>
      </c>
      <c r="F933" s="83">
        <f>BDP("AON US Equity","TRAIL_12M_EBITDA")</f>
        <v/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E934" t="inlineStr">
        <is>
          <t>Total debt</t>
        </is>
      </c>
      <c r="F934" s="83">
        <f>BDP("AON US Equity","SHORT_AND_LONG_TERM_DEBT")</f>
        <v/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E935" t="inlineStr">
        <is>
          <t>Total equity</t>
        </is>
      </c>
      <c r="F935" s="83">
        <f>BDP("AON US Equity","TOTAL_EQUITY")</f>
        <v/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E936" t="inlineStr">
        <is>
          <t>Cash &amp; equivalents</t>
        </is>
      </c>
      <c r="F936" s="83">
        <f>BDP("AON US Equity","BS_CASH_NEAR_CASH_ITEM")</f>
        <v/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24Y</t>
        </is>
      </c>
      <c r="E937" t="inlineStr">
        <is>
          <t>EPS estimate FY2024</t>
        </is>
      </c>
      <c r="F937" s="83">
        <f>BDP("AON US Equity","BEST_EPS","BEST_FPERIOD_OVERRIDE","24Y")</f>
        <v/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24Y</t>
        </is>
      </c>
      <c r="E938" t="inlineStr">
        <is>
          <t>Revenue estimate FY2024</t>
        </is>
      </c>
      <c r="F938" s="83">
        <f>BDP("AON US Equity","BEST_SALES","BEST_FPERIOD_OVERRIDE","24Y")</f>
        <v/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24Y</t>
        </is>
      </c>
      <c r="E939" t="inlineStr">
        <is>
          <t>EBIT estimate FY2024</t>
        </is>
      </c>
      <c r="F939" s="83">
        <f>BDP("AON US Equity","BEST_EBIT","BEST_FPERIOD_OVERRIDE","24Y")</f>
        <v/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25Y</t>
        </is>
      </c>
      <c r="E940" t="inlineStr">
        <is>
          <t>EPS estimate FY2025</t>
        </is>
      </c>
      <c r="F940" s="83">
        <f>BDP("AON US Equity","BEST_EPS","BEST_FPERIOD_OVERRIDE","25Y")</f>
        <v/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25Y</t>
        </is>
      </c>
      <c r="E941" t="inlineStr">
        <is>
          <t>Revenue estimate FY2025</t>
        </is>
      </c>
      <c r="F941" s="83">
        <f>BDP("AON US Equity","BEST_SALES","BEST_FPERIOD_OVERRIDE","25Y")</f>
        <v/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25Y</t>
        </is>
      </c>
      <c r="E942" t="inlineStr">
        <is>
          <t>EBIT estimate FY2025</t>
        </is>
      </c>
      <c r="F942" s="83">
        <f>BDP("AON US Equity","BEST_EBIT","BEST_FPERIOD_OVERRIDE","25Y")</f>
        <v/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26Y</t>
        </is>
      </c>
      <c r="E943" t="inlineStr">
        <is>
          <t>EPS estimate FY2026</t>
        </is>
      </c>
      <c r="F943" s="83">
        <f>BDP("AON US Equity","BEST_EPS","BEST_FPERIOD_OVERRIDE","26Y")</f>
        <v/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26Y</t>
        </is>
      </c>
      <c r="E944" t="inlineStr">
        <is>
          <t>Revenue estimate FY2026</t>
        </is>
      </c>
      <c r="F944" s="83">
        <f>BDP("AON US Equity","BEST_SALES","BEST_FPERIOD_OVERRIDE","26Y")</f>
        <v/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26Y</t>
        </is>
      </c>
      <c r="E945" t="inlineStr">
        <is>
          <t>EBIT estimate FY2026</t>
        </is>
      </c>
      <c r="F945" s="83">
        <f>BDP("AON US Equity","BEST_EBIT","BEST_FPERIOD_OVERRIDE","26Y")</f>
        <v/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27Y</t>
        </is>
      </c>
      <c r="E946" t="inlineStr">
        <is>
          <t>EPS estimate FY2027</t>
        </is>
      </c>
      <c r="F946" s="83">
        <f>BDP("AON US Equity","BEST_EPS","BEST_FPERIOD_OVERRIDE","27Y")</f>
        <v/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27Y</t>
        </is>
      </c>
      <c r="E947" t="inlineStr">
        <is>
          <t>Revenue estimate FY2027</t>
        </is>
      </c>
      <c r="F947" s="83">
        <f>BDP("AON US Equity","BEST_SALES","BEST_FPERIOD_OVERRIDE","27Y")</f>
        <v/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27Y</t>
        </is>
      </c>
      <c r="E948" t="inlineStr">
        <is>
          <t>EBIT estimate FY2027</t>
        </is>
      </c>
      <c r="F948" s="83">
        <f>BDP("AON US Equity","BEST_EBIT","BEST_FPERIOD_OVERRIDE","27Y")</f>
        <v/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28Y</t>
        </is>
      </c>
      <c r="E949" t="inlineStr">
        <is>
          <t>EPS estimate FY2028</t>
        </is>
      </c>
      <c r="F949" s="83">
        <f>BDP("AON US Equity","BEST_EPS","BEST_FPERIOD_OVERRIDE","28Y")</f>
        <v/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28Y</t>
        </is>
      </c>
      <c r="E950" t="inlineStr">
        <is>
          <t>Revenue estimate FY2028</t>
        </is>
      </c>
      <c r="F950" s="83">
        <f>BDP("AON US Equity","BEST_SALES","BEST_FPERIOD_OVERRIDE","28Y")</f>
        <v/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28Y</t>
        </is>
      </c>
      <c r="E951" t="inlineStr">
        <is>
          <t>EBIT estimate FY2028</t>
        </is>
      </c>
      <c r="F951" s="83">
        <f>BDP("AON US Equity","BEST_EBIT","BEST_FPERIOD_OVERRIDE","28Y")</f>
        <v/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E952" t="inlineStr">
        <is>
          <t>Last price</t>
        </is>
      </c>
      <c r="F952" s="83">
        <f>BDP("MMC US Equity","PX_LAST")</f>
        <v/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E953" t="inlineStr">
        <is>
          <t>Market cap (raw)</t>
        </is>
      </c>
      <c r="F953" s="83">
        <f>BDP("MMC US Equity","CUR_MKT_CAP")</f>
        <v/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E954" t="inlineStr">
        <is>
          <t>YTD price change %</t>
        </is>
      </c>
      <c r="F954" s="83">
        <f>BDP("MMC US Equity","CHG_PCT_YTD")</f>
        <v/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E955" t="inlineStr">
        <is>
          <t>Net debt / EBITDA</t>
        </is>
      </c>
      <c r="F955" s="83">
        <f>BDP("MMC US Equity","NET_DEBT_TO_EBITDA")</f>
        <v/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E956" t="inlineStr">
        <is>
          <t>ROIC (LTM)</t>
        </is>
      </c>
      <c r="F956" s="83">
        <f>BDP("MMC US Equity","RETURN_ON_INV_CAPITAL")</f>
        <v/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E957" t="inlineStr">
        <is>
          <t>LTM operating income</t>
        </is>
      </c>
      <c r="F957" s="83">
        <f>BDP("MMC US Equity","TRAIL_12M_OPER_INC")</f>
        <v/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E958" t="inlineStr">
        <is>
          <t>LTM EBITDA</t>
        </is>
      </c>
      <c r="F958" s="83">
        <f>BDP("MMC US Equity","TRAIL_12M_EBITDA")</f>
        <v/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E959" t="inlineStr">
        <is>
          <t>Total debt</t>
        </is>
      </c>
      <c r="F959" s="83">
        <f>BDP("MMC US Equity","SHORT_AND_LONG_TERM_DEBT")</f>
        <v/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E960" t="inlineStr">
        <is>
          <t>Total equity</t>
        </is>
      </c>
      <c r="F960" s="83">
        <f>BDP("MMC US Equity","TOTAL_EQUITY")</f>
        <v/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E961" t="inlineStr">
        <is>
          <t>Cash &amp; equivalents</t>
        </is>
      </c>
      <c r="F961" s="83">
        <f>BDP("MMC US Equity","BS_CASH_NEAR_CASH_ITEM")</f>
        <v/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24Y</t>
        </is>
      </c>
      <c r="E962" t="inlineStr">
        <is>
          <t>EPS estimate FY2024</t>
        </is>
      </c>
      <c r="F962" s="83">
        <f>BDP("MMC US Equity","BEST_EPS","BEST_FPERIOD_OVERRIDE","24Y")</f>
        <v/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24Y</t>
        </is>
      </c>
      <c r="E963" t="inlineStr">
        <is>
          <t>Revenue estimate FY2024</t>
        </is>
      </c>
      <c r="F963" s="83">
        <f>BDP("MMC US Equity","BEST_SALES","BEST_FPERIOD_OVERRIDE","24Y")</f>
        <v/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24Y</t>
        </is>
      </c>
      <c r="E964" t="inlineStr">
        <is>
          <t>EBIT estimate FY2024</t>
        </is>
      </c>
      <c r="F964" s="83">
        <f>BDP("MMC US Equity","BEST_EBIT","BEST_FPERIOD_OVERRIDE","24Y")</f>
        <v/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25Y</t>
        </is>
      </c>
      <c r="E965" t="inlineStr">
        <is>
          <t>EPS estimate FY2025</t>
        </is>
      </c>
      <c r="F965" s="83">
        <f>BDP("MMC US Equity","BEST_EPS","BEST_FPERIOD_OVERRIDE","25Y")</f>
        <v/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25Y</t>
        </is>
      </c>
      <c r="E966" t="inlineStr">
        <is>
          <t>Revenue estimate FY2025</t>
        </is>
      </c>
      <c r="F966" s="83">
        <f>BDP("MMC US Equity","BEST_SALES","BEST_FPERIOD_OVERRIDE","25Y")</f>
        <v/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25Y</t>
        </is>
      </c>
      <c r="E967" t="inlineStr">
        <is>
          <t>EBIT estimate FY2025</t>
        </is>
      </c>
      <c r="F967" s="83">
        <f>BDP("MMC US Equity","BEST_EBIT","BEST_FPERIOD_OVERRIDE","25Y")</f>
        <v/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26Y</t>
        </is>
      </c>
      <c r="E968" t="inlineStr">
        <is>
          <t>EPS estimate FY2026</t>
        </is>
      </c>
      <c r="F968" s="83">
        <f>BDP("MMC US Equity","BEST_EPS","BEST_FPERIOD_OVERRIDE","26Y")</f>
        <v/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26Y</t>
        </is>
      </c>
      <c r="E969" t="inlineStr">
        <is>
          <t>Revenue estimate FY2026</t>
        </is>
      </c>
      <c r="F969" s="83">
        <f>BDP("MMC US Equity","BEST_SALES","BEST_FPERIOD_OVERRIDE","26Y")</f>
        <v/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26Y</t>
        </is>
      </c>
      <c r="E970" t="inlineStr">
        <is>
          <t>EBIT estimate FY2026</t>
        </is>
      </c>
      <c r="F970" s="83">
        <f>BDP("MMC US Equity","BEST_EBIT","BEST_FPERIOD_OVERRIDE","26Y")</f>
        <v/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27Y</t>
        </is>
      </c>
      <c r="E971" t="inlineStr">
        <is>
          <t>EPS estimate FY2027</t>
        </is>
      </c>
      <c r="F971" s="83">
        <f>BDP("MMC US Equity","BEST_EPS","BEST_FPERIOD_OVERRIDE","27Y")</f>
        <v/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27Y</t>
        </is>
      </c>
      <c r="E972" t="inlineStr">
        <is>
          <t>Revenue estimate FY2027</t>
        </is>
      </c>
      <c r="F972" s="83">
        <f>BDP("MMC US Equity","BEST_SALES","BEST_FPERIOD_OVERRIDE","27Y")</f>
        <v/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27Y</t>
        </is>
      </c>
      <c r="E973" t="inlineStr">
        <is>
          <t>EBIT estimate FY2027</t>
        </is>
      </c>
      <c r="F973" s="83">
        <f>BDP("MMC US Equity","BEST_EBIT","BEST_FPERIOD_OVERRIDE","27Y")</f>
        <v/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28Y</t>
        </is>
      </c>
      <c r="E974" t="inlineStr">
        <is>
          <t>EPS estimate FY2028</t>
        </is>
      </c>
      <c r="F974" s="83">
        <f>BDP("MMC US Equity","BEST_EPS","BEST_FPERIOD_OVERRIDE","28Y")</f>
        <v/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28Y</t>
        </is>
      </c>
      <c r="E975" t="inlineStr">
        <is>
          <t>Revenue estimate FY2028</t>
        </is>
      </c>
      <c r="F975" s="83">
        <f>BDP("MMC US Equity","BEST_SALES","BEST_FPERIOD_OVERRIDE","28Y")</f>
        <v/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28Y</t>
        </is>
      </c>
      <c r="E976" t="inlineStr">
        <is>
          <t>EBIT estimate FY2028</t>
        </is>
      </c>
      <c r="F976" s="83">
        <f>BDP("MMC US Equity","BEST_EBIT","BEST_FPERIOD_OVERRIDE","28Y")</f>
        <v/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E977" t="inlineStr">
        <is>
          <t>Last price</t>
        </is>
      </c>
      <c r="F977" s="83">
        <f>BDP("MSCI US Equity","PX_LAST")</f>
        <v/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E978" t="inlineStr">
        <is>
          <t>Market cap (raw)</t>
        </is>
      </c>
      <c r="F978" s="83">
        <f>BDP("MSCI US Equity","CUR_MKT_CAP")</f>
        <v/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E979" t="inlineStr">
        <is>
          <t>YTD price change %</t>
        </is>
      </c>
      <c r="F979" s="83">
        <f>BDP("MSCI US Equity","CHG_PCT_YTD")</f>
        <v/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E980" t="inlineStr">
        <is>
          <t>Net debt / EBITDA</t>
        </is>
      </c>
      <c r="F980" s="83">
        <f>BDP("MSCI US Equity","NET_DEBT_TO_EBITDA")</f>
        <v/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E981" t="inlineStr">
        <is>
          <t>ROIC (LTM)</t>
        </is>
      </c>
      <c r="F981" s="83">
        <f>BDP("MSCI US Equity","RETURN_ON_INV_CAPITAL")</f>
        <v/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E982" t="inlineStr">
        <is>
          <t>LTM operating income</t>
        </is>
      </c>
      <c r="F982" s="83">
        <f>BDP("MSCI US Equity","TRAIL_12M_OPER_INC")</f>
        <v/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E983" t="inlineStr">
        <is>
          <t>LTM EBITDA</t>
        </is>
      </c>
      <c r="F983" s="83">
        <f>BDP("MSCI US Equity","TRAIL_12M_EBITDA")</f>
        <v/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E984" t="inlineStr">
        <is>
          <t>Total debt</t>
        </is>
      </c>
      <c r="F984" s="83">
        <f>BDP("MSCI US Equity","SHORT_AND_LONG_TERM_DEBT")</f>
        <v/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E985" t="inlineStr">
        <is>
          <t>Total equity</t>
        </is>
      </c>
      <c r="F985" s="83">
        <f>BDP("MSCI US Equity","TOTAL_EQUITY")</f>
        <v/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E986" t="inlineStr">
        <is>
          <t>Cash &amp; equivalents</t>
        </is>
      </c>
      <c r="F986" s="83">
        <f>BDP("MSCI US Equity","BS_CASH_NEAR_CASH_ITEM")</f>
        <v/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24Y</t>
        </is>
      </c>
      <c r="E987" t="inlineStr">
        <is>
          <t>EPS estimate FY2024</t>
        </is>
      </c>
      <c r="F987" s="83">
        <f>BDP("MSCI US Equity","BEST_EPS","BEST_FPERIOD_OVERRIDE","24Y")</f>
        <v/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24Y</t>
        </is>
      </c>
      <c r="E988" t="inlineStr">
        <is>
          <t>Revenue estimate FY2024</t>
        </is>
      </c>
      <c r="F988" s="83">
        <f>BDP("MSCI US Equity","BEST_SALES","BEST_FPERIOD_OVERRIDE","24Y")</f>
        <v/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24Y</t>
        </is>
      </c>
      <c r="E989" t="inlineStr">
        <is>
          <t>EBIT estimate FY2024</t>
        </is>
      </c>
      <c r="F989" s="83">
        <f>BDP("MSCI US Equity","BEST_EBIT","BEST_FPERIOD_OVERRIDE","24Y")</f>
        <v/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25Y</t>
        </is>
      </c>
      <c r="E990" t="inlineStr">
        <is>
          <t>EPS estimate FY2025</t>
        </is>
      </c>
      <c r="F990" s="83">
        <f>BDP("MSCI US Equity","BEST_EPS","BEST_FPERIOD_OVERRIDE","25Y")</f>
        <v/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25Y</t>
        </is>
      </c>
      <c r="E991" t="inlineStr">
        <is>
          <t>Revenue estimate FY2025</t>
        </is>
      </c>
      <c r="F991" s="83">
        <f>BDP("MSCI US Equity","BEST_SALES","BEST_FPERIOD_OVERRIDE","25Y")</f>
        <v/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25Y</t>
        </is>
      </c>
      <c r="E992" t="inlineStr">
        <is>
          <t>EBIT estimate FY2025</t>
        </is>
      </c>
      <c r="F992" s="83">
        <f>BDP("MSCI US Equity","BEST_EBIT","BEST_FPERIOD_OVERRIDE","25Y")</f>
        <v/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26Y</t>
        </is>
      </c>
      <c r="E993" t="inlineStr">
        <is>
          <t>EPS estimate FY2026</t>
        </is>
      </c>
      <c r="F993" s="83">
        <f>BDP("MSCI US Equity","BEST_EPS","BEST_FPERIOD_OVERRIDE","26Y")</f>
        <v/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26Y</t>
        </is>
      </c>
      <c r="E994" t="inlineStr">
        <is>
          <t>Revenue estimate FY2026</t>
        </is>
      </c>
      <c r="F994" s="83">
        <f>BDP("MSCI US Equity","BEST_SALES","BEST_FPERIOD_OVERRIDE","26Y")</f>
        <v/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26Y</t>
        </is>
      </c>
      <c r="E995" t="inlineStr">
        <is>
          <t>EBIT estimate FY2026</t>
        </is>
      </c>
      <c r="F995" s="83">
        <f>BDP("MSCI US Equity","BEST_EBIT","BEST_FPERIOD_OVERRIDE","26Y")</f>
        <v/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27Y</t>
        </is>
      </c>
      <c r="E996" t="inlineStr">
        <is>
          <t>EPS estimate FY2027</t>
        </is>
      </c>
      <c r="F996" s="83">
        <f>BDP("MSCI US Equity","BEST_EPS","BEST_FPERIOD_OVERRIDE","27Y")</f>
        <v/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27Y</t>
        </is>
      </c>
      <c r="E997" t="inlineStr">
        <is>
          <t>Revenue estimate FY2027</t>
        </is>
      </c>
      <c r="F997" s="83">
        <f>BDP("MSCI US Equity","BEST_SALES","BEST_FPERIOD_OVERRIDE","27Y")</f>
        <v/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27Y</t>
        </is>
      </c>
      <c r="E998" t="inlineStr">
        <is>
          <t>EBIT estimate FY2027</t>
        </is>
      </c>
      <c r="F998" s="83">
        <f>BDP("MSCI US Equity","BEST_EBIT","BEST_FPERIOD_OVERRIDE","27Y")</f>
        <v/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28Y</t>
        </is>
      </c>
      <c r="E999" t="inlineStr">
        <is>
          <t>EPS estimate FY2028</t>
        </is>
      </c>
      <c r="F999" s="83">
        <f>BDP("MSCI US Equity","BEST_EPS","BEST_FPERIOD_OVERRIDE","28Y")</f>
        <v/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28Y</t>
        </is>
      </c>
      <c r="E1000" t="inlineStr">
        <is>
          <t>Revenue estimate FY2028</t>
        </is>
      </c>
      <c r="F1000" s="83">
        <f>BDP("MSCI US Equity","BEST_SALES","BEST_FPERIOD_OVERRIDE","28Y")</f>
        <v/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28Y</t>
        </is>
      </c>
      <c r="E1001" t="inlineStr">
        <is>
          <t>EBIT estimate FY2028</t>
        </is>
      </c>
      <c r="F1001" s="83">
        <f>BDP("MSCI US Equity","BEST_EBIT","BEST_FPERIOD_OVERRIDE","28Y")</f>
        <v/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E1002" t="inlineStr">
        <is>
          <t>Last price</t>
        </is>
      </c>
      <c r="F1002" s="83">
        <f>BDP("FICO US Equity","PX_LAST")</f>
        <v/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E1003" t="inlineStr">
        <is>
          <t>Market cap (raw)</t>
        </is>
      </c>
      <c r="F1003" s="83">
        <f>BDP("FICO US Equity","CUR_MKT_CAP")</f>
        <v/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E1004" t="inlineStr">
        <is>
          <t>YTD price change %</t>
        </is>
      </c>
      <c r="F1004" s="83">
        <f>BDP("FICO US Equity","CHG_PCT_YTD")</f>
        <v/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E1005" t="inlineStr">
        <is>
          <t>Net debt / EBITDA</t>
        </is>
      </c>
      <c r="F1005" s="83">
        <f>BDP("FICO US Equity","NET_DEBT_TO_EBITDA")</f>
        <v/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E1006" t="inlineStr">
        <is>
          <t>ROIC (LTM)</t>
        </is>
      </c>
      <c r="F1006" s="83">
        <f>BDP("FICO US Equity","RETURN_ON_INV_CAPITAL")</f>
        <v/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E1007" t="inlineStr">
        <is>
          <t>LTM operating income</t>
        </is>
      </c>
      <c r="F1007" s="83">
        <f>BDP("FICO US Equity","TRAIL_12M_OPER_INC")</f>
        <v/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E1008" t="inlineStr">
        <is>
          <t>LTM EBITDA</t>
        </is>
      </c>
      <c r="F1008" s="83">
        <f>BDP("FICO US Equity","TRAIL_12M_EBITDA")</f>
        <v/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E1009" t="inlineStr">
        <is>
          <t>Total debt</t>
        </is>
      </c>
      <c r="F1009" s="83">
        <f>BDP("FICO US Equity","SHORT_AND_LONG_TERM_DEBT")</f>
        <v/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E1010" t="inlineStr">
        <is>
          <t>Total equity</t>
        </is>
      </c>
      <c r="F1010" s="83">
        <f>BDP("FICO US Equity","TOTAL_EQUITY")</f>
        <v/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E1011" t="inlineStr">
        <is>
          <t>Cash &amp; equivalents</t>
        </is>
      </c>
      <c r="F1011" s="83">
        <f>BDP("FICO US Equity","BS_CASH_NEAR_CASH_ITEM")</f>
        <v/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24Y</t>
        </is>
      </c>
      <c r="E1012" t="inlineStr">
        <is>
          <t>EPS estimate FY2024</t>
        </is>
      </c>
      <c r="F1012" s="83">
        <f>BDP("FICO US Equity","BEST_EPS","BEST_FPERIOD_OVERRIDE","24Y")</f>
        <v/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24Y</t>
        </is>
      </c>
      <c r="E1013" t="inlineStr">
        <is>
          <t>Revenue estimate FY2024</t>
        </is>
      </c>
      <c r="F1013" s="83">
        <f>BDP("FICO US Equity","BEST_SALES","BEST_FPERIOD_OVERRIDE","24Y")</f>
        <v/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24Y</t>
        </is>
      </c>
      <c r="E1014" t="inlineStr">
        <is>
          <t>EBIT estimate FY2024</t>
        </is>
      </c>
      <c r="F1014" s="83">
        <f>BDP("FICO US Equity","BEST_EBIT","BEST_FPERIOD_OVERRIDE","24Y")</f>
        <v/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25Y</t>
        </is>
      </c>
      <c r="E1015" t="inlineStr">
        <is>
          <t>EPS estimate FY2025</t>
        </is>
      </c>
      <c r="F1015" s="83">
        <f>BDP("FICO US Equity","BEST_EPS","BEST_FPERIOD_OVERRIDE","25Y")</f>
        <v/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25Y</t>
        </is>
      </c>
      <c r="E1016" t="inlineStr">
        <is>
          <t>Revenue estimate FY2025</t>
        </is>
      </c>
      <c r="F1016" s="83">
        <f>BDP("FICO US Equity","BEST_SALES","BEST_FPERIOD_OVERRIDE","25Y")</f>
        <v/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25Y</t>
        </is>
      </c>
      <c r="E1017" t="inlineStr">
        <is>
          <t>EBIT estimate FY2025</t>
        </is>
      </c>
      <c r="F1017" s="83">
        <f>BDP("FICO US Equity","BEST_EBIT","BEST_FPERIOD_OVERRIDE","25Y")</f>
        <v/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26Y</t>
        </is>
      </c>
      <c r="E1018" t="inlineStr">
        <is>
          <t>EPS estimate FY2026</t>
        </is>
      </c>
      <c r="F1018" s="83">
        <f>BDP("FICO US Equity","BEST_EPS","BEST_FPERIOD_OVERRIDE","26Y")</f>
        <v/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26Y</t>
        </is>
      </c>
      <c r="E1019" t="inlineStr">
        <is>
          <t>Revenue estimate FY2026</t>
        </is>
      </c>
      <c r="F1019" s="83">
        <f>BDP("FICO US Equity","BEST_SALES","BEST_FPERIOD_OVERRIDE","26Y")</f>
        <v/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26Y</t>
        </is>
      </c>
      <c r="E1020" t="inlineStr">
        <is>
          <t>EBIT estimate FY2026</t>
        </is>
      </c>
      <c r="F1020" s="83">
        <f>BDP("FICO US Equity","BEST_EBIT","BEST_FPERIOD_OVERRIDE","26Y")</f>
        <v/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27Y</t>
        </is>
      </c>
      <c r="E1021" t="inlineStr">
        <is>
          <t>EPS estimate FY2027</t>
        </is>
      </c>
      <c r="F1021" s="83">
        <f>BDP("FICO US Equity","BEST_EPS","BEST_FPERIOD_OVERRIDE","27Y")</f>
        <v/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27Y</t>
        </is>
      </c>
      <c r="E1022" t="inlineStr">
        <is>
          <t>Revenue estimate FY2027</t>
        </is>
      </c>
      <c r="F1022" s="83">
        <f>BDP("FICO US Equity","BEST_SALES","BEST_FPERIOD_OVERRIDE","27Y")</f>
        <v/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27Y</t>
        </is>
      </c>
      <c r="E1023" t="inlineStr">
        <is>
          <t>EBIT estimate FY2027</t>
        </is>
      </c>
      <c r="F1023" s="83">
        <f>BDP("FICO US Equity","BEST_EBIT","BEST_FPERIOD_OVERRIDE","27Y")</f>
        <v/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28Y</t>
        </is>
      </c>
      <c r="E1024" t="inlineStr">
        <is>
          <t>EPS estimate FY2028</t>
        </is>
      </c>
      <c r="F1024" s="83">
        <f>BDP("FICO US Equity","BEST_EPS","BEST_FPERIOD_OVERRIDE","28Y")</f>
        <v/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28Y</t>
        </is>
      </c>
      <c r="E1025" t="inlineStr">
        <is>
          <t>Revenue estimate FY2028</t>
        </is>
      </c>
      <c r="F1025" s="83">
        <f>BDP("FICO US Equity","BEST_SALES","BEST_FPERIOD_OVERRIDE","28Y")</f>
        <v/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28Y</t>
        </is>
      </c>
      <c r="E1026" t="inlineStr">
        <is>
          <t>EBIT estimate FY2028</t>
        </is>
      </c>
      <c r="F1026" s="83">
        <f>BDP("FICO US Equity","BEST_EBIT","BEST_FPERIOD_OVERRIDE","28Y")</f>
        <v/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E1027" t="inlineStr">
        <is>
          <t>Last price</t>
        </is>
      </c>
      <c r="F1027" s="83">
        <f>BDP("PGR US Equity","PX_LAST")</f>
        <v/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E1028" t="inlineStr">
        <is>
          <t>Market cap (raw)</t>
        </is>
      </c>
      <c r="F1028" s="83">
        <f>BDP("PGR US Equity","CUR_MKT_CAP")</f>
        <v/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E1029" t="inlineStr">
        <is>
          <t>YTD price change %</t>
        </is>
      </c>
      <c r="F1029" s="83">
        <f>BDP("PGR US Equity","CHG_PCT_YTD")</f>
        <v/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E1030" t="inlineStr">
        <is>
          <t>Net debt / EBITDA</t>
        </is>
      </c>
      <c r="F1030" s="83">
        <f>BDP("PGR US Equity","NET_DEBT_TO_EBITDA")</f>
        <v/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E1031" t="inlineStr">
        <is>
          <t>ROIC (LTM)</t>
        </is>
      </c>
      <c r="F1031" s="83">
        <f>BDP("PGR US Equity","RETURN_ON_INV_CAPITAL")</f>
        <v/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E1032" t="inlineStr">
        <is>
          <t>LTM operating income</t>
        </is>
      </c>
      <c r="F1032" s="83">
        <f>BDP("PGR US Equity","TRAIL_12M_OPER_INC")</f>
        <v/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E1033" t="inlineStr">
        <is>
          <t>LTM EBITDA</t>
        </is>
      </c>
      <c r="F1033" s="83">
        <f>BDP("PGR US Equity","TRAIL_12M_EBITDA")</f>
        <v/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E1034" t="inlineStr">
        <is>
          <t>Total debt</t>
        </is>
      </c>
      <c r="F1034" s="83">
        <f>BDP("PGR US Equity","SHORT_AND_LONG_TERM_DEBT")</f>
        <v/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E1035" t="inlineStr">
        <is>
          <t>Total equity</t>
        </is>
      </c>
      <c r="F1035" s="83">
        <f>BDP("PGR US Equity","TOTAL_EQUITY")</f>
        <v/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E1036" t="inlineStr">
        <is>
          <t>Cash &amp; equivalents</t>
        </is>
      </c>
      <c r="F1036" s="83">
        <f>BDP("PGR US Equity","BS_CASH_NEAR_CASH_ITEM")</f>
        <v/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24Y</t>
        </is>
      </c>
      <c r="E1037" t="inlineStr">
        <is>
          <t>EPS estimate FY2024</t>
        </is>
      </c>
      <c r="F1037" s="83">
        <f>BDP("PGR US Equity","BEST_EPS","BEST_FPERIOD_OVERRIDE","24Y")</f>
        <v/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24Y</t>
        </is>
      </c>
      <c r="E1038" t="inlineStr">
        <is>
          <t>Revenue estimate FY2024</t>
        </is>
      </c>
      <c r="F1038" s="83">
        <f>BDP("PGR US Equity","BEST_SALES","BEST_FPERIOD_OVERRIDE","24Y")</f>
        <v/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24Y</t>
        </is>
      </c>
      <c r="E1039" t="inlineStr">
        <is>
          <t>EBIT estimate FY2024</t>
        </is>
      </c>
      <c r="F1039" s="83">
        <f>BDP("PGR US Equity","BEST_EBIT","BEST_FPERIOD_OVERRIDE","24Y")</f>
        <v/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25Y</t>
        </is>
      </c>
      <c r="E1040" t="inlineStr">
        <is>
          <t>EPS estimate FY2025</t>
        </is>
      </c>
      <c r="F1040" s="83">
        <f>BDP("PGR US Equity","BEST_EPS","BEST_FPERIOD_OVERRIDE","25Y")</f>
        <v/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25Y</t>
        </is>
      </c>
      <c r="E1041" t="inlineStr">
        <is>
          <t>Revenue estimate FY2025</t>
        </is>
      </c>
      <c r="F1041" s="83">
        <f>BDP("PGR US Equity","BEST_SALES","BEST_FPERIOD_OVERRIDE","25Y")</f>
        <v/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25Y</t>
        </is>
      </c>
      <c r="E1042" t="inlineStr">
        <is>
          <t>EBIT estimate FY2025</t>
        </is>
      </c>
      <c r="F1042" s="83">
        <f>BDP("PGR US Equity","BEST_EBIT","BEST_FPERIOD_OVERRIDE","25Y")</f>
        <v/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26Y</t>
        </is>
      </c>
      <c r="E1043" t="inlineStr">
        <is>
          <t>EPS estimate FY2026</t>
        </is>
      </c>
      <c r="F1043" s="83">
        <f>BDP("PGR US Equity","BEST_EPS","BEST_FPERIOD_OVERRIDE","26Y")</f>
        <v/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26Y</t>
        </is>
      </c>
      <c r="E1044" t="inlineStr">
        <is>
          <t>Revenue estimate FY2026</t>
        </is>
      </c>
      <c r="F1044" s="83">
        <f>BDP("PGR US Equity","BEST_SALES","BEST_FPERIOD_OVERRIDE","26Y")</f>
        <v/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26Y</t>
        </is>
      </c>
      <c r="E1045" t="inlineStr">
        <is>
          <t>EBIT estimate FY2026</t>
        </is>
      </c>
      <c r="F1045" s="83">
        <f>BDP("PGR US Equity","BEST_EBIT","BEST_FPERIOD_OVERRIDE","26Y")</f>
        <v/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27Y</t>
        </is>
      </c>
      <c r="E1046" t="inlineStr">
        <is>
          <t>EPS estimate FY2027</t>
        </is>
      </c>
      <c r="F1046" s="83">
        <f>BDP("PGR US Equity","BEST_EPS","BEST_FPERIOD_OVERRIDE","27Y")</f>
        <v/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27Y</t>
        </is>
      </c>
      <c r="E1047" t="inlineStr">
        <is>
          <t>Revenue estimate FY2027</t>
        </is>
      </c>
      <c r="F1047" s="83">
        <f>BDP("PGR US Equity","BEST_SALES","BEST_FPERIOD_OVERRIDE","27Y")</f>
        <v/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27Y</t>
        </is>
      </c>
      <c r="E1048" t="inlineStr">
        <is>
          <t>EBIT estimate FY2027</t>
        </is>
      </c>
      <c r="F1048" s="83">
        <f>BDP("PGR US Equity","BEST_EBIT","BEST_FPERIOD_OVERRIDE","27Y")</f>
        <v/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28Y</t>
        </is>
      </c>
      <c r="E1049" t="inlineStr">
        <is>
          <t>EPS estimate FY2028</t>
        </is>
      </c>
      <c r="F1049" s="83">
        <f>BDP("PGR US Equity","BEST_EPS","BEST_FPERIOD_OVERRIDE","28Y")</f>
        <v/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28Y</t>
        </is>
      </c>
      <c r="E1050" t="inlineStr">
        <is>
          <t>Revenue estimate FY2028</t>
        </is>
      </c>
      <c r="F1050" s="83">
        <f>BDP("PGR US Equity","BEST_SALES","BEST_FPERIOD_OVERRIDE","28Y")</f>
        <v/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28Y</t>
        </is>
      </c>
      <c r="E1051" t="inlineStr">
        <is>
          <t>EBIT estimate FY2028</t>
        </is>
      </c>
      <c r="F1051" s="83">
        <f>BDP("PGR US Equity","BEST_EBIT","BEST_FPERIOD_OVERRIDE","28Y")</f>
        <v/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E1052" t="inlineStr">
        <is>
          <t>Last price</t>
        </is>
      </c>
      <c r="F1052" s="83">
        <f>BDP("COST US Equity","PX_LAST")</f>
        <v/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E1053" t="inlineStr">
        <is>
          <t>Market cap (raw)</t>
        </is>
      </c>
      <c r="F1053" s="83">
        <f>BDP("COST US Equity","CUR_MKT_CAP")</f>
        <v/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E1054" t="inlineStr">
        <is>
          <t>YTD price change %</t>
        </is>
      </c>
      <c r="F1054" s="83">
        <f>BDP("COST US Equity","CHG_PCT_YTD")</f>
        <v/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E1055" t="inlineStr">
        <is>
          <t>Net debt / EBITDA</t>
        </is>
      </c>
      <c r="F1055" s="83">
        <f>BDP("COST US Equity","NET_DEBT_TO_EBITDA")</f>
        <v/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E1056" t="inlineStr">
        <is>
          <t>ROIC (LTM)</t>
        </is>
      </c>
      <c r="F1056" s="83">
        <f>BDP("COST US Equity","RETURN_ON_INV_CAPITAL")</f>
        <v/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E1057" t="inlineStr">
        <is>
          <t>LTM operating income</t>
        </is>
      </c>
      <c r="F1057" s="83">
        <f>BDP("COST US Equity","TRAIL_12M_OPER_INC")</f>
        <v/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E1058" t="inlineStr">
        <is>
          <t>LTM EBITDA</t>
        </is>
      </c>
      <c r="F1058" s="83">
        <f>BDP("COST US Equity","TRAIL_12M_EBITDA")</f>
        <v/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E1059" t="inlineStr">
        <is>
          <t>Total debt</t>
        </is>
      </c>
      <c r="F1059" s="83">
        <f>BDP("COST US Equity","SHORT_AND_LONG_TERM_DEBT")</f>
        <v/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E1060" t="inlineStr">
        <is>
          <t>Total equity</t>
        </is>
      </c>
      <c r="F1060" s="83">
        <f>BDP("COST US Equity","TOTAL_EQUITY")</f>
        <v/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E1061" t="inlineStr">
        <is>
          <t>Cash &amp; equivalents</t>
        </is>
      </c>
      <c r="F1061" s="83">
        <f>BDP("COST US Equity","BS_CASH_NEAR_CASH_ITEM")</f>
        <v/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24Y</t>
        </is>
      </c>
      <c r="E1062" t="inlineStr">
        <is>
          <t>EPS estimate FY2024</t>
        </is>
      </c>
      <c r="F1062" s="83">
        <f>BDP("COST US Equity","BEST_EPS","BEST_FPERIOD_OVERRIDE","24Y")</f>
        <v/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24Y</t>
        </is>
      </c>
      <c r="E1063" t="inlineStr">
        <is>
          <t>Revenue estimate FY2024</t>
        </is>
      </c>
      <c r="F1063" s="83">
        <f>BDP("COST US Equity","BEST_SALES","BEST_FPERIOD_OVERRIDE","24Y")</f>
        <v/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24Y</t>
        </is>
      </c>
      <c r="E1064" t="inlineStr">
        <is>
          <t>EBIT estimate FY2024</t>
        </is>
      </c>
      <c r="F1064" s="83">
        <f>BDP("COST US Equity","BEST_EBIT","BEST_FPERIOD_OVERRIDE","24Y")</f>
        <v/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25Y</t>
        </is>
      </c>
      <c r="E1065" t="inlineStr">
        <is>
          <t>EPS estimate FY2025</t>
        </is>
      </c>
      <c r="F1065" s="83">
        <f>BDP("COST US Equity","BEST_EPS","BEST_FPERIOD_OVERRIDE","25Y")</f>
        <v/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25Y</t>
        </is>
      </c>
      <c r="E1066" t="inlineStr">
        <is>
          <t>Revenue estimate FY2025</t>
        </is>
      </c>
      <c r="F1066" s="83">
        <f>BDP("COST US Equity","BEST_SALES","BEST_FPERIOD_OVERRIDE","25Y")</f>
        <v/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25Y</t>
        </is>
      </c>
      <c r="E1067" t="inlineStr">
        <is>
          <t>EBIT estimate FY2025</t>
        </is>
      </c>
      <c r="F1067" s="83">
        <f>BDP("COST US Equity","BEST_EBIT","BEST_FPERIOD_OVERRIDE","25Y")</f>
        <v/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26Y</t>
        </is>
      </c>
      <c r="E1068" t="inlineStr">
        <is>
          <t>EPS estimate FY2026</t>
        </is>
      </c>
      <c r="F1068" s="83">
        <f>BDP("COST US Equity","BEST_EPS","BEST_FPERIOD_OVERRIDE","26Y")</f>
        <v/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26Y</t>
        </is>
      </c>
      <c r="E1069" t="inlineStr">
        <is>
          <t>Revenue estimate FY2026</t>
        </is>
      </c>
      <c r="F1069" s="83">
        <f>BDP("COST US Equity","BEST_SALES","BEST_FPERIOD_OVERRIDE","26Y")</f>
        <v/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26Y</t>
        </is>
      </c>
      <c r="E1070" t="inlineStr">
        <is>
          <t>EBIT estimate FY2026</t>
        </is>
      </c>
      <c r="F1070" s="83">
        <f>BDP("COST US Equity","BEST_EBIT","BEST_FPERIOD_OVERRIDE","26Y")</f>
        <v/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27Y</t>
        </is>
      </c>
      <c r="E1071" t="inlineStr">
        <is>
          <t>EPS estimate FY2027</t>
        </is>
      </c>
      <c r="F1071" s="83">
        <f>BDP("COST US Equity","BEST_EPS","BEST_FPERIOD_OVERRIDE","27Y")</f>
        <v/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27Y</t>
        </is>
      </c>
      <c r="E1072" t="inlineStr">
        <is>
          <t>Revenue estimate FY2027</t>
        </is>
      </c>
      <c r="F1072" s="83">
        <f>BDP("COST US Equity","BEST_SALES","BEST_FPERIOD_OVERRIDE","27Y")</f>
        <v/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27Y</t>
        </is>
      </c>
      <c r="E1073" t="inlineStr">
        <is>
          <t>EBIT estimate FY2027</t>
        </is>
      </c>
      <c r="F1073" s="83">
        <f>BDP("COST US Equity","BEST_EBIT","BEST_FPERIOD_OVERRIDE","27Y")</f>
        <v/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28Y</t>
        </is>
      </c>
      <c r="E1074" t="inlineStr">
        <is>
          <t>EPS estimate FY2028</t>
        </is>
      </c>
      <c r="F1074" s="83">
        <f>BDP("COST US Equity","BEST_EPS","BEST_FPERIOD_OVERRIDE","28Y")</f>
        <v/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28Y</t>
        </is>
      </c>
      <c r="E1075" t="inlineStr">
        <is>
          <t>Revenue estimate FY2028</t>
        </is>
      </c>
      <c r="F1075" s="83">
        <f>BDP("COST US Equity","BEST_SALES","BEST_FPERIOD_OVERRIDE","28Y")</f>
        <v/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28Y</t>
        </is>
      </c>
      <c r="E1076" t="inlineStr">
        <is>
          <t>EBIT estimate FY2028</t>
        </is>
      </c>
      <c r="F1076" s="83">
        <f>BDP("COST US Equity","BEST_EBIT","BEST_FPERIOD_OVERRIDE","28Y")</f>
        <v/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E1077" t="inlineStr">
        <is>
          <t>Last price</t>
        </is>
      </c>
      <c r="F1077" s="83">
        <f>BDP("ORLY US Equity","PX_LAST")</f>
        <v/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E1078" t="inlineStr">
        <is>
          <t>Market cap (raw)</t>
        </is>
      </c>
      <c r="F1078" s="83">
        <f>BDP("ORLY US Equity","CUR_MKT_CAP")</f>
        <v/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E1079" t="inlineStr">
        <is>
          <t>YTD price change %</t>
        </is>
      </c>
      <c r="F1079" s="83">
        <f>BDP("ORLY US Equity","CHG_PCT_YTD")</f>
        <v/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E1080" t="inlineStr">
        <is>
          <t>Net debt / EBITDA</t>
        </is>
      </c>
      <c r="F1080" s="83">
        <f>BDP("ORLY US Equity","NET_DEBT_TO_EBITDA")</f>
        <v/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E1081" t="inlineStr">
        <is>
          <t>ROIC (LTM)</t>
        </is>
      </c>
      <c r="F1081" s="83">
        <f>BDP("ORLY US Equity","RETURN_ON_INV_CAPITAL")</f>
        <v/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E1082" t="inlineStr">
        <is>
          <t>LTM operating income</t>
        </is>
      </c>
      <c r="F1082" s="83">
        <f>BDP("ORLY US Equity","TRAIL_12M_OPER_INC")</f>
        <v/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E1083" t="inlineStr">
        <is>
          <t>LTM EBITDA</t>
        </is>
      </c>
      <c r="F1083" s="83">
        <f>BDP("ORLY US Equity","TRAIL_12M_EBITDA")</f>
        <v/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E1084" t="inlineStr">
        <is>
          <t>Total debt</t>
        </is>
      </c>
      <c r="F1084" s="83">
        <f>BDP("ORLY US Equity","SHORT_AND_LONG_TERM_DEBT")</f>
        <v/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E1085" t="inlineStr">
        <is>
          <t>Total equity</t>
        </is>
      </c>
      <c r="F1085" s="83">
        <f>BDP("ORLY US Equity","TOTAL_EQUITY")</f>
        <v/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E1086" t="inlineStr">
        <is>
          <t>Cash &amp; equivalents</t>
        </is>
      </c>
      <c r="F1086" s="83">
        <f>BDP("ORLY US Equity","BS_CASH_NEAR_CASH_ITEM")</f>
        <v/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24Y</t>
        </is>
      </c>
      <c r="E1087" t="inlineStr">
        <is>
          <t>EPS estimate FY2024</t>
        </is>
      </c>
      <c r="F1087" s="83">
        <f>BDP("ORLY US Equity","BEST_EPS","BEST_FPERIOD_OVERRIDE","24Y")</f>
        <v/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24Y</t>
        </is>
      </c>
      <c r="E1088" t="inlineStr">
        <is>
          <t>Revenue estimate FY2024</t>
        </is>
      </c>
      <c r="F1088" s="83">
        <f>BDP("ORLY US Equity","BEST_SALES","BEST_FPERIOD_OVERRIDE","24Y")</f>
        <v/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24Y</t>
        </is>
      </c>
      <c r="E1089" t="inlineStr">
        <is>
          <t>EBIT estimate FY2024</t>
        </is>
      </c>
      <c r="F1089" s="83">
        <f>BDP("ORLY US Equity","BEST_EBIT","BEST_FPERIOD_OVERRIDE","24Y")</f>
        <v/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25Y</t>
        </is>
      </c>
      <c r="E1090" t="inlineStr">
        <is>
          <t>EPS estimate FY2025</t>
        </is>
      </c>
      <c r="F1090" s="83">
        <f>BDP("ORLY US Equity","BEST_EPS","BEST_FPERIOD_OVERRIDE","25Y")</f>
        <v/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25Y</t>
        </is>
      </c>
      <c r="E1091" t="inlineStr">
        <is>
          <t>Revenue estimate FY2025</t>
        </is>
      </c>
      <c r="F1091" s="83">
        <f>BDP("ORLY US Equity","BEST_SALES","BEST_FPERIOD_OVERRIDE","25Y")</f>
        <v/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25Y</t>
        </is>
      </c>
      <c r="E1092" t="inlineStr">
        <is>
          <t>EBIT estimate FY2025</t>
        </is>
      </c>
      <c r="F1092" s="83">
        <f>BDP("ORLY US Equity","BEST_EBIT","BEST_FPERIOD_OVERRIDE","25Y")</f>
        <v/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26Y</t>
        </is>
      </c>
      <c r="E1093" t="inlineStr">
        <is>
          <t>EPS estimate FY2026</t>
        </is>
      </c>
      <c r="F1093" s="83">
        <f>BDP("ORLY US Equity","BEST_EPS","BEST_FPERIOD_OVERRIDE","26Y")</f>
        <v/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26Y</t>
        </is>
      </c>
      <c r="E1094" t="inlineStr">
        <is>
          <t>Revenue estimate FY2026</t>
        </is>
      </c>
      <c r="F1094" s="83">
        <f>BDP("ORLY US Equity","BEST_SALES","BEST_FPERIOD_OVERRIDE","26Y")</f>
        <v/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26Y</t>
        </is>
      </c>
      <c r="E1095" t="inlineStr">
        <is>
          <t>EBIT estimate FY2026</t>
        </is>
      </c>
      <c r="F1095" s="83">
        <f>BDP("ORLY US Equity","BEST_EBIT","BEST_FPERIOD_OVERRIDE","26Y")</f>
        <v/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27Y</t>
        </is>
      </c>
      <c r="E1096" t="inlineStr">
        <is>
          <t>EPS estimate FY2027</t>
        </is>
      </c>
      <c r="F1096" s="83">
        <f>BDP("ORLY US Equity","BEST_EPS","BEST_FPERIOD_OVERRIDE","27Y")</f>
        <v/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27Y</t>
        </is>
      </c>
      <c r="E1097" t="inlineStr">
        <is>
          <t>Revenue estimate FY2027</t>
        </is>
      </c>
      <c r="F1097" s="83">
        <f>BDP("ORLY US Equity","BEST_SALES","BEST_FPERIOD_OVERRIDE","27Y")</f>
        <v/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27Y</t>
        </is>
      </c>
      <c r="E1098" t="inlineStr">
        <is>
          <t>EBIT estimate FY2027</t>
        </is>
      </c>
      <c r="F1098" s="83">
        <f>BDP("ORLY US Equity","BEST_EBIT","BEST_FPERIOD_OVERRIDE","27Y")</f>
        <v/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28Y</t>
        </is>
      </c>
      <c r="E1099" t="inlineStr">
        <is>
          <t>EPS estimate FY2028</t>
        </is>
      </c>
      <c r="F1099" s="83">
        <f>BDP("ORLY US Equity","BEST_EPS","BEST_FPERIOD_OVERRIDE","28Y")</f>
        <v/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28Y</t>
        </is>
      </c>
      <c r="E1100" t="inlineStr">
        <is>
          <t>Revenue estimate FY2028</t>
        </is>
      </c>
      <c r="F1100" s="83">
        <f>BDP("ORLY US Equity","BEST_SALES","BEST_FPERIOD_OVERRIDE","28Y")</f>
        <v/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28Y</t>
        </is>
      </c>
      <c r="E1101" t="inlineStr">
        <is>
          <t>EBIT estimate FY2028</t>
        </is>
      </c>
      <c r="F1101" s="83">
        <f>BDP("ORLY US Equity","BEST_EBIT","BEST_FPERIOD_OVERRIDE","28Y")</f>
        <v/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E1102" t="inlineStr">
        <is>
          <t>Last price</t>
        </is>
      </c>
      <c r="F1102" s="83">
        <f>BDP("TJX US Equity","PX_LAST")</f>
        <v/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E1103" t="inlineStr">
        <is>
          <t>Market cap (raw)</t>
        </is>
      </c>
      <c r="F1103" s="83">
        <f>BDP("TJX US Equity","CUR_MKT_CAP")</f>
        <v/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E1104" t="inlineStr">
        <is>
          <t>YTD price change %</t>
        </is>
      </c>
      <c r="F1104" s="83">
        <f>BDP("TJX US Equity","CHG_PCT_YTD")</f>
        <v/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E1105" t="inlineStr">
        <is>
          <t>Net debt / EBITDA</t>
        </is>
      </c>
      <c r="F1105" s="83">
        <f>BDP("TJX US Equity","NET_DEBT_TO_EBITDA")</f>
        <v/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E1106" t="inlineStr">
        <is>
          <t>ROIC (LTM)</t>
        </is>
      </c>
      <c r="F1106" s="83">
        <f>BDP("TJX US Equity","RETURN_ON_INV_CAPITAL")</f>
        <v/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E1107" t="inlineStr">
        <is>
          <t>LTM operating income</t>
        </is>
      </c>
      <c r="F1107" s="83">
        <f>BDP("TJX US Equity","TRAIL_12M_OPER_INC")</f>
        <v/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E1108" t="inlineStr">
        <is>
          <t>LTM EBITDA</t>
        </is>
      </c>
      <c r="F1108" s="83">
        <f>BDP("TJX US Equity","TRAIL_12M_EBITDA")</f>
        <v/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E1109" t="inlineStr">
        <is>
          <t>Total debt</t>
        </is>
      </c>
      <c r="F1109" s="83">
        <f>BDP("TJX US Equity","SHORT_AND_LONG_TERM_DEBT")</f>
        <v/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E1110" t="inlineStr">
        <is>
          <t>Total equity</t>
        </is>
      </c>
      <c r="F1110" s="83">
        <f>BDP("TJX US Equity","TOTAL_EQUITY")</f>
        <v/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E1111" t="inlineStr">
        <is>
          <t>Cash &amp; equivalents</t>
        </is>
      </c>
      <c r="F1111" s="83">
        <f>BDP("TJX US Equity","BS_CASH_NEAR_CASH_ITEM")</f>
        <v/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24Y</t>
        </is>
      </c>
      <c r="E1112" t="inlineStr">
        <is>
          <t>EPS estimate FY2024</t>
        </is>
      </c>
      <c r="F1112" s="83">
        <f>BDP("TJX US Equity","BEST_EPS","BEST_FPERIOD_OVERRIDE","24Y")</f>
        <v/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24Y</t>
        </is>
      </c>
      <c r="E1113" t="inlineStr">
        <is>
          <t>Revenue estimate FY2024</t>
        </is>
      </c>
      <c r="F1113" s="83">
        <f>BDP("TJX US Equity","BEST_SALES","BEST_FPERIOD_OVERRIDE","24Y")</f>
        <v/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24Y</t>
        </is>
      </c>
      <c r="E1114" t="inlineStr">
        <is>
          <t>EBIT estimate FY2024</t>
        </is>
      </c>
      <c r="F1114" s="83">
        <f>BDP("TJX US Equity","BEST_EBIT","BEST_FPERIOD_OVERRIDE","24Y")</f>
        <v/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25Y</t>
        </is>
      </c>
      <c r="E1115" t="inlineStr">
        <is>
          <t>EPS estimate FY2025</t>
        </is>
      </c>
      <c r="F1115" s="83">
        <f>BDP("TJX US Equity","BEST_EPS","BEST_FPERIOD_OVERRIDE","25Y")</f>
        <v/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25Y</t>
        </is>
      </c>
      <c r="E1116" t="inlineStr">
        <is>
          <t>Revenue estimate FY2025</t>
        </is>
      </c>
      <c r="F1116" s="83">
        <f>BDP("TJX US Equity","BEST_SALES","BEST_FPERIOD_OVERRIDE","25Y")</f>
        <v/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25Y</t>
        </is>
      </c>
      <c r="E1117" t="inlineStr">
        <is>
          <t>EBIT estimate FY2025</t>
        </is>
      </c>
      <c r="F1117" s="83">
        <f>BDP("TJX US Equity","BEST_EBIT","BEST_FPERIOD_OVERRIDE","25Y")</f>
        <v/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26Y</t>
        </is>
      </c>
      <c r="E1118" t="inlineStr">
        <is>
          <t>EPS estimate FY2026</t>
        </is>
      </c>
      <c r="F1118" s="83">
        <f>BDP("TJX US Equity","BEST_EPS","BEST_FPERIOD_OVERRIDE","26Y")</f>
        <v/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26Y</t>
        </is>
      </c>
      <c r="E1119" t="inlineStr">
        <is>
          <t>Revenue estimate FY2026</t>
        </is>
      </c>
      <c r="F1119" s="83">
        <f>BDP("TJX US Equity","BEST_SALES","BEST_FPERIOD_OVERRIDE","26Y")</f>
        <v/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26Y</t>
        </is>
      </c>
      <c r="E1120" t="inlineStr">
        <is>
          <t>EBIT estimate FY2026</t>
        </is>
      </c>
      <c r="F1120" s="83">
        <f>BDP("TJX US Equity","BEST_EBIT","BEST_FPERIOD_OVERRIDE","26Y")</f>
        <v/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27Y</t>
        </is>
      </c>
      <c r="E1121" t="inlineStr">
        <is>
          <t>EPS estimate FY2027</t>
        </is>
      </c>
      <c r="F1121" s="83">
        <f>BDP("TJX US Equity","BEST_EPS","BEST_FPERIOD_OVERRIDE","27Y")</f>
        <v/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27Y</t>
        </is>
      </c>
      <c r="E1122" t="inlineStr">
        <is>
          <t>Revenue estimate FY2027</t>
        </is>
      </c>
      <c r="F1122" s="83">
        <f>BDP("TJX US Equity","BEST_SALES","BEST_FPERIOD_OVERRIDE","27Y")</f>
        <v/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27Y</t>
        </is>
      </c>
      <c r="E1123" t="inlineStr">
        <is>
          <t>EBIT estimate FY2027</t>
        </is>
      </c>
      <c r="F1123" s="83">
        <f>BDP("TJX US Equity","BEST_EBIT","BEST_FPERIOD_OVERRIDE","27Y")</f>
        <v/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28Y</t>
        </is>
      </c>
      <c r="E1124" t="inlineStr">
        <is>
          <t>EPS estimate FY2028</t>
        </is>
      </c>
      <c r="F1124" s="83">
        <f>BDP("TJX US Equity","BEST_EPS","BEST_FPERIOD_OVERRIDE","28Y")</f>
        <v/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28Y</t>
        </is>
      </c>
      <c r="E1125" t="inlineStr">
        <is>
          <t>Revenue estimate FY2028</t>
        </is>
      </c>
      <c r="F1125" s="83">
        <f>BDP("TJX US Equity","BEST_SALES","BEST_FPERIOD_OVERRIDE","28Y")</f>
        <v/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28Y</t>
        </is>
      </c>
      <c r="E1126" t="inlineStr">
        <is>
          <t>EBIT estimate FY2028</t>
        </is>
      </c>
      <c r="F1126" s="83">
        <f>BDP("TJX US Equity","BEST_EBIT","BEST_FPERIOD_OVERRIDE","28Y")</f>
        <v/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E1127" t="inlineStr">
        <is>
          <t>Last price</t>
        </is>
      </c>
      <c r="F1127" s="83">
        <f>BDP("HLT US Equity","PX_LAST")</f>
        <v/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E1128" t="inlineStr">
        <is>
          <t>Market cap (raw)</t>
        </is>
      </c>
      <c r="F1128" s="83">
        <f>BDP("HLT US Equity","CUR_MKT_CAP")</f>
        <v/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E1129" t="inlineStr">
        <is>
          <t>YTD price change %</t>
        </is>
      </c>
      <c r="F1129" s="83">
        <f>BDP("HLT US Equity","CHG_PCT_YTD")</f>
        <v/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E1130" t="inlineStr">
        <is>
          <t>Net debt / EBITDA</t>
        </is>
      </c>
      <c r="F1130" s="83">
        <f>BDP("HLT US Equity","NET_DEBT_TO_EBITDA")</f>
        <v/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E1131" t="inlineStr">
        <is>
          <t>ROIC (LTM)</t>
        </is>
      </c>
      <c r="F1131" s="83">
        <f>BDP("HLT US Equity","RETURN_ON_INV_CAPITAL")</f>
        <v/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E1132" t="inlineStr">
        <is>
          <t>LTM operating income</t>
        </is>
      </c>
      <c r="F1132" s="83">
        <f>BDP("HLT US Equity","TRAIL_12M_OPER_INC")</f>
        <v/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E1133" t="inlineStr">
        <is>
          <t>LTM EBITDA</t>
        </is>
      </c>
      <c r="F1133" s="83">
        <f>BDP("HLT US Equity","TRAIL_12M_EBITDA")</f>
        <v/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E1134" t="inlineStr">
        <is>
          <t>Total debt</t>
        </is>
      </c>
      <c r="F1134" s="83">
        <f>BDP("HLT US Equity","SHORT_AND_LONG_TERM_DEBT")</f>
        <v/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E1135" t="inlineStr">
        <is>
          <t>Total equity</t>
        </is>
      </c>
      <c r="F1135" s="83">
        <f>BDP("HLT US Equity","TOTAL_EQUITY")</f>
        <v/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E1136" t="inlineStr">
        <is>
          <t>Cash &amp; equivalents</t>
        </is>
      </c>
      <c r="F1136" s="83">
        <f>BDP("HLT US Equity","BS_CASH_NEAR_CASH_ITEM")</f>
        <v/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24Y</t>
        </is>
      </c>
      <c r="E1137" t="inlineStr">
        <is>
          <t>EPS estimate FY2024</t>
        </is>
      </c>
      <c r="F1137" s="83">
        <f>BDP("HLT US Equity","BEST_EPS","BEST_FPERIOD_OVERRIDE","24Y")</f>
        <v/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24Y</t>
        </is>
      </c>
      <c r="E1138" t="inlineStr">
        <is>
          <t>Revenue estimate FY2024</t>
        </is>
      </c>
      <c r="F1138" s="83">
        <f>BDP("HLT US Equity","BEST_SALES","BEST_FPERIOD_OVERRIDE","24Y")</f>
        <v/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24Y</t>
        </is>
      </c>
      <c r="E1139" t="inlineStr">
        <is>
          <t>EBIT estimate FY2024</t>
        </is>
      </c>
      <c r="F1139" s="83">
        <f>BDP("HLT US Equity","BEST_EBIT","BEST_FPERIOD_OVERRIDE","24Y")</f>
        <v/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25Y</t>
        </is>
      </c>
      <c r="E1140" t="inlineStr">
        <is>
          <t>EPS estimate FY2025</t>
        </is>
      </c>
      <c r="F1140" s="83">
        <f>BDP("HLT US Equity","BEST_EPS","BEST_FPERIOD_OVERRIDE","25Y")</f>
        <v/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25Y</t>
        </is>
      </c>
      <c r="E1141" t="inlineStr">
        <is>
          <t>Revenue estimate FY2025</t>
        </is>
      </c>
      <c r="F1141" s="83">
        <f>BDP("HLT US Equity","BEST_SALES","BEST_FPERIOD_OVERRIDE","25Y")</f>
        <v/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25Y</t>
        </is>
      </c>
      <c r="E1142" t="inlineStr">
        <is>
          <t>EBIT estimate FY2025</t>
        </is>
      </c>
      <c r="F1142" s="83">
        <f>BDP("HLT US Equity","BEST_EBIT","BEST_FPERIOD_OVERRIDE","25Y")</f>
        <v/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26Y</t>
        </is>
      </c>
      <c r="E1143" t="inlineStr">
        <is>
          <t>EPS estimate FY2026</t>
        </is>
      </c>
      <c r="F1143" s="83">
        <f>BDP("HLT US Equity","BEST_EPS","BEST_FPERIOD_OVERRIDE","26Y")</f>
        <v/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26Y</t>
        </is>
      </c>
      <c r="E1144" t="inlineStr">
        <is>
          <t>Revenue estimate FY2026</t>
        </is>
      </c>
      <c r="F1144" s="83">
        <f>BDP("HLT US Equity","BEST_SALES","BEST_FPERIOD_OVERRIDE","26Y")</f>
        <v/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26Y</t>
        </is>
      </c>
      <c r="E1145" t="inlineStr">
        <is>
          <t>EBIT estimate FY2026</t>
        </is>
      </c>
      <c r="F1145" s="83">
        <f>BDP("HLT US Equity","BEST_EBIT","BEST_FPERIOD_OVERRIDE","26Y")</f>
        <v/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27Y</t>
        </is>
      </c>
      <c r="E1146" t="inlineStr">
        <is>
          <t>EPS estimate FY2027</t>
        </is>
      </c>
      <c r="F1146" s="83">
        <f>BDP("HLT US Equity","BEST_EPS","BEST_FPERIOD_OVERRIDE","27Y")</f>
        <v/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27Y</t>
        </is>
      </c>
      <c r="E1147" t="inlineStr">
        <is>
          <t>Revenue estimate FY2027</t>
        </is>
      </c>
      <c r="F1147" s="83">
        <f>BDP("HLT US Equity","BEST_SALES","BEST_FPERIOD_OVERRIDE","27Y")</f>
        <v/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27Y</t>
        </is>
      </c>
      <c r="E1148" t="inlineStr">
        <is>
          <t>EBIT estimate FY2027</t>
        </is>
      </c>
      <c r="F1148" s="83">
        <f>BDP("HLT US Equity","BEST_EBIT","BEST_FPERIOD_OVERRIDE","27Y")</f>
        <v/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28Y</t>
        </is>
      </c>
      <c r="E1149" t="inlineStr">
        <is>
          <t>EPS estimate FY2028</t>
        </is>
      </c>
      <c r="F1149" s="83">
        <f>BDP("HLT US Equity","BEST_EPS","BEST_FPERIOD_OVERRIDE","28Y")</f>
        <v/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28Y</t>
        </is>
      </c>
      <c r="E1150" t="inlineStr">
        <is>
          <t>Revenue estimate FY2028</t>
        </is>
      </c>
      <c r="F1150" s="83">
        <f>BDP("HLT US Equity","BEST_SALES","BEST_FPERIOD_OVERRIDE","28Y")</f>
        <v/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28Y</t>
        </is>
      </c>
      <c r="E1151" t="inlineStr">
        <is>
          <t>EBIT estimate FY2028</t>
        </is>
      </c>
      <c r="F1151" s="83">
        <f>BDP("HLT US Equity","BEST_EBIT","BEST_FPERIOD_OVERRIDE","28Y")</f>
        <v/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E1152" t="inlineStr">
        <is>
          <t>Last price</t>
        </is>
      </c>
      <c r="F1152" s="83">
        <f>BDP("BKNG US Equity","PX_LAST")</f>
        <v/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E1153" t="inlineStr">
        <is>
          <t>Market cap (raw)</t>
        </is>
      </c>
      <c r="F1153" s="83">
        <f>BDP("BKNG US Equity","CUR_MKT_CAP")</f>
        <v/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E1154" t="inlineStr">
        <is>
          <t>YTD price change %</t>
        </is>
      </c>
      <c r="F1154" s="83">
        <f>BDP("BKNG US Equity","CHG_PCT_YTD")</f>
        <v/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E1155" t="inlineStr">
        <is>
          <t>Net debt / EBITDA</t>
        </is>
      </c>
      <c r="F1155" s="83">
        <f>BDP("BKNG US Equity","NET_DEBT_TO_EBITDA")</f>
        <v/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E1156" t="inlineStr">
        <is>
          <t>ROIC (LTM)</t>
        </is>
      </c>
      <c r="F1156" s="83">
        <f>BDP("BKNG US Equity","RETURN_ON_INV_CAPITAL")</f>
        <v/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E1157" t="inlineStr">
        <is>
          <t>LTM operating income</t>
        </is>
      </c>
      <c r="F1157" s="83">
        <f>BDP("BKNG US Equity","TRAIL_12M_OPER_INC")</f>
        <v/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E1158" t="inlineStr">
        <is>
          <t>LTM EBITDA</t>
        </is>
      </c>
      <c r="F1158" s="83">
        <f>BDP("BKNG US Equity","TRAIL_12M_EBITDA")</f>
        <v/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E1159" t="inlineStr">
        <is>
          <t>Total debt</t>
        </is>
      </c>
      <c r="F1159" s="83">
        <f>BDP("BKNG US Equity","SHORT_AND_LONG_TERM_DEBT")</f>
        <v/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E1160" t="inlineStr">
        <is>
          <t>Total equity</t>
        </is>
      </c>
      <c r="F1160" s="83">
        <f>BDP("BKNG US Equity","TOTAL_EQUITY")</f>
        <v/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E1161" t="inlineStr">
        <is>
          <t>Cash &amp; equivalents</t>
        </is>
      </c>
      <c r="F1161" s="83">
        <f>BDP("BKNG US Equity","BS_CASH_NEAR_CASH_ITEM")</f>
        <v/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24Y</t>
        </is>
      </c>
      <c r="E1162" t="inlineStr">
        <is>
          <t>EPS estimate FY2024</t>
        </is>
      </c>
      <c r="F1162" s="83">
        <f>BDP("BKNG US Equity","BEST_EPS","BEST_FPERIOD_OVERRIDE","24Y")</f>
        <v/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24Y</t>
        </is>
      </c>
      <c r="E1163" t="inlineStr">
        <is>
          <t>Revenue estimate FY2024</t>
        </is>
      </c>
      <c r="F1163" s="83">
        <f>BDP("BKNG US Equity","BEST_SALES","BEST_FPERIOD_OVERRIDE","24Y")</f>
        <v/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24Y</t>
        </is>
      </c>
      <c r="E1164" t="inlineStr">
        <is>
          <t>EBIT estimate FY2024</t>
        </is>
      </c>
      <c r="F1164" s="83">
        <f>BDP("BKNG US Equity","BEST_EBIT","BEST_FPERIOD_OVERRIDE","24Y")</f>
        <v/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25Y</t>
        </is>
      </c>
      <c r="E1165" t="inlineStr">
        <is>
          <t>EPS estimate FY2025</t>
        </is>
      </c>
      <c r="F1165" s="83">
        <f>BDP("BKNG US Equity","BEST_EPS","BEST_FPERIOD_OVERRIDE","25Y")</f>
        <v/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25Y</t>
        </is>
      </c>
      <c r="E1166" t="inlineStr">
        <is>
          <t>Revenue estimate FY2025</t>
        </is>
      </c>
      <c r="F1166" s="83">
        <f>BDP("BKNG US Equity","BEST_SALES","BEST_FPERIOD_OVERRIDE","25Y")</f>
        <v/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25Y</t>
        </is>
      </c>
      <c r="E1167" t="inlineStr">
        <is>
          <t>EBIT estimate FY2025</t>
        </is>
      </c>
      <c r="F1167" s="83">
        <f>BDP("BKNG US Equity","BEST_EBIT","BEST_FPERIOD_OVERRIDE","25Y")</f>
        <v/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26Y</t>
        </is>
      </c>
      <c r="E1168" t="inlineStr">
        <is>
          <t>EPS estimate FY2026</t>
        </is>
      </c>
      <c r="F1168" s="83">
        <f>BDP("BKNG US Equity","BEST_EPS","BEST_FPERIOD_OVERRIDE","26Y")</f>
        <v/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26Y</t>
        </is>
      </c>
      <c r="E1169" t="inlineStr">
        <is>
          <t>Revenue estimate FY2026</t>
        </is>
      </c>
      <c r="F1169" s="83">
        <f>BDP("BKNG US Equity","BEST_SALES","BEST_FPERIOD_OVERRIDE","26Y")</f>
        <v/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26Y</t>
        </is>
      </c>
      <c r="E1170" t="inlineStr">
        <is>
          <t>EBIT estimate FY2026</t>
        </is>
      </c>
      <c r="F1170" s="83">
        <f>BDP("BKNG US Equity","BEST_EBIT","BEST_FPERIOD_OVERRIDE","26Y")</f>
        <v/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27Y</t>
        </is>
      </c>
      <c r="E1171" t="inlineStr">
        <is>
          <t>EPS estimate FY2027</t>
        </is>
      </c>
      <c r="F1171" s="83">
        <f>BDP("BKNG US Equity","BEST_EPS","BEST_FPERIOD_OVERRIDE","27Y")</f>
        <v/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27Y</t>
        </is>
      </c>
      <c r="E1172" t="inlineStr">
        <is>
          <t>Revenue estimate FY2027</t>
        </is>
      </c>
      <c r="F1172" s="83">
        <f>BDP("BKNG US Equity","BEST_SALES","BEST_FPERIOD_OVERRIDE","27Y")</f>
        <v/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27Y</t>
        </is>
      </c>
      <c r="E1173" t="inlineStr">
        <is>
          <t>EBIT estimate FY2027</t>
        </is>
      </c>
      <c r="F1173" s="83">
        <f>BDP("BKNG US Equity","BEST_EBIT","BEST_FPERIOD_OVERRIDE","27Y")</f>
        <v/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28Y</t>
        </is>
      </c>
      <c r="E1174" t="inlineStr">
        <is>
          <t>EPS estimate FY2028</t>
        </is>
      </c>
      <c r="F1174" s="83">
        <f>BDP("BKNG US Equity","BEST_EPS","BEST_FPERIOD_OVERRIDE","28Y")</f>
        <v/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28Y</t>
        </is>
      </c>
      <c r="E1175" t="inlineStr">
        <is>
          <t>Revenue estimate FY2028</t>
        </is>
      </c>
      <c r="F1175" s="83">
        <f>BDP("BKNG US Equity","BEST_SALES","BEST_FPERIOD_OVERRIDE","28Y")</f>
        <v/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28Y</t>
        </is>
      </c>
      <c r="E1176" t="inlineStr">
        <is>
          <t>EBIT estimate FY2028</t>
        </is>
      </c>
      <c r="F1176" s="83">
        <f>BDP("BKNG US Equity","BEST_EBIT","BEST_FPERIOD_OVERRIDE","28Y")</f>
        <v/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E1177" t="inlineStr">
        <is>
          <t>Last price</t>
        </is>
      </c>
      <c r="F1177" s="83">
        <f>BDP("UBER US Equity","PX_LAST")</f>
        <v/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E1178" t="inlineStr">
        <is>
          <t>Market cap (raw)</t>
        </is>
      </c>
      <c r="F1178" s="83">
        <f>BDP("UBER US Equity","CUR_MKT_CAP")</f>
        <v/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E1179" t="inlineStr">
        <is>
          <t>YTD price change %</t>
        </is>
      </c>
      <c r="F1179" s="83">
        <f>BDP("UBER US Equity","CHG_PCT_YTD")</f>
        <v/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E1180" t="inlineStr">
        <is>
          <t>Net debt / EBITDA</t>
        </is>
      </c>
      <c r="F1180" s="83">
        <f>BDP("UBER US Equity","NET_DEBT_TO_EBITDA")</f>
        <v/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E1181" t="inlineStr">
        <is>
          <t>ROIC (LTM)</t>
        </is>
      </c>
      <c r="F1181" s="83">
        <f>BDP("UBER US Equity","RETURN_ON_INV_CAPITAL")</f>
        <v/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E1182" t="inlineStr">
        <is>
          <t>LTM operating income</t>
        </is>
      </c>
      <c r="F1182" s="83">
        <f>BDP("UBER US Equity","TRAIL_12M_OPER_INC")</f>
        <v/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E1183" t="inlineStr">
        <is>
          <t>LTM EBITDA</t>
        </is>
      </c>
      <c r="F1183" s="83">
        <f>BDP("UBER US Equity","TRAIL_12M_EBITDA")</f>
        <v/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E1184" t="inlineStr">
        <is>
          <t>Total debt</t>
        </is>
      </c>
      <c r="F1184" s="83">
        <f>BDP("UBER US Equity","SHORT_AND_LONG_TERM_DEBT")</f>
        <v/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E1185" t="inlineStr">
        <is>
          <t>Total equity</t>
        </is>
      </c>
      <c r="F1185" s="83">
        <f>BDP("UBER US Equity","TOTAL_EQUITY")</f>
        <v/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E1186" t="inlineStr">
        <is>
          <t>Cash &amp; equivalents</t>
        </is>
      </c>
      <c r="F1186" s="83">
        <f>BDP("UBER US Equity","BS_CASH_NEAR_CASH_ITEM")</f>
        <v/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24Y</t>
        </is>
      </c>
      <c r="E1187" t="inlineStr">
        <is>
          <t>EPS estimate FY2024</t>
        </is>
      </c>
      <c r="F1187" s="83">
        <f>BDP("UBER US Equity","BEST_EPS","BEST_FPERIOD_OVERRIDE","24Y")</f>
        <v/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24Y</t>
        </is>
      </c>
      <c r="E1188" t="inlineStr">
        <is>
          <t>Revenue estimate FY2024</t>
        </is>
      </c>
      <c r="F1188" s="83">
        <f>BDP("UBER US Equity","BEST_SALES","BEST_FPERIOD_OVERRIDE","24Y")</f>
        <v/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24Y</t>
        </is>
      </c>
      <c r="E1189" t="inlineStr">
        <is>
          <t>EBIT estimate FY2024</t>
        </is>
      </c>
      <c r="F1189" s="83">
        <f>BDP("UBER US Equity","BEST_EBIT","BEST_FPERIOD_OVERRIDE","24Y")</f>
        <v/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25Y</t>
        </is>
      </c>
      <c r="E1190" t="inlineStr">
        <is>
          <t>EPS estimate FY2025</t>
        </is>
      </c>
      <c r="F1190" s="83">
        <f>BDP("UBER US Equity","BEST_EPS","BEST_FPERIOD_OVERRIDE","25Y")</f>
        <v/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25Y</t>
        </is>
      </c>
      <c r="E1191" t="inlineStr">
        <is>
          <t>Revenue estimate FY2025</t>
        </is>
      </c>
      <c r="F1191" s="83">
        <f>BDP("UBER US Equity","BEST_SALES","BEST_FPERIOD_OVERRIDE","25Y")</f>
        <v/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25Y</t>
        </is>
      </c>
      <c r="E1192" t="inlineStr">
        <is>
          <t>EBIT estimate FY2025</t>
        </is>
      </c>
      <c r="F1192" s="83">
        <f>BDP("UBER US Equity","BEST_EBIT","BEST_FPERIOD_OVERRIDE","25Y")</f>
        <v/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26Y</t>
        </is>
      </c>
      <c r="E1193" t="inlineStr">
        <is>
          <t>EPS estimate FY2026</t>
        </is>
      </c>
      <c r="F1193" s="83">
        <f>BDP("UBER US Equity","BEST_EPS","BEST_FPERIOD_OVERRIDE","26Y")</f>
        <v/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26Y</t>
        </is>
      </c>
      <c r="E1194" t="inlineStr">
        <is>
          <t>Revenue estimate FY2026</t>
        </is>
      </c>
      <c r="F1194" s="83">
        <f>BDP("UBER US Equity","BEST_SALES","BEST_FPERIOD_OVERRIDE","26Y")</f>
        <v/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26Y</t>
        </is>
      </c>
      <c r="E1195" t="inlineStr">
        <is>
          <t>EBIT estimate FY2026</t>
        </is>
      </c>
      <c r="F1195" s="83">
        <f>BDP("UBER US Equity","BEST_EBIT","BEST_FPERIOD_OVERRIDE","26Y")</f>
        <v/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27Y</t>
        </is>
      </c>
      <c r="E1196" t="inlineStr">
        <is>
          <t>EPS estimate FY2027</t>
        </is>
      </c>
      <c r="F1196" s="83">
        <f>BDP("UBER US Equity","BEST_EPS","BEST_FPERIOD_OVERRIDE","27Y")</f>
        <v/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27Y</t>
        </is>
      </c>
      <c r="E1197" t="inlineStr">
        <is>
          <t>Revenue estimate FY2027</t>
        </is>
      </c>
      <c r="F1197" s="83">
        <f>BDP("UBER US Equity","BEST_SALES","BEST_FPERIOD_OVERRIDE","27Y")</f>
        <v/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27Y</t>
        </is>
      </c>
      <c r="E1198" t="inlineStr">
        <is>
          <t>EBIT estimate FY2027</t>
        </is>
      </c>
      <c r="F1198" s="83">
        <f>BDP("UBER US Equity","BEST_EBIT","BEST_FPERIOD_OVERRIDE","27Y")</f>
        <v/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28Y</t>
        </is>
      </c>
      <c r="E1199" t="inlineStr">
        <is>
          <t>EPS estimate FY2028</t>
        </is>
      </c>
      <c r="F1199" s="83">
        <f>BDP("UBER US Equity","BEST_EPS","BEST_FPERIOD_OVERRIDE","28Y")</f>
        <v/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28Y</t>
        </is>
      </c>
      <c r="E1200" t="inlineStr">
        <is>
          <t>Revenue estimate FY2028</t>
        </is>
      </c>
      <c r="F1200" s="83">
        <f>BDP("UBER US Equity","BEST_SALES","BEST_FPERIOD_OVERRIDE","28Y")</f>
        <v/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28Y</t>
        </is>
      </c>
      <c r="E1201" t="inlineStr">
        <is>
          <t>EBIT estimate FY2028</t>
        </is>
      </c>
      <c r="F1201" s="83">
        <f>BDP("UBER US Equity","BEST_EBIT","BEST_FPERIOD_OVERRIDE","28Y")</f>
        <v/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E1202" t="inlineStr">
        <is>
          <t>Last price</t>
        </is>
      </c>
      <c r="F1202" s="83">
        <f>BDP("SGI US Equity","PX_LAST")</f>
        <v/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E1203" t="inlineStr">
        <is>
          <t>Market cap (raw)</t>
        </is>
      </c>
      <c r="F1203" s="83">
        <f>BDP("SGI US Equity","CUR_MKT_CAP")</f>
        <v/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E1204" t="inlineStr">
        <is>
          <t>YTD price change %</t>
        </is>
      </c>
      <c r="F1204" s="83">
        <f>BDP("SGI US Equity","CHG_PCT_YTD")</f>
        <v/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E1205" t="inlineStr">
        <is>
          <t>Net debt / EBITDA</t>
        </is>
      </c>
      <c r="F1205" s="83">
        <f>BDP("SGI US Equity","NET_DEBT_TO_EBITDA")</f>
        <v/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E1206" t="inlineStr">
        <is>
          <t>ROIC (LTM)</t>
        </is>
      </c>
      <c r="F1206" s="83">
        <f>BDP("SGI US Equity","RETURN_ON_INV_CAPITAL")</f>
        <v/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E1207" t="inlineStr">
        <is>
          <t>LTM operating income</t>
        </is>
      </c>
      <c r="F1207" s="83">
        <f>BDP("SGI US Equity","TRAIL_12M_OPER_INC")</f>
        <v/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E1208" t="inlineStr">
        <is>
          <t>LTM EBITDA</t>
        </is>
      </c>
      <c r="F1208" s="83">
        <f>BDP("SGI US Equity","TRAIL_12M_EBITDA")</f>
        <v/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E1209" t="inlineStr">
        <is>
          <t>Total debt</t>
        </is>
      </c>
      <c r="F1209" s="83">
        <f>BDP("SGI US Equity","SHORT_AND_LONG_TERM_DEBT")</f>
        <v/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E1210" t="inlineStr">
        <is>
          <t>Total equity</t>
        </is>
      </c>
      <c r="F1210" s="83">
        <f>BDP("SGI US Equity","TOTAL_EQUITY")</f>
        <v/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E1211" t="inlineStr">
        <is>
          <t>Cash &amp; equivalents</t>
        </is>
      </c>
      <c r="F1211" s="83">
        <f>BDP("SGI US Equity","BS_CASH_NEAR_CASH_ITEM")</f>
        <v/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24Y</t>
        </is>
      </c>
      <c r="E1212" t="inlineStr">
        <is>
          <t>EPS estimate FY2024</t>
        </is>
      </c>
      <c r="F1212" s="83">
        <f>BDP("SGI US Equity","BEST_EPS","BEST_FPERIOD_OVERRIDE","24Y")</f>
        <v/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24Y</t>
        </is>
      </c>
      <c r="E1213" t="inlineStr">
        <is>
          <t>Revenue estimate FY2024</t>
        </is>
      </c>
      <c r="F1213" s="83">
        <f>BDP("SGI US Equity","BEST_SALES","BEST_FPERIOD_OVERRIDE","24Y")</f>
        <v/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24Y</t>
        </is>
      </c>
      <c r="E1214" t="inlineStr">
        <is>
          <t>EBIT estimate FY2024</t>
        </is>
      </c>
      <c r="F1214" s="83">
        <f>BDP("SGI US Equity","BEST_EBIT","BEST_FPERIOD_OVERRIDE","24Y")</f>
        <v/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25Y</t>
        </is>
      </c>
      <c r="E1215" t="inlineStr">
        <is>
          <t>EPS estimate FY2025</t>
        </is>
      </c>
      <c r="F1215" s="83">
        <f>BDP("SGI US Equity","BEST_EPS","BEST_FPERIOD_OVERRIDE","25Y")</f>
        <v/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25Y</t>
        </is>
      </c>
      <c r="E1216" t="inlineStr">
        <is>
          <t>Revenue estimate FY2025</t>
        </is>
      </c>
      <c r="F1216" s="83">
        <f>BDP("SGI US Equity","BEST_SALES","BEST_FPERIOD_OVERRIDE","25Y")</f>
        <v/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25Y</t>
        </is>
      </c>
      <c r="E1217" t="inlineStr">
        <is>
          <t>EBIT estimate FY2025</t>
        </is>
      </c>
      <c r="F1217" s="83">
        <f>BDP("SGI US Equity","BEST_EBIT","BEST_FPERIOD_OVERRIDE","25Y")</f>
        <v/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26Y</t>
        </is>
      </c>
      <c r="E1218" t="inlineStr">
        <is>
          <t>EPS estimate FY2026</t>
        </is>
      </c>
      <c r="F1218" s="83">
        <f>BDP("SGI US Equity","BEST_EPS","BEST_FPERIOD_OVERRIDE","26Y")</f>
        <v/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26Y</t>
        </is>
      </c>
      <c r="E1219" t="inlineStr">
        <is>
          <t>Revenue estimate FY2026</t>
        </is>
      </c>
      <c r="F1219" s="83">
        <f>BDP("SGI US Equity","BEST_SALES","BEST_FPERIOD_OVERRIDE","26Y")</f>
        <v/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26Y</t>
        </is>
      </c>
      <c r="E1220" t="inlineStr">
        <is>
          <t>EBIT estimate FY2026</t>
        </is>
      </c>
      <c r="F1220" s="83">
        <f>BDP("SGI US Equity","BEST_EBIT","BEST_FPERIOD_OVERRIDE","26Y")</f>
        <v/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27Y</t>
        </is>
      </c>
      <c r="E1221" t="inlineStr">
        <is>
          <t>EPS estimate FY2027</t>
        </is>
      </c>
      <c r="F1221" s="83">
        <f>BDP("SGI US Equity","BEST_EPS","BEST_FPERIOD_OVERRIDE","27Y")</f>
        <v/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27Y</t>
        </is>
      </c>
      <c r="E1222" t="inlineStr">
        <is>
          <t>Revenue estimate FY2027</t>
        </is>
      </c>
      <c r="F1222" s="83">
        <f>BDP("SGI US Equity","BEST_SALES","BEST_FPERIOD_OVERRIDE","27Y")</f>
        <v/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27Y</t>
        </is>
      </c>
      <c r="E1223" t="inlineStr">
        <is>
          <t>EBIT estimate FY2027</t>
        </is>
      </c>
      <c r="F1223" s="83">
        <f>BDP("SGI US Equity","BEST_EBIT","BEST_FPERIOD_OVERRIDE","27Y")</f>
        <v/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28Y</t>
        </is>
      </c>
      <c r="E1224" t="inlineStr">
        <is>
          <t>EPS estimate FY2028</t>
        </is>
      </c>
      <c r="F1224" s="83">
        <f>BDP("SGI US Equity","BEST_EPS","BEST_FPERIOD_OVERRIDE","28Y")</f>
        <v/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28Y</t>
        </is>
      </c>
      <c r="E1225" t="inlineStr">
        <is>
          <t>Revenue estimate FY2028</t>
        </is>
      </c>
      <c r="F1225" s="83">
        <f>BDP("SGI US Equity","BEST_SALES","BEST_FPERIOD_OVERRIDE","28Y")</f>
        <v/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28Y</t>
        </is>
      </c>
      <c r="E1226" t="inlineStr">
        <is>
          <t>EBIT estimate FY2028</t>
        </is>
      </c>
      <c r="F1226" s="83">
        <f>BDP("SGI US Equity","BEST_EBIT","BEST_FPERIOD_OVERRIDE","28Y")</f>
        <v/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E1227" t="inlineStr">
        <is>
          <t>Last price</t>
        </is>
      </c>
      <c r="F1227" s="83">
        <f>BDP("FWONK US Equity","PX_LAST")</f>
        <v/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E1228" t="inlineStr">
        <is>
          <t>Market cap (raw)</t>
        </is>
      </c>
      <c r="F1228" s="83">
        <f>BDP("FWONK US Equity","CUR_MKT_CAP")</f>
        <v/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E1229" t="inlineStr">
        <is>
          <t>YTD price change %</t>
        </is>
      </c>
      <c r="F1229" s="83">
        <f>BDP("FWONK US Equity","CHG_PCT_YTD")</f>
        <v/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E1230" t="inlineStr">
        <is>
          <t>Net debt / EBITDA</t>
        </is>
      </c>
      <c r="F1230" s="83">
        <f>BDP("FWONK US Equity","NET_DEBT_TO_EBITDA")</f>
        <v/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E1231" t="inlineStr">
        <is>
          <t>ROIC (LTM)</t>
        </is>
      </c>
      <c r="F1231" s="83">
        <f>BDP("FWONK US Equity","RETURN_ON_INV_CAPITAL")</f>
        <v/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E1232" t="inlineStr">
        <is>
          <t>LTM operating income</t>
        </is>
      </c>
      <c r="F1232" s="83">
        <f>BDP("FWONK US Equity","TRAIL_12M_OPER_INC")</f>
        <v/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E1233" t="inlineStr">
        <is>
          <t>LTM EBITDA</t>
        </is>
      </c>
      <c r="F1233" s="83">
        <f>BDP("FWONK US Equity","TRAIL_12M_EBITDA")</f>
        <v/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E1234" t="inlineStr">
        <is>
          <t>Total debt</t>
        </is>
      </c>
      <c r="F1234" s="83">
        <f>BDP("FWONK US Equity","SHORT_AND_LONG_TERM_DEBT")</f>
        <v/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E1235" t="inlineStr">
        <is>
          <t>Total equity</t>
        </is>
      </c>
      <c r="F1235" s="83">
        <f>BDP("FWONK US Equity","TOTAL_EQUITY")</f>
        <v/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E1236" t="inlineStr">
        <is>
          <t>Cash &amp; equivalents</t>
        </is>
      </c>
      <c r="F1236" s="83">
        <f>BDP("FWONK US Equity","BS_CASH_NEAR_CASH_ITEM")</f>
        <v/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24Y</t>
        </is>
      </c>
      <c r="E1237" t="inlineStr">
        <is>
          <t>EPS estimate FY2024</t>
        </is>
      </c>
      <c r="F1237" s="83">
        <f>BDP("FWONK US Equity","BEST_EPS","BEST_FPERIOD_OVERRIDE","24Y")</f>
        <v/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24Y</t>
        </is>
      </c>
      <c r="E1238" t="inlineStr">
        <is>
          <t>Revenue estimate FY2024</t>
        </is>
      </c>
      <c r="F1238" s="83">
        <f>BDP("FWONK US Equity","BEST_SALES","BEST_FPERIOD_OVERRIDE","24Y")</f>
        <v/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24Y</t>
        </is>
      </c>
      <c r="E1239" t="inlineStr">
        <is>
          <t>EBIT estimate FY2024</t>
        </is>
      </c>
      <c r="F1239" s="83">
        <f>BDP("FWONK US Equity","BEST_EBIT","BEST_FPERIOD_OVERRIDE","24Y")</f>
        <v/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25Y</t>
        </is>
      </c>
      <c r="E1240" t="inlineStr">
        <is>
          <t>EPS estimate FY2025</t>
        </is>
      </c>
      <c r="F1240" s="83">
        <f>BDP("FWONK US Equity","BEST_EPS","BEST_FPERIOD_OVERRIDE","25Y")</f>
        <v/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25Y</t>
        </is>
      </c>
      <c r="E1241" t="inlineStr">
        <is>
          <t>Revenue estimate FY2025</t>
        </is>
      </c>
      <c r="F1241" s="83">
        <f>BDP("FWONK US Equity","BEST_SALES","BEST_FPERIOD_OVERRIDE","25Y")</f>
        <v/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25Y</t>
        </is>
      </c>
      <c r="E1242" t="inlineStr">
        <is>
          <t>EBIT estimate FY2025</t>
        </is>
      </c>
      <c r="F1242" s="83">
        <f>BDP("FWONK US Equity","BEST_EBIT","BEST_FPERIOD_OVERRIDE","25Y")</f>
        <v/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26Y</t>
        </is>
      </c>
      <c r="E1243" t="inlineStr">
        <is>
          <t>EPS estimate FY2026</t>
        </is>
      </c>
      <c r="F1243" s="83">
        <f>BDP("FWONK US Equity","BEST_EPS","BEST_FPERIOD_OVERRIDE","26Y")</f>
        <v/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26Y</t>
        </is>
      </c>
      <c r="E1244" t="inlineStr">
        <is>
          <t>Revenue estimate FY2026</t>
        </is>
      </c>
      <c r="F1244" s="83">
        <f>BDP("FWONK US Equity","BEST_SALES","BEST_FPERIOD_OVERRIDE","26Y")</f>
        <v/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26Y</t>
        </is>
      </c>
      <c r="E1245" t="inlineStr">
        <is>
          <t>EBIT estimate FY2026</t>
        </is>
      </c>
      <c r="F1245" s="83">
        <f>BDP("FWONK US Equity","BEST_EBIT","BEST_FPERIOD_OVERRIDE","26Y")</f>
        <v/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27Y</t>
        </is>
      </c>
      <c r="E1246" t="inlineStr">
        <is>
          <t>EPS estimate FY2027</t>
        </is>
      </c>
      <c r="F1246" s="83">
        <f>BDP("FWONK US Equity","BEST_EPS","BEST_FPERIOD_OVERRIDE","27Y")</f>
        <v/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27Y</t>
        </is>
      </c>
      <c r="E1247" t="inlineStr">
        <is>
          <t>Revenue estimate FY2027</t>
        </is>
      </c>
      <c r="F1247" s="83">
        <f>BDP("FWONK US Equity","BEST_SALES","BEST_FPERIOD_OVERRIDE","27Y")</f>
        <v/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27Y</t>
        </is>
      </c>
      <c r="E1248" t="inlineStr">
        <is>
          <t>EBIT estimate FY2027</t>
        </is>
      </c>
      <c r="F1248" s="83">
        <f>BDP("FWONK US Equity","BEST_EBIT","BEST_FPERIOD_OVERRIDE","27Y")</f>
        <v/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28Y</t>
        </is>
      </c>
      <c r="E1249" t="inlineStr">
        <is>
          <t>EPS estimate FY2028</t>
        </is>
      </c>
      <c r="F1249" s="83">
        <f>BDP("FWONK US Equity","BEST_EPS","BEST_FPERIOD_OVERRIDE","28Y")</f>
        <v/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28Y</t>
        </is>
      </c>
      <c r="E1250" t="inlineStr">
        <is>
          <t>Revenue estimate FY2028</t>
        </is>
      </c>
      <c r="F1250" s="83">
        <f>BDP("FWONK US Equity","BEST_SALES","BEST_FPERIOD_OVERRIDE","28Y")</f>
        <v/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28Y</t>
        </is>
      </c>
      <c r="E1251" t="inlineStr">
        <is>
          <t>EBIT estimate FY2028</t>
        </is>
      </c>
      <c r="F1251" s="83">
        <f>BDP("FWONK US Equity","BEST_EBIT","BEST_FPERIOD_OVERRIDE","28Y")</f>
        <v/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E1252" t="inlineStr">
        <is>
          <t>Last price</t>
        </is>
      </c>
      <c r="F1252" s="83">
        <f>BDP("MC FP Equity","PX_LAST")</f>
        <v/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E1253" t="inlineStr">
        <is>
          <t>Market cap (raw)</t>
        </is>
      </c>
      <c r="F1253" s="83">
        <f>BDP("MC FP Equity","CUR_MKT_CAP")</f>
        <v/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E1254" t="inlineStr">
        <is>
          <t>YTD price change %</t>
        </is>
      </c>
      <c r="F1254" s="83">
        <f>BDP("MC FP Equity","CHG_PCT_YTD")</f>
        <v/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E1255" t="inlineStr">
        <is>
          <t>Net debt / EBITDA</t>
        </is>
      </c>
      <c r="F1255" s="83">
        <f>BDP("MC FP Equity","NET_DEBT_TO_EBITDA")</f>
        <v/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E1256" t="inlineStr">
        <is>
          <t>ROIC (LTM)</t>
        </is>
      </c>
      <c r="F1256" s="83">
        <f>BDP("MC FP Equity","RETURN_ON_INV_CAPITAL")</f>
        <v/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E1257" t="inlineStr">
        <is>
          <t>LTM operating income</t>
        </is>
      </c>
      <c r="F1257" s="83">
        <f>BDP("MC FP Equity","TRAIL_12M_OPER_INC")</f>
        <v/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E1258" t="inlineStr">
        <is>
          <t>LTM EBITDA</t>
        </is>
      </c>
      <c r="F1258" s="83">
        <f>BDP("MC FP Equity","TRAIL_12M_EBITDA")</f>
        <v/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E1259" t="inlineStr">
        <is>
          <t>Total debt</t>
        </is>
      </c>
      <c r="F1259" s="83">
        <f>BDP("MC FP Equity","SHORT_AND_LONG_TERM_DEBT")</f>
        <v/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E1260" t="inlineStr">
        <is>
          <t>Total equity</t>
        </is>
      </c>
      <c r="F1260" s="83">
        <f>BDP("MC FP Equity","TOTAL_EQUITY")</f>
        <v/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E1261" t="inlineStr">
        <is>
          <t>Cash &amp; equivalents</t>
        </is>
      </c>
      <c r="F1261" s="83">
        <f>BDP("MC FP Equity","BS_CASH_NEAR_CASH_ITEM")</f>
        <v/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24Y</t>
        </is>
      </c>
      <c r="E1262" t="inlineStr">
        <is>
          <t>EPS estimate FY2024</t>
        </is>
      </c>
      <c r="F1262" s="83">
        <f>BDP("MC FP Equity","BEST_EPS","BEST_FPERIOD_OVERRIDE","24Y")</f>
        <v/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24Y</t>
        </is>
      </c>
      <c r="E1263" t="inlineStr">
        <is>
          <t>Revenue estimate FY2024</t>
        </is>
      </c>
      <c r="F1263" s="83">
        <f>BDP("MC FP Equity","BEST_SALES","BEST_FPERIOD_OVERRIDE","24Y")</f>
        <v/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24Y</t>
        </is>
      </c>
      <c r="E1264" t="inlineStr">
        <is>
          <t>EBIT estimate FY2024</t>
        </is>
      </c>
      <c r="F1264" s="83">
        <f>BDP("MC FP Equity","BEST_EBIT","BEST_FPERIOD_OVERRIDE","24Y")</f>
        <v/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25Y</t>
        </is>
      </c>
      <c r="E1265" t="inlineStr">
        <is>
          <t>EPS estimate FY2025</t>
        </is>
      </c>
      <c r="F1265" s="83">
        <f>BDP("MC FP Equity","BEST_EPS","BEST_FPERIOD_OVERRIDE","25Y")</f>
        <v/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25Y</t>
        </is>
      </c>
      <c r="E1266" t="inlineStr">
        <is>
          <t>Revenue estimate FY2025</t>
        </is>
      </c>
      <c r="F1266" s="83">
        <f>BDP("MC FP Equity","BEST_SALES","BEST_FPERIOD_OVERRIDE","25Y")</f>
        <v/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25Y</t>
        </is>
      </c>
      <c r="E1267" t="inlineStr">
        <is>
          <t>EBIT estimate FY2025</t>
        </is>
      </c>
      <c r="F1267" s="83">
        <f>BDP("MC FP Equity","BEST_EBIT","BEST_FPERIOD_OVERRIDE","25Y")</f>
        <v/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26Y</t>
        </is>
      </c>
      <c r="E1268" t="inlineStr">
        <is>
          <t>EPS estimate FY2026</t>
        </is>
      </c>
      <c r="F1268" s="83">
        <f>BDP("MC FP Equity","BEST_EPS","BEST_FPERIOD_OVERRIDE","26Y")</f>
        <v/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26Y</t>
        </is>
      </c>
      <c r="E1269" t="inlineStr">
        <is>
          <t>Revenue estimate FY2026</t>
        </is>
      </c>
      <c r="F1269" s="83">
        <f>BDP("MC FP Equity","BEST_SALES","BEST_FPERIOD_OVERRIDE","26Y")</f>
        <v/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26Y</t>
        </is>
      </c>
      <c r="E1270" t="inlineStr">
        <is>
          <t>EBIT estimate FY2026</t>
        </is>
      </c>
      <c r="F1270" s="83">
        <f>BDP("MC FP Equity","BEST_EBIT","BEST_FPERIOD_OVERRIDE","26Y")</f>
        <v/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27Y</t>
        </is>
      </c>
      <c r="E1271" t="inlineStr">
        <is>
          <t>EPS estimate FY2027</t>
        </is>
      </c>
      <c r="F1271" s="83">
        <f>BDP("MC FP Equity","BEST_EPS","BEST_FPERIOD_OVERRIDE","27Y")</f>
        <v/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27Y</t>
        </is>
      </c>
      <c r="E1272" t="inlineStr">
        <is>
          <t>Revenue estimate FY2027</t>
        </is>
      </c>
      <c r="F1272" s="83">
        <f>BDP("MC FP Equity","BEST_SALES","BEST_FPERIOD_OVERRIDE","27Y")</f>
        <v/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27Y</t>
        </is>
      </c>
      <c r="E1273" t="inlineStr">
        <is>
          <t>EBIT estimate FY2027</t>
        </is>
      </c>
      <c r="F1273" s="83">
        <f>BDP("MC FP Equity","BEST_EBIT","BEST_FPERIOD_OVERRIDE","27Y")</f>
        <v/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28Y</t>
        </is>
      </c>
      <c r="E1274" t="inlineStr">
        <is>
          <t>EPS estimate FY2028</t>
        </is>
      </c>
      <c r="F1274" s="83">
        <f>BDP("MC FP Equity","BEST_EPS","BEST_FPERIOD_OVERRIDE","28Y")</f>
        <v/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28Y</t>
        </is>
      </c>
      <c r="E1275" t="inlineStr">
        <is>
          <t>Revenue estimate FY2028</t>
        </is>
      </c>
      <c r="F1275" s="83">
        <f>BDP("MC FP Equity","BEST_SALES","BEST_FPERIOD_OVERRIDE","28Y")</f>
        <v/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28Y</t>
        </is>
      </c>
      <c r="E1276" t="inlineStr">
        <is>
          <t>EBIT estimate FY2028</t>
        </is>
      </c>
      <c r="F1276" s="83">
        <f>BDP("MC FP Equity","BEST_EBIT","BEST_FPERIOD_OVERRIDE","28Y")</f>
        <v/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E1277" t="inlineStr">
        <is>
          <t>Last price</t>
        </is>
      </c>
      <c r="F1277" s="83">
        <f>BDP("RMS FP Equity","PX_LAST")</f>
        <v/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E1278" t="inlineStr">
        <is>
          <t>Market cap (raw)</t>
        </is>
      </c>
      <c r="F1278" s="83">
        <f>BDP("RMS FP Equity","CUR_MKT_CAP")</f>
        <v/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E1279" t="inlineStr">
        <is>
          <t>YTD price change %</t>
        </is>
      </c>
      <c r="F1279" s="83">
        <f>BDP("RMS FP Equity","CHG_PCT_YTD")</f>
        <v/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E1280" t="inlineStr">
        <is>
          <t>Net debt / EBITDA</t>
        </is>
      </c>
      <c r="F1280" s="83">
        <f>BDP("RMS FP Equity","NET_DEBT_TO_EBITDA")</f>
        <v/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E1281" t="inlineStr">
        <is>
          <t>ROIC (LTM)</t>
        </is>
      </c>
      <c r="F1281" s="83">
        <f>BDP("RMS FP Equity","RETURN_ON_INV_CAPITAL")</f>
        <v/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E1282" t="inlineStr">
        <is>
          <t>LTM operating income</t>
        </is>
      </c>
      <c r="F1282" s="83">
        <f>BDP("RMS FP Equity","TRAIL_12M_OPER_INC")</f>
        <v/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E1283" t="inlineStr">
        <is>
          <t>LTM EBITDA</t>
        </is>
      </c>
      <c r="F1283" s="83">
        <f>BDP("RMS FP Equity","TRAIL_12M_EBITDA")</f>
        <v/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E1284" t="inlineStr">
        <is>
          <t>Total debt</t>
        </is>
      </c>
      <c r="F1284" s="83">
        <f>BDP("RMS FP Equity","SHORT_AND_LONG_TERM_DEBT")</f>
        <v/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E1285" t="inlineStr">
        <is>
          <t>Total equity</t>
        </is>
      </c>
      <c r="F1285" s="83">
        <f>BDP("RMS FP Equity","TOTAL_EQUITY")</f>
        <v/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E1286" t="inlineStr">
        <is>
          <t>Cash &amp; equivalents</t>
        </is>
      </c>
      <c r="F1286" s="83">
        <f>BDP("RMS FP Equity","BS_CASH_NEAR_CASH_ITEM")</f>
        <v/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24Y</t>
        </is>
      </c>
      <c r="E1287" t="inlineStr">
        <is>
          <t>EPS estimate FY2024</t>
        </is>
      </c>
      <c r="F1287" s="83">
        <f>BDP("RMS FP Equity","BEST_EPS","BEST_FPERIOD_OVERRIDE","24Y")</f>
        <v/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24Y</t>
        </is>
      </c>
      <c r="E1288" t="inlineStr">
        <is>
          <t>Revenue estimate FY2024</t>
        </is>
      </c>
      <c r="F1288" s="83">
        <f>BDP("RMS FP Equity","BEST_SALES","BEST_FPERIOD_OVERRIDE","24Y")</f>
        <v/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24Y</t>
        </is>
      </c>
      <c r="E1289" t="inlineStr">
        <is>
          <t>EBIT estimate FY2024</t>
        </is>
      </c>
      <c r="F1289" s="83">
        <f>BDP("RMS FP Equity","BEST_EBIT","BEST_FPERIOD_OVERRIDE","24Y")</f>
        <v/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25Y</t>
        </is>
      </c>
      <c r="E1290" t="inlineStr">
        <is>
          <t>EPS estimate FY2025</t>
        </is>
      </c>
      <c r="F1290" s="83">
        <f>BDP("RMS FP Equity","BEST_EPS","BEST_FPERIOD_OVERRIDE","25Y")</f>
        <v/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25Y</t>
        </is>
      </c>
      <c r="E1291" t="inlineStr">
        <is>
          <t>Revenue estimate FY2025</t>
        </is>
      </c>
      <c r="F1291" s="83">
        <f>BDP("RMS FP Equity","BEST_SALES","BEST_FPERIOD_OVERRIDE","25Y")</f>
        <v/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25Y</t>
        </is>
      </c>
      <c r="E1292" t="inlineStr">
        <is>
          <t>EBIT estimate FY2025</t>
        </is>
      </c>
      <c r="F1292" s="83">
        <f>BDP("RMS FP Equity","BEST_EBIT","BEST_FPERIOD_OVERRIDE","25Y")</f>
        <v/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26Y</t>
        </is>
      </c>
      <c r="E1293" t="inlineStr">
        <is>
          <t>EPS estimate FY2026</t>
        </is>
      </c>
      <c r="F1293" s="83">
        <f>BDP("RMS FP Equity","BEST_EPS","BEST_FPERIOD_OVERRIDE","26Y")</f>
        <v/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26Y</t>
        </is>
      </c>
      <c r="E1294" t="inlineStr">
        <is>
          <t>Revenue estimate FY2026</t>
        </is>
      </c>
      <c r="F1294" s="83">
        <f>BDP("RMS FP Equity","BEST_SALES","BEST_FPERIOD_OVERRIDE","26Y")</f>
        <v/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26Y</t>
        </is>
      </c>
      <c r="E1295" t="inlineStr">
        <is>
          <t>EBIT estimate FY2026</t>
        </is>
      </c>
      <c r="F1295" s="83">
        <f>BDP("RMS FP Equity","BEST_EBIT","BEST_FPERIOD_OVERRIDE","26Y")</f>
        <v/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27Y</t>
        </is>
      </c>
      <c r="E1296" t="inlineStr">
        <is>
          <t>EPS estimate FY2027</t>
        </is>
      </c>
      <c r="F1296" s="83">
        <f>BDP("RMS FP Equity","BEST_EPS","BEST_FPERIOD_OVERRIDE","27Y")</f>
        <v/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27Y</t>
        </is>
      </c>
      <c r="E1297" t="inlineStr">
        <is>
          <t>Revenue estimate FY2027</t>
        </is>
      </c>
      <c r="F1297" s="83">
        <f>BDP("RMS FP Equity","BEST_SALES","BEST_FPERIOD_OVERRIDE","27Y")</f>
        <v/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27Y</t>
        </is>
      </c>
      <c r="E1298" t="inlineStr">
        <is>
          <t>EBIT estimate FY2027</t>
        </is>
      </c>
      <c r="F1298" s="83">
        <f>BDP("RMS FP Equity","BEST_EBIT","BEST_FPERIOD_OVERRIDE","27Y")</f>
        <v/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28Y</t>
        </is>
      </c>
      <c r="E1299" t="inlineStr">
        <is>
          <t>EPS estimate FY2028</t>
        </is>
      </c>
      <c r="F1299" s="83">
        <f>BDP("RMS FP Equity","BEST_EPS","BEST_FPERIOD_OVERRIDE","28Y")</f>
        <v/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28Y</t>
        </is>
      </c>
      <c r="E1300" t="inlineStr">
        <is>
          <t>Revenue estimate FY2028</t>
        </is>
      </c>
      <c r="F1300" s="83">
        <f>BDP("RMS FP Equity","BEST_SALES","BEST_FPERIOD_OVERRIDE","28Y")</f>
        <v/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28Y</t>
        </is>
      </c>
      <c r="E1301" t="inlineStr">
        <is>
          <t>EBIT estimate FY2028</t>
        </is>
      </c>
      <c r="F1301" s="83">
        <f>BDP("RMS FP Equity","BEST_EBIT","BEST_FPERIOD_OVERRIDE","28Y")</f>
        <v/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E1302" t="inlineStr">
        <is>
          <t>Last price</t>
        </is>
      </c>
      <c r="F1302" s="83">
        <f>BDP("PM US Equity","PX_LAST")</f>
        <v/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E1303" t="inlineStr">
        <is>
          <t>Market cap (raw)</t>
        </is>
      </c>
      <c r="F1303" s="83">
        <f>BDP("PM US Equity","CUR_MKT_CAP")</f>
        <v/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E1304" t="inlineStr">
        <is>
          <t>YTD price change %</t>
        </is>
      </c>
      <c r="F1304" s="83">
        <f>BDP("PM US Equity","CHG_PCT_YTD")</f>
        <v/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E1305" t="inlineStr">
        <is>
          <t>Net debt / EBITDA</t>
        </is>
      </c>
      <c r="F1305" s="83">
        <f>BDP("PM US Equity","NET_DEBT_TO_EBITDA")</f>
        <v/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E1306" t="inlineStr">
        <is>
          <t>ROIC (LTM)</t>
        </is>
      </c>
      <c r="F1306" s="83">
        <f>BDP("PM US Equity","RETURN_ON_INV_CAPITAL")</f>
        <v/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E1307" t="inlineStr">
        <is>
          <t>LTM operating income</t>
        </is>
      </c>
      <c r="F1307" s="83">
        <f>BDP("PM US Equity","TRAIL_12M_OPER_INC")</f>
        <v/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E1308" t="inlineStr">
        <is>
          <t>LTM EBITDA</t>
        </is>
      </c>
      <c r="F1308" s="83">
        <f>BDP("PM US Equity","TRAIL_12M_EBITDA")</f>
        <v/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E1309" t="inlineStr">
        <is>
          <t>Total debt</t>
        </is>
      </c>
      <c r="F1309" s="83">
        <f>BDP("PM US Equity","SHORT_AND_LONG_TERM_DEBT")</f>
        <v/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E1310" t="inlineStr">
        <is>
          <t>Total equity</t>
        </is>
      </c>
      <c r="F1310" s="83">
        <f>BDP("PM US Equity","TOTAL_EQUITY")</f>
        <v/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E1311" t="inlineStr">
        <is>
          <t>Cash &amp; equivalents</t>
        </is>
      </c>
      <c r="F1311" s="83">
        <f>BDP("PM US Equity","BS_CASH_NEAR_CASH_ITEM")</f>
        <v/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24Y</t>
        </is>
      </c>
      <c r="E1312" t="inlineStr">
        <is>
          <t>EPS estimate FY2024</t>
        </is>
      </c>
      <c r="F1312" s="83">
        <f>BDP("PM US Equity","BEST_EPS","BEST_FPERIOD_OVERRIDE","24Y")</f>
        <v/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24Y</t>
        </is>
      </c>
      <c r="E1313" t="inlineStr">
        <is>
          <t>Revenue estimate FY2024</t>
        </is>
      </c>
      <c r="F1313" s="83">
        <f>BDP("PM US Equity","BEST_SALES","BEST_FPERIOD_OVERRIDE","24Y")</f>
        <v/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24Y</t>
        </is>
      </c>
      <c r="E1314" t="inlineStr">
        <is>
          <t>EBIT estimate FY2024</t>
        </is>
      </c>
      <c r="F1314" s="83">
        <f>BDP("PM US Equity","BEST_EBIT","BEST_FPERIOD_OVERRIDE","24Y")</f>
        <v/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25Y</t>
        </is>
      </c>
      <c r="E1315" t="inlineStr">
        <is>
          <t>EPS estimate FY2025</t>
        </is>
      </c>
      <c r="F1315" s="83">
        <f>BDP("PM US Equity","BEST_EPS","BEST_FPERIOD_OVERRIDE","25Y")</f>
        <v/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25Y</t>
        </is>
      </c>
      <c r="E1316" t="inlineStr">
        <is>
          <t>Revenue estimate FY2025</t>
        </is>
      </c>
      <c r="F1316" s="83">
        <f>BDP("PM US Equity","BEST_SALES","BEST_FPERIOD_OVERRIDE","25Y")</f>
        <v/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25Y</t>
        </is>
      </c>
      <c r="E1317" t="inlineStr">
        <is>
          <t>EBIT estimate FY2025</t>
        </is>
      </c>
      <c r="F1317" s="83">
        <f>BDP("PM US Equity","BEST_EBIT","BEST_FPERIOD_OVERRIDE","25Y")</f>
        <v/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26Y</t>
        </is>
      </c>
      <c r="E1318" t="inlineStr">
        <is>
          <t>EPS estimate FY2026</t>
        </is>
      </c>
      <c r="F1318" s="83">
        <f>BDP("PM US Equity","BEST_EPS","BEST_FPERIOD_OVERRIDE","26Y")</f>
        <v/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26Y</t>
        </is>
      </c>
      <c r="E1319" t="inlineStr">
        <is>
          <t>Revenue estimate FY2026</t>
        </is>
      </c>
      <c r="F1319" s="83">
        <f>BDP("PM US Equity","BEST_SALES","BEST_FPERIOD_OVERRIDE","26Y")</f>
        <v/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26Y</t>
        </is>
      </c>
      <c r="E1320" t="inlineStr">
        <is>
          <t>EBIT estimate FY2026</t>
        </is>
      </c>
      <c r="F1320" s="83">
        <f>BDP("PM US Equity","BEST_EBIT","BEST_FPERIOD_OVERRIDE","26Y")</f>
        <v/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27Y</t>
        </is>
      </c>
      <c r="E1321" t="inlineStr">
        <is>
          <t>EPS estimate FY2027</t>
        </is>
      </c>
      <c r="F1321" s="83">
        <f>BDP("PM US Equity","BEST_EPS","BEST_FPERIOD_OVERRIDE","27Y")</f>
        <v/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27Y</t>
        </is>
      </c>
      <c r="E1322" t="inlineStr">
        <is>
          <t>Revenue estimate FY2027</t>
        </is>
      </c>
      <c r="F1322" s="83">
        <f>BDP("PM US Equity","BEST_SALES","BEST_FPERIOD_OVERRIDE","27Y")</f>
        <v/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27Y</t>
        </is>
      </c>
      <c r="E1323" t="inlineStr">
        <is>
          <t>EBIT estimate FY2027</t>
        </is>
      </c>
      <c r="F1323" s="83">
        <f>BDP("PM US Equity","BEST_EBIT","BEST_FPERIOD_OVERRIDE","27Y")</f>
        <v/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28Y</t>
        </is>
      </c>
      <c r="E1324" t="inlineStr">
        <is>
          <t>EPS estimate FY2028</t>
        </is>
      </c>
      <c r="F1324" s="83">
        <f>BDP("PM US Equity","BEST_EPS","BEST_FPERIOD_OVERRIDE","28Y")</f>
        <v/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28Y</t>
        </is>
      </c>
      <c r="E1325" t="inlineStr">
        <is>
          <t>Revenue estimate FY2028</t>
        </is>
      </c>
      <c r="F1325" s="83">
        <f>BDP("PM US Equity","BEST_SALES","BEST_FPERIOD_OVERRIDE","28Y")</f>
        <v/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28Y</t>
        </is>
      </c>
      <c r="E1326" t="inlineStr">
        <is>
          <t>EBIT estimate FY2028</t>
        </is>
      </c>
      <c r="F1326" s="83">
        <f>BDP("PM US Equity","BEST_EBIT","BEST_FPERIOD_OVERRIDE","28Y")</f>
        <v/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E1327" t="inlineStr">
        <is>
          <t>Last price</t>
        </is>
      </c>
      <c r="F1327" s="83">
        <f>BDP("GE US Equity","PX_LAST")</f>
        <v/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E1328" t="inlineStr">
        <is>
          <t>Market cap (raw)</t>
        </is>
      </c>
      <c r="F1328" s="83">
        <f>BDP("GE US Equity","CUR_MKT_CAP")</f>
        <v/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E1329" t="inlineStr">
        <is>
          <t>YTD price change %</t>
        </is>
      </c>
      <c r="F1329" s="83">
        <f>BDP("GE US Equity","CHG_PCT_YTD")</f>
        <v/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E1330" t="inlineStr">
        <is>
          <t>Net debt / EBITDA</t>
        </is>
      </c>
      <c r="F1330" s="83">
        <f>BDP("GE US Equity","NET_DEBT_TO_EBITDA")</f>
        <v/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E1331" t="inlineStr">
        <is>
          <t>ROIC (LTM)</t>
        </is>
      </c>
      <c r="F1331" s="83">
        <f>BDP("GE US Equity","RETURN_ON_INV_CAPITAL")</f>
        <v/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E1332" t="inlineStr">
        <is>
          <t>LTM operating income</t>
        </is>
      </c>
      <c r="F1332" s="83">
        <f>BDP("GE US Equity","TRAIL_12M_OPER_INC")</f>
        <v/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E1333" t="inlineStr">
        <is>
          <t>LTM EBITDA</t>
        </is>
      </c>
      <c r="F1333" s="83">
        <f>BDP("GE US Equity","TRAIL_12M_EBITDA")</f>
        <v/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E1334" t="inlineStr">
        <is>
          <t>Total debt</t>
        </is>
      </c>
      <c r="F1334" s="83">
        <f>BDP("GE US Equity","SHORT_AND_LONG_TERM_DEBT")</f>
        <v/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E1335" t="inlineStr">
        <is>
          <t>Total equity</t>
        </is>
      </c>
      <c r="F1335" s="83">
        <f>BDP("GE US Equity","TOTAL_EQUITY")</f>
        <v/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E1336" t="inlineStr">
        <is>
          <t>Cash &amp; equivalents</t>
        </is>
      </c>
      <c r="F1336" s="83">
        <f>BDP("GE US Equity","BS_CASH_NEAR_CASH_ITEM")</f>
        <v/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24Y</t>
        </is>
      </c>
      <c r="E1337" t="inlineStr">
        <is>
          <t>EPS estimate FY2024</t>
        </is>
      </c>
      <c r="F1337" s="83">
        <f>BDP("GE US Equity","BEST_EPS","BEST_FPERIOD_OVERRIDE","24Y")</f>
        <v/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24Y</t>
        </is>
      </c>
      <c r="E1338" t="inlineStr">
        <is>
          <t>Revenue estimate FY2024</t>
        </is>
      </c>
      <c r="F1338" s="83">
        <f>BDP("GE US Equity","BEST_SALES","BEST_FPERIOD_OVERRIDE","24Y")</f>
        <v/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24Y</t>
        </is>
      </c>
      <c r="E1339" t="inlineStr">
        <is>
          <t>EBIT estimate FY2024</t>
        </is>
      </c>
      <c r="F1339" s="83">
        <f>BDP("GE US Equity","BEST_EBIT","BEST_FPERIOD_OVERRIDE","24Y")</f>
        <v/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25Y</t>
        </is>
      </c>
      <c r="E1340" t="inlineStr">
        <is>
          <t>EPS estimate FY2025</t>
        </is>
      </c>
      <c r="F1340" s="83">
        <f>BDP("GE US Equity","BEST_EPS","BEST_FPERIOD_OVERRIDE","25Y")</f>
        <v/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25Y</t>
        </is>
      </c>
      <c r="E1341" t="inlineStr">
        <is>
          <t>Revenue estimate FY2025</t>
        </is>
      </c>
      <c r="F1341" s="83">
        <f>BDP("GE US Equity","BEST_SALES","BEST_FPERIOD_OVERRIDE","25Y")</f>
        <v/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25Y</t>
        </is>
      </c>
      <c r="E1342" t="inlineStr">
        <is>
          <t>EBIT estimate FY2025</t>
        </is>
      </c>
      <c r="F1342" s="83">
        <f>BDP("GE US Equity","BEST_EBIT","BEST_FPERIOD_OVERRIDE","25Y")</f>
        <v/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26Y</t>
        </is>
      </c>
      <c r="E1343" t="inlineStr">
        <is>
          <t>EPS estimate FY2026</t>
        </is>
      </c>
      <c r="F1343" s="83">
        <f>BDP("GE US Equity","BEST_EPS","BEST_FPERIOD_OVERRIDE","26Y")</f>
        <v/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26Y</t>
        </is>
      </c>
      <c r="E1344" t="inlineStr">
        <is>
          <t>Revenue estimate FY2026</t>
        </is>
      </c>
      <c r="F1344" s="83">
        <f>BDP("GE US Equity","BEST_SALES","BEST_FPERIOD_OVERRIDE","26Y")</f>
        <v/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26Y</t>
        </is>
      </c>
      <c r="E1345" t="inlineStr">
        <is>
          <t>EBIT estimate FY2026</t>
        </is>
      </c>
      <c r="F1345" s="83">
        <f>BDP("GE US Equity","BEST_EBIT","BEST_FPERIOD_OVERRIDE","26Y")</f>
        <v/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27Y</t>
        </is>
      </c>
      <c r="E1346" t="inlineStr">
        <is>
          <t>EPS estimate FY2027</t>
        </is>
      </c>
      <c r="F1346" s="83">
        <f>BDP("GE US Equity","BEST_EPS","BEST_FPERIOD_OVERRIDE","27Y")</f>
        <v/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27Y</t>
        </is>
      </c>
      <c r="E1347" t="inlineStr">
        <is>
          <t>Revenue estimate FY2027</t>
        </is>
      </c>
      <c r="F1347" s="83">
        <f>BDP("GE US Equity","BEST_SALES","BEST_FPERIOD_OVERRIDE","27Y")</f>
        <v/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27Y</t>
        </is>
      </c>
      <c r="E1348" t="inlineStr">
        <is>
          <t>EBIT estimate FY2027</t>
        </is>
      </c>
      <c r="F1348" s="83">
        <f>BDP("GE US Equity","BEST_EBIT","BEST_FPERIOD_OVERRIDE","27Y")</f>
        <v/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28Y</t>
        </is>
      </c>
      <c r="E1349" t="inlineStr">
        <is>
          <t>EPS estimate FY2028</t>
        </is>
      </c>
      <c r="F1349" s="83">
        <f>BDP("GE US Equity","BEST_EPS","BEST_FPERIOD_OVERRIDE","28Y")</f>
        <v/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28Y</t>
        </is>
      </c>
      <c r="E1350" t="inlineStr">
        <is>
          <t>Revenue estimate FY2028</t>
        </is>
      </c>
      <c r="F1350" s="83">
        <f>BDP("GE US Equity","BEST_SALES","BEST_FPERIOD_OVERRIDE","28Y")</f>
        <v/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28Y</t>
        </is>
      </c>
      <c r="E1351" t="inlineStr">
        <is>
          <t>EBIT estimate FY2028</t>
        </is>
      </c>
      <c r="F1351" s="83">
        <f>BDP("GE US Equity","BEST_EBIT","BEST_FPERIOD_OVERRIDE","28Y")</f>
        <v/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E1352" t="inlineStr">
        <is>
          <t>Last price</t>
        </is>
      </c>
      <c r="F1352" s="83">
        <f>BDP("TMO US Equity","PX_LAST")</f>
        <v/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E1353" t="inlineStr">
        <is>
          <t>Market cap (raw)</t>
        </is>
      </c>
      <c r="F1353" s="83">
        <f>BDP("TMO US Equity","CUR_MKT_CAP")</f>
        <v/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E1354" t="inlineStr">
        <is>
          <t>YTD price change %</t>
        </is>
      </c>
      <c r="F1354" s="83">
        <f>BDP("TMO US Equity","CHG_PCT_YTD")</f>
        <v/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E1355" t="inlineStr">
        <is>
          <t>Net debt / EBITDA</t>
        </is>
      </c>
      <c r="F1355" s="83">
        <f>BDP("TMO US Equity","NET_DEBT_TO_EBITDA")</f>
        <v/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E1356" t="inlineStr">
        <is>
          <t>ROIC (LTM)</t>
        </is>
      </c>
      <c r="F1356" s="83">
        <f>BDP("TMO US Equity","RETURN_ON_INV_CAPITAL")</f>
        <v/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E1357" t="inlineStr">
        <is>
          <t>LTM operating income</t>
        </is>
      </c>
      <c r="F1357" s="83">
        <f>BDP("TMO US Equity","TRAIL_12M_OPER_INC")</f>
        <v/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E1358" t="inlineStr">
        <is>
          <t>LTM EBITDA</t>
        </is>
      </c>
      <c r="F1358" s="83">
        <f>BDP("TMO US Equity","TRAIL_12M_EBITDA")</f>
        <v/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E1359" t="inlineStr">
        <is>
          <t>Total debt</t>
        </is>
      </c>
      <c r="F1359" s="83">
        <f>BDP("TMO US Equity","SHORT_AND_LONG_TERM_DEBT")</f>
        <v/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E1360" t="inlineStr">
        <is>
          <t>Total equity</t>
        </is>
      </c>
      <c r="F1360" s="83">
        <f>BDP("TMO US Equity","TOTAL_EQUITY")</f>
        <v/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E1361" t="inlineStr">
        <is>
          <t>Cash &amp; equivalents</t>
        </is>
      </c>
      <c r="F1361" s="83">
        <f>BDP("TMO US Equity","BS_CASH_NEAR_CASH_ITEM")</f>
        <v/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24Y</t>
        </is>
      </c>
      <c r="E1362" t="inlineStr">
        <is>
          <t>EPS estimate FY2024</t>
        </is>
      </c>
      <c r="F1362" s="83">
        <f>BDP("TMO US Equity","BEST_EPS","BEST_FPERIOD_OVERRIDE","24Y")</f>
        <v/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24Y</t>
        </is>
      </c>
      <c r="E1363" t="inlineStr">
        <is>
          <t>Revenue estimate FY2024</t>
        </is>
      </c>
      <c r="F1363" s="83">
        <f>BDP("TMO US Equity","BEST_SALES","BEST_FPERIOD_OVERRIDE","24Y")</f>
        <v/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24Y</t>
        </is>
      </c>
      <c r="E1364" t="inlineStr">
        <is>
          <t>EBIT estimate FY2024</t>
        </is>
      </c>
      <c r="F1364" s="83">
        <f>BDP("TMO US Equity","BEST_EBIT","BEST_FPERIOD_OVERRIDE","24Y")</f>
        <v/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25Y</t>
        </is>
      </c>
      <c r="E1365" t="inlineStr">
        <is>
          <t>EPS estimate FY2025</t>
        </is>
      </c>
      <c r="F1365" s="83">
        <f>BDP("TMO US Equity","BEST_EPS","BEST_FPERIOD_OVERRIDE","25Y")</f>
        <v/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25Y</t>
        </is>
      </c>
      <c r="E1366" t="inlineStr">
        <is>
          <t>Revenue estimate FY2025</t>
        </is>
      </c>
      <c r="F1366" s="83">
        <f>BDP("TMO US Equity","BEST_SALES","BEST_FPERIOD_OVERRIDE","25Y")</f>
        <v/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25Y</t>
        </is>
      </c>
      <c r="E1367" t="inlineStr">
        <is>
          <t>EBIT estimate FY2025</t>
        </is>
      </c>
      <c r="F1367" s="83">
        <f>BDP("TMO US Equity","BEST_EBIT","BEST_FPERIOD_OVERRIDE","25Y")</f>
        <v/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26Y</t>
        </is>
      </c>
      <c r="E1368" t="inlineStr">
        <is>
          <t>EPS estimate FY2026</t>
        </is>
      </c>
      <c r="F1368" s="83">
        <f>BDP("TMO US Equity","BEST_EPS","BEST_FPERIOD_OVERRIDE","26Y")</f>
        <v/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26Y</t>
        </is>
      </c>
      <c r="E1369" t="inlineStr">
        <is>
          <t>Revenue estimate FY2026</t>
        </is>
      </c>
      <c r="F1369" s="83">
        <f>BDP("TMO US Equity","BEST_SALES","BEST_FPERIOD_OVERRIDE","26Y")</f>
        <v/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26Y</t>
        </is>
      </c>
      <c r="E1370" t="inlineStr">
        <is>
          <t>EBIT estimate FY2026</t>
        </is>
      </c>
      <c r="F1370" s="83">
        <f>BDP("TMO US Equity","BEST_EBIT","BEST_FPERIOD_OVERRIDE","26Y")</f>
        <v/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27Y</t>
        </is>
      </c>
      <c r="E1371" t="inlineStr">
        <is>
          <t>EPS estimate FY2027</t>
        </is>
      </c>
      <c r="F1371" s="83">
        <f>BDP("TMO US Equity","BEST_EPS","BEST_FPERIOD_OVERRIDE","27Y")</f>
        <v/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27Y</t>
        </is>
      </c>
      <c r="E1372" t="inlineStr">
        <is>
          <t>Revenue estimate FY2027</t>
        </is>
      </c>
      <c r="F1372" s="83">
        <f>BDP("TMO US Equity","BEST_SALES","BEST_FPERIOD_OVERRIDE","27Y")</f>
        <v/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27Y</t>
        </is>
      </c>
      <c r="E1373" t="inlineStr">
        <is>
          <t>EBIT estimate FY2027</t>
        </is>
      </c>
      <c r="F1373" s="83">
        <f>BDP("TMO US Equity","BEST_EBIT","BEST_FPERIOD_OVERRIDE","27Y")</f>
        <v/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28Y</t>
        </is>
      </c>
      <c r="E1374" t="inlineStr">
        <is>
          <t>EPS estimate FY2028</t>
        </is>
      </c>
      <c r="F1374" s="83">
        <f>BDP("TMO US Equity","BEST_EPS","BEST_FPERIOD_OVERRIDE","28Y")</f>
        <v/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28Y</t>
        </is>
      </c>
      <c r="E1375" t="inlineStr">
        <is>
          <t>Revenue estimate FY2028</t>
        </is>
      </c>
      <c r="F1375" s="83">
        <f>BDP("TMO US Equity","BEST_SALES","BEST_FPERIOD_OVERRIDE","28Y")</f>
        <v/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28Y</t>
        </is>
      </c>
      <c r="E1376" t="inlineStr">
        <is>
          <t>EBIT estimate FY2028</t>
        </is>
      </c>
      <c r="F1376" s="83">
        <f>BDP("TMO US Equity","BEST_EBIT","BEST_FPERIOD_OVERRIDE","28Y")</f>
        <v/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E1377" t="inlineStr">
        <is>
          <t>Last price</t>
        </is>
      </c>
      <c r="F1377" s="83">
        <f>BDP("DHR US Equity","PX_LAST")</f>
        <v/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E1378" t="inlineStr">
        <is>
          <t>Market cap (raw)</t>
        </is>
      </c>
      <c r="F1378" s="83">
        <f>BDP("DHR US Equity","CUR_MKT_CAP")</f>
        <v/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E1379" t="inlineStr">
        <is>
          <t>YTD price change %</t>
        </is>
      </c>
      <c r="F1379" s="83">
        <f>BDP("DHR US Equity","CHG_PCT_YTD")</f>
        <v/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E1380" t="inlineStr">
        <is>
          <t>Net debt / EBITDA</t>
        </is>
      </c>
      <c r="F1380" s="83">
        <f>BDP("DHR US Equity","NET_DEBT_TO_EBITDA")</f>
        <v/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E1381" t="inlineStr">
        <is>
          <t>ROIC (LTM)</t>
        </is>
      </c>
      <c r="F1381" s="83">
        <f>BDP("DHR US Equity","RETURN_ON_INV_CAPITAL")</f>
        <v/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E1382" t="inlineStr">
        <is>
          <t>LTM operating income</t>
        </is>
      </c>
      <c r="F1382" s="83">
        <f>BDP("DHR US Equity","TRAIL_12M_OPER_INC")</f>
        <v/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E1383" t="inlineStr">
        <is>
          <t>LTM EBITDA</t>
        </is>
      </c>
      <c r="F1383" s="83">
        <f>BDP("DHR US Equity","TRAIL_12M_EBITDA")</f>
        <v/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E1384" t="inlineStr">
        <is>
          <t>Total debt</t>
        </is>
      </c>
      <c r="F1384" s="83">
        <f>BDP("DHR US Equity","SHORT_AND_LONG_TERM_DEBT")</f>
        <v/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E1385" t="inlineStr">
        <is>
          <t>Total equity</t>
        </is>
      </c>
      <c r="F1385" s="83">
        <f>BDP("DHR US Equity","TOTAL_EQUITY")</f>
        <v/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E1386" t="inlineStr">
        <is>
          <t>Cash &amp; equivalents</t>
        </is>
      </c>
      <c r="F1386" s="83">
        <f>BDP("DHR US Equity","BS_CASH_NEAR_CASH_ITEM")</f>
        <v/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24Y</t>
        </is>
      </c>
      <c r="E1387" t="inlineStr">
        <is>
          <t>EPS estimate FY2024</t>
        </is>
      </c>
      <c r="F1387" s="83">
        <f>BDP("DHR US Equity","BEST_EPS","BEST_FPERIOD_OVERRIDE","24Y")</f>
        <v/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24Y</t>
        </is>
      </c>
      <c r="E1388" t="inlineStr">
        <is>
          <t>Revenue estimate FY2024</t>
        </is>
      </c>
      <c r="F1388" s="83">
        <f>BDP("DHR US Equity","BEST_SALES","BEST_FPERIOD_OVERRIDE","24Y")</f>
        <v/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24Y</t>
        </is>
      </c>
      <c r="E1389" t="inlineStr">
        <is>
          <t>EBIT estimate FY2024</t>
        </is>
      </c>
      <c r="F1389" s="83">
        <f>BDP("DHR US Equity","BEST_EBIT","BEST_FPERIOD_OVERRIDE","24Y")</f>
        <v/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25Y</t>
        </is>
      </c>
      <c r="E1390" t="inlineStr">
        <is>
          <t>EPS estimate FY2025</t>
        </is>
      </c>
      <c r="F1390" s="83">
        <f>BDP("DHR US Equity","BEST_EPS","BEST_FPERIOD_OVERRIDE","25Y")</f>
        <v/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25Y</t>
        </is>
      </c>
      <c r="E1391" t="inlineStr">
        <is>
          <t>Revenue estimate FY2025</t>
        </is>
      </c>
      <c r="F1391" s="83">
        <f>BDP("DHR US Equity","BEST_SALES","BEST_FPERIOD_OVERRIDE","25Y")</f>
        <v/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25Y</t>
        </is>
      </c>
      <c r="E1392" t="inlineStr">
        <is>
          <t>EBIT estimate FY2025</t>
        </is>
      </c>
      <c r="F1392" s="83">
        <f>BDP("DHR US Equity","BEST_EBIT","BEST_FPERIOD_OVERRIDE","25Y")</f>
        <v/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26Y</t>
        </is>
      </c>
      <c r="E1393" t="inlineStr">
        <is>
          <t>EPS estimate FY2026</t>
        </is>
      </c>
      <c r="F1393" s="83">
        <f>BDP("DHR US Equity","BEST_EPS","BEST_FPERIOD_OVERRIDE","26Y")</f>
        <v/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26Y</t>
        </is>
      </c>
      <c r="E1394" t="inlineStr">
        <is>
          <t>Revenue estimate FY2026</t>
        </is>
      </c>
      <c r="F1394" s="83">
        <f>BDP("DHR US Equity","BEST_SALES","BEST_FPERIOD_OVERRIDE","26Y")</f>
        <v/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26Y</t>
        </is>
      </c>
      <c r="E1395" t="inlineStr">
        <is>
          <t>EBIT estimate FY2026</t>
        </is>
      </c>
      <c r="F1395" s="83">
        <f>BDP("DHR US Equity","BEST_EBIT","BEST_FPERIOD_OVERRIDE","26Y")</f>
        <v/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27Y</t>
        </is>
      </c>
      <c r="E1396" t="inlineStr">
        <is>
          <t>EPS estimate FY2027</t>
        </is>
      </c>
      <c r="F1396" s="83">
        <f>BDP("DHR US Equity","BEST_EPS","BEST_FPERIOD_OVERRIDE","27Y")</f>
        <v/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27Y</t>
        </is>
      </c>
      <c r="E1397" t="inlineStr">
        <is>
          <t>Revenue estimate FY2027</t>
        </is>
      </c>
      <c r="F1397" s="83">
        <f>BDP("DHR US Equity","BEST_SALES","BEST_FPERIOD_OVERRIDE","27Y")</f>
        <v/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27Y</t>
        </is>
      </c>
      <c r="E1398" t="inlineStr">
        <is>
          <t>EBIT estimate FY2027</t>
        </is>
      </c>
      <c r="F1398" s="83">
        <f>BDP("DHR US Equity","BEST_EBIT","BEST_FPERIOD_OVERRIDE","27Y")</f>
        <v/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28Y</t>
        </is>
      </c>
      <c r="E1399" t="inlineStr">
        <is>
          <t>EPS estimate FY2028</t>
        </is>
      </c>
      <c r="F1399" s="83">
        <f>BDP("DHR US Equity","BEST_EPS","BEST_FPERIOD_OVERRIDE","28Y")</f>
        <v/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28Y</t>
        </is>
      </c>
      <c r="E1400" t="inlineStr">
        <is>
          <t>Revenue estimate FY2028</t>
        </is>
      </c>
      <c r="F1400" s="83">
        <f>BDP("DHR US Equity","BEST_SALES","BEST_FPERIOD_OVERRIDE","28Y")</f>
        <v/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28Y</t>
        </is>
      </c>
      <c r="E1401" t="inlineStr">
        <is>
          <t>EBIT estimate FY2028</t>
        </is>
      </c>
      <c r="F1401" s="83">
        <f>BDP("DHR US Equity","BEST_EBIT","BEST_FPERIOD_OVERRIDE","28Y")</f>
        <v/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E1402" t="inlineStr">
        <is>
          <t>Last price</t>
        </is>
      </c>
      <c r="F1402" s="83">
        <f>BDP("APH US Equity","PX_LAST")</f>
        <v/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E1403" t="inlineStr">
        <is>
          <t>Market cap (raw)</t>
        </is>
      </c>
      <c r="F1403" s="83">
        <f>BDP("APH US Equity","CUR_MKT_CAP")</f>
        <v/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E1404" t="inlineStr">
        <is>
          <t>YTD price change %</t>
        </is>
      </c>
      <c r="F1404" s="83">
        <f>BDP("APH US Equity","CHG_PCT_YTD")</f>
        <v/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E1405" t="inlineStr">
        <is>
          <t>Net debt / EBITDA</t>
        </is>
      </c>
      <c r="F1405" s="83">
        <f>BDP("APH US Equity","NET_DEBT_TO_EBITDA")</f>
        <v/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E1406" t="inlineStr">
        <is>
          <t>ROIC (LTM)</t>
        </is>
      </c>
      <c r="F1406" s="83">
        <f>BDP("APH US Equity","RETURN_ON_INV_CAPITAL")</f>
        <v/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E1407" t="inlineStr">
        <is>
          <t>LTM operating income</t>
        </is>
      </c>
      <c r="F1407" s="83">
        <f>BDP("APH US Equity","TRAIL_12M_OPER_INC")</f>
        <v/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E1408" t="inlineStr">
        <is>
          <t>LTM EBITDA</t>
        </is>
      </c>
      <c r="F1408" s="83">
        <f>BDP("APH US Equity","TRAIL_12M_EBITDA")</f>
        <v/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E1409" t="inlineStr">
        <is>
          <t>Total debt</t>
        </is>
      </c>
      <c r="F1409" s="83">
        <f>BDP("APH US Equity","SHORT_AND_LONG_TERM_DEBT")</f>
        <v/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E1410" t="inlineStr">
        <is>
          <t>Total equity</t>
        </is>
      </c>
      <c r="F1410" s="83">
        <f>BDP("APH US Equity","TOTAL_EQUITY")</f>
        <v/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E1411" t="inlineStr">
        <is>
          <t>Cash &amp; equivalents</t>
        </is>
      </c>
      <c r="F1411" s="83">
        <f>BDP("APH US Equity","BS_CASH_NEAR_CASH_ITEM")</f>
        <v/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24Y</t>
        </is>
      </c>
      <c r="E1412" t="inlineStr">
        <is>
          <t>EPS estimate FY2024</t>
        </is>
      </c>
      <c r="F1412" s="83">
        <f>BDP("APH US Equity","BEST_EPS","BEST_FPERIOD_OVERRIDE","24Y")</f>
        <v/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24Y</t>
        </is>
      </c>
      <c r="E1413" t="inlineStr">
        <is>
          <t>Revenue estimate FY2024</t>
        </is>
      </c>
      <c r="F1413" s="83">
        <f>BDP("APH US Equity","BEST_SALES","BEST_FPERIOD_OVERRIDE","24Y")</f>
        <v/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24Y</t>
        </is>
      </c>
      <c r="E1414" t="inlineStr">
        <is>
          <t>EBIT estimate FY2024</t>
        </is>
      </c>
      <c r="F1414" s="83">
        <f>BDP("APH US Equity","BEST_EBIT","BEST_FPERIOD_OVERRIDE","24Y")</f>
        <v/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25Y</t>
        </is>
      </c>
      <c r="E1415" t="inlineStr">
        <is>
          <t>EPS estimate FY2025</t>
        </is>
      </c>
      <c r="F1415" s="83">
        <f>BDP("APH US Equity","BEST_EPS","BEST_FPERIOD_OVERRIDE","25Y")</f>
        <v/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25Y</t>
        </is>
      </c>
      <c r="E1416" t="inlineStr">
        <is>
          <t>Revenue estimate FY2025</t>
        </is>
      </c>
      <c r="F1416" s="83">
        <f>BDP("APH US Equity","BEST_SALES","BEST_FPERIOD_OVERRIDE","25Y")</f>
        <v/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25Y</t>
        </is>
      </c>
      <c r="E1417" t="inlineStr">
        <is>
          <t>EBIT estimate FY2025</t>
        </is>
      </c>
      <c r="F1417" s="83">
        <f>BDP("APH US Equity","BEST_EBIT","BEST_FPERIOD_OVERRIDE","25Y")</f>
        <v/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26Y</t>
        </is>
      </c>
      <c r="E1418" t="inlineStr">
        <is>
          <t>EPS estimate FY2026</t>
        </is>
      </c>
      <c r="F1418" s="83">
        <f>BDP("APH US Equity","BEST_EPS","BEST_FPERIOD_OVERRIDE","26Y")</f>
        <v/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26Y</t>
        </is>
      </c>
      <c r="E1419" t="inlineStr">
        <is>
          <t>Revenue estimate FY2026</t>
        </is>
      </c>
      <c r="F1419" s="83">
        <f>BDP("APH US Equity","BEST_SALES","BEST_FPERIOD_OVERRIDE","26Y")</f>
        <v/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26Y</t>
        </is>
      </c>
      <c r="E1420" t="inlineStr">
        <is>
          <t>EBIT estimate FY2026</t>
        </is>
      </c>
      <c r="F1420" s="83">
        <f>BDP("APH US Equity","BEST_EBIT","BEST_FPERIOD_OVERRIDE","26Y")</f>
        <v/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27Y</t>
        </is>
      </c>
      <c r="E1421" t="inlineStr">
        <is>
          <t>EPS estimate FY2027</t>
        </is>
      </c>
      <c r="F1421" s="83">
        <f>BDP("APH US Equity","BEST_EPS","BEST_FPERIOD_OVERRIDE","27Y")</f>
        <v/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27Y</t>
        </is>
      </c>
      <c r="E1422" t="inlineStr">
        <is>
          <t>Revenue estimate FY2027</t>
        </is>
      </c>
      <c r="F1422" s="83">
        <f>BDP("APH US Equity","BEST_SALES","BEST_FPERIOD_OVERRIDE","27Y")</f>
        <v/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27Y</t>
        </is>
      </c>
      <c r="E1423" t="inlineStr">
        <is>
          <t>EBIT estimate FY2027</t>
        </is>
      </c>
      <c r="F1423" s="83">
        <f>BDP("APH US Equity","BEST_EBIT","BEST_FPERIOD_OVERRIDE","27Y")</f>
        <v/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28Y</t>
        </is>
      </c>
      <c r="E1424" t="inlineStr">
        <is>
          <t>EPS estimate FY2028</t>
        </is>
      </c>
      <c r="F1424" s="83">
        <f>BDP("APH US Equity","BEST_EPS","BEST_FPERIOD_OVERRIDE","28Y")</f>
        <v/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28Y</t>
        </is>
      </c>
      <c r="E1425" t="inlineStr">
        <is>
          <t>Revenue estimate FY2028</t>
        </is>
      </c>
      <c r="F1425" s="83">
        <f>BDP("APH US Equity","BEST_SALES","BEST_FPERIOD_OVERRIDE","28Y")</f>
        <v/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28Y</t>
        </is>
      </c>
      <c r="E1426" t="inlineStr">
        <is>
          <t>EBIT estimate FY2028</t>
        </is>
      </c>
      <c r="F1426" s="83">
        <f>BDP("APH US Equity","BEST_EBIT","BEST_FPERIOD_OVERRIDE","28Y")</f>
        <v/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E1427" t="inlineStr">
        <is>
          <t>Last price</t>
        </is>
      </c>
      <c r="F1427" s="83">
        <f>BDP("MSI US Equity","PX_LAST")</f>
        <v/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E1428" t="inlineStr">
        <is>
          <t>Market cap (raw)</t>
        </is>
      </c>
      <c r="F1428" s="83">
        <f>BDP("MSI US Equity","CUR_MKT_CAP")</f>
        <v/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E1429" t="inlineStr">
        <is>
          <t>YTD price change %</t>
        </is>
      </c>
      <c r="F1429" s="83">
        <f>BDP("MSI US Equity","CHG_PCT_YTD")</f>
        <v/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E1430" t="inlineStr">
        <is>
          <t>Net debt / EBITDA</t>
        </is>
      </c>
      <c r="F1430" s="83">
        <f>BDP("MSI US Equity","NET_DEBT_TO_EBITDA")</f>
        <v/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E1431" t="inlineStr">
        <is>
          <t>ROIC (LTM)</t>
        </is>
      </c>
      <c r="F1431" s="83">
        <f>BDP("MSI US Equity","RETURN_ON_INV_CAPITAL")</f>
        <v/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E1432" t="inlineStr">
        <is>
          <t>LTM operating income</t>
        </is>
      </c>
      <c r="F1432" s="83">
        <f>BDP("MSI US Equity","TRAIL_12M_OPER_INC")</f>
        <v/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E1433" t="inlineStr">
        <is>
          <t>LTM EBITDA</t>
        </is>
      </c>
      <c r="F1433" s="83">
        <f>BDP("MSI US Equity","TRAIL_12M_EBITDA")</f>
        <v/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E1434" t="inlineStr">
        <is>
          <t>Total debt</t>
        </is>
      </c>
      <c r="F1434" s="83">
        <f>BDP("MSI US Equity","SHORT_AND_LONG_TERM_DEBT")</f>
        <v/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E1435" t="inlineStr">
        <is>
          <t>Total equity</t>
        </is>
      </c>
      <c r="F1435" s="83">
        <f>BDP("MSI US Equity","TOTAL_EQUITY")</f>
        <v/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E1436" t="inlineStr">
        <is>
          <t>Cash &amp; equivalents</t>
        </is>
      </c>
      <c r="F1436" s="83">
        <f>BDP("MSI US Equity","BS_CASH_NEAR_CASH_ITEM")</f>
        <v/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24Y</t>
        </is>
      </c>
      <c r="E1437" t="inlineStr">
        <is>
          <t>EPS estimate FY2024</t>
        </is>
      </c>
      <c r="F1437" s="83">
        <f>BDP("MSI US Equity","BEST_EPS","BEST_FPERIOD_OVERRIDE","24Y")</f>
        <v/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24Y</t>
        </is>
      </c>
      <c r="E1438" t="inlineStr">
        <is>
          <t>Revenue estimate FY2024</t>
        </is>
      </c>
      <c r="F1438" s="83">
        <f>BDP("MSI US Equity","BEST_SALES","BEST_FPERIOD_OVERRIDE","24Y")</f>
        <v/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24Y</t>
        </is>
      </c>
      <c r="E1439" t="inlineStr">
        <is>
          <t>EBIT estimate FY2024</t>
        </is>
      </c>
      <c r="F1439" s="83">
        <f>BDP("MSI US Equity","BEST_EBIT","BEST_FPERIOD_OVERRIDE","24Y")</f>
        <v/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25Y</t>
        </is>
      </c>
      <c r="E1440" t="inlineStr">
        <is>
          <t>EPS estimate FY2025</t>
        </is>
      </c>
      <c r="F1440" s="83">
        <f>BDP("MSI US Equity","BEST_EPS","BEST_FPERIOD_OVERRIDE","25Y")</f>
        <v/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25Y</t>
        </is>
      </c>
      <c r="E1441" t="inlineStr">
        <is>
          <t>Revenue estimate FY2025</t>
        </is>
      </c>
      <c r="F1441" s="83">
        <f>BDP("MSI US Equity","BEST_SALES","BEST_FPERIOD_OVERRIDE","25Y")</f>
        <v/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25Y</t>
        </is>
      </c>
      <c r="E1442" t="inlineStr">
        <is>
          <t>EBIT estimate FY2025</t>
        </is>
      </c>
      <c r="F1442" s="83">
        <f>BDP("MSI US Equity","BEST_EBIT","BEST_FPERIOD_OVERRIDE","25Y")</f>
        <v/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26Y</t>
        </is>
      </c>
      <c r="E1443" t="inlineStr">
        <is>
          <t>EPS estimate FY2026</t>
        </is>
      </c>
      <c r="F1443" s="83">
        <f>BDP("MSI US Equity","BEST_EPS","BEST_FPERIOD_OVERRIDE","26Y")</f>
        <v/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Equity","BEST_SALES","BEST_FPERIOD_OVERRIDE","26Y")</f>
        <v/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26Y</t>
        </is>
      </c>
      <c r="E1445" t="inlineStr">
        <is>
          <t>EBIT estimate FY2026</t>
        </is>
      </c>
      <c r="F1445" s="83">
        <f>BDP("MSI US Equity","BEST_EBIT","BEST_FPERIOD_OVERRIDE","26Y")</f>
        <v/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27Y</t>
        </is>
      </c>
      <c r="E1446" t="inlineStr">
        <is>
          <t>EPS estimate FY2027</t>
        </is>
      </c>
      <c r="F1446" s="83">
        <f>BDP("MSI US Equity","BEST_EPS","BEST_FPERIOD_OVERRIDE","27Y")</f>
        <v/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27Y</t>
        </is>
      </c>
      <c r="E1447" t="inlineStr">
        <is>
          <t>Revenue estimate FY2027</t>
        </is>
      </c>
      <c r="F1447" s="83">
        <f>BDP("MSI US Equity","BEST_SALES","BEST_FPERIOD_OVERRIDE","27Y")</f>
        <v/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27Y</t>
        </is>
      </c>
      <c r="E1448" t="inlineStr">
        <is>
          <t>EBIT estimate FY2027</t>
        </is>
      </c>
      <c r="F1448" s="83">
        <f>BDP("MSI US Equity","BEST_EBIT","BEST_FPERIOD_OVERRIDE","27Y")</f>
        <v/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28Y</t>
        </is>
      </c>
      <c r="E1449" t="inlineStr">
        <is>
          <t>EPS estimate FY2028</t>
        </is>
      </c>
      <c r="F1449" s="83">
        <f>BDP("MSI US Equity","BEST_EPS","BEST_FPERIOD_OVERRIDE","28Y")</f>
        <v/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28Y</t>
        </is>
      </c>
      <c r="E1450" t="inlineStr">
        <is>
          <t>Revenue estimate FY2028</t>
        </is>
      </c>
      <c r="F1450" s="83">
        <f>BDP("MSI US Equity","BEST_SALES","BEST_FPERIOD_OVERRIDE","28Y")</f>
        <v/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28Y</t>
        </is>
      </c>
      <c r="E1451" t="inlineStr">
        <is>
          <t>EBIT estimate FY2028</t>
        </is>
      </c>
      <c r="F1451" s="83">
        <f>BDP("MSI US Equity","BEST_EBIT","BEST_FPERIOD_OVERRIDE","28Y")</f>
        <v/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E1452" t="inlineStr">
        <is>
          <t>Last price</t>
        </is>
      </c>
      <c r="F1452" s="83">
        <f>BDP("AXON US Equity","PX_LAST")</f>
        <v/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E1453" t="inlineStr">
        <is>
          <t>Market cap (raw)</t>
        </is>
      </c>
      <c r="F1453" s="83">
        <f>BDP("AXON US Equity","CUR_MKT_CAP")</f>
        <v/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E1454" t="inlineStr">
        <is>
          <t>YTD price change %</t>
        </is>
      </c>
      <c r="F1454" s="83">
        <f>BDP("AXON US Equity","CHG_PCT_YTD")</f>
        <v/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E1455" t="inlineStr">
        <is>
          <t>Net debt / EBITDA</t>
        </is>
      </c>
      <c r="F1455" s="83">
        <f>BDP("AXON US Equity","NET_DEBT_TO_EBITDA")</f>
        <v/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E1456" t="inlineStr">
        <is>
          <t>ROIC (LTM)</t>
        </is>
      </c>
      <c r="F1456" s="83">
        <f>BDP("AXON US Equity","RETURN_ON_INV_CAPITAL")</f>
        <v/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E1457" t="inlineStr">
        <is>
          <t>LTM operating income</t>
        </is>
      </c>
      <c r="F1457" s="83">
        <f>BDP("AXON US Equity","TRAIL_12M_OPER_INC")</f>
        <v/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E1458" t="inlineStr">
        <is>
          <t>LTM EBITDA</t>
        </is>
      </c>
      <c r="F1458" s="83">
        <f>BDP("AXON US Equity","TRAIL_12M_EBITDA")</f>
        <v/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E1459" t="inlineStr">
        <is>
          <t>Total debt</t>
        </is>
      </c>
      <c r="F1459" s="83">
        <f>BDP("AXON US Equity","SHORT_AND_LONG_TERM_DEBT")</f>
        <v/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E1460" t="inlineStr">
        <is>
          <t>Total equity</t>
        </is>
      </c>
      <c r="F1460" s="83">
        <f>BDP("AXON US Equity","TOTAL_EQUITY")</f>
        <v/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E1461" t="inlineStr">
        <is>
          <t>Cash &amp; equivalents</t>
        </is>
      </c>
      <c r="F1461" s="83">
        <f>BDP("AXON US Equity","BS_CASH_NEAR_CASH_ITEM")</f>
        <v/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24Y</t>
        </is>
      </c>
      <c r="E1462" t="inlineStr">
        <is>
          <t>EPS estimate FY2024</t>
        </is>
      </c>
      <c r="F1462" s="83">
        <f>BDP("AXON US Equity","BEST_EPS","BEST_FPERIOD_OVERRIDE","24Y")</f>
        <v/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24Y</t>
        </is>
      </c>
      <c r="E1463" t="inlineStr">
        <is>
          <t>Revenue estimate FY2024</t>
        </is>
      </c>
      <c r="F1463" s="83">
        <f>BDP("AXON US Equity","BEST_SALES","BEST_FPERIOD_OVERRIDE","24Y")</f>
        <v/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24Y</t>
        </is>
      </c>
      <c r="E1464" t="inlineStr">
        <is>
          <t>EBIT estimate FY2024</t>
        </is>
      </c>
      <c r="F1464" s="83">
        <f>BDP("AXON US Equity","BEST_EBIT","BEST_FPERIOD_OVERRIDE","24Y")</f>
        <v/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25Y</t>
        </is>
      </c>
      <c r="E1465" t="inlineStr">
        <is>
          <t>EPS estimate FY2025</t>
        </is>
      </c>
      <c r="F1465" s="83">
        <f>BDP("AXON US Equity","BEST_EPS","BEST_FPERIOD_OVERRIDE","25Y")</f>
        <v/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25Y</t>
        </is>
      </c>
      <c r="E1466" t="inlineStr">
        <is>
          <t>Revenue estimate FY2025</t>
        </is>
      </c>
      <c r="F1466" s="83">
        <f>BDP("AXON US Equity","BEST_SALES","BEST_FPERIOD_OVERRIDE","25Y")</f>
        <v/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25Y</t>
        </is>
      </c>
      <c r="E1467" t="inlineStr">
        <is>
          <t>EBIT estimate FY2025</t>
        </is>
      </c>
      <c r="F1467" s="83">
        <f>BDP("AXON US Equity","BEST_EBIT","BEST_FPERIOD_OVERRIDE","25Y")</f>
        <v/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26Y</t>
        </is>
      </c>
      <c r="E1468" t="inlineStr">
        <is>
          <t>EPS estimate FY2026</t>
        </is>
      </c>
      <c r="F1468" s="83">
        <f>BDP("AXON US Equity","BEST_EPS","BEST_FPERIOD_OVERRIDE","26Y")</f>
        <v/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26Y</t>
        </is>
      </c>
      <c r="E1469" t="inlineStr">
        <is>
          <t>Revenue estimate FY2026</t>
        </is>
      </c>
      <c r="F1469" s="83">
        <f>BDP("AXON US Equity","BEST_SALES","BEST_FPERIOD_OVERRIDE","26Y")</f>
        <v/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26Y</t>
        </is>
      </c>
      <c r="E1470" t="inlineStr">
        <is>
          <t>EBIT estimate FY2026</t>
        </is>
      </c>
      <c r="F1470" s="83">
        <f>BDP("AXON US Equity","BEST_EBIT","BEST_FPERIOD_OVERRIDE","26Y")</f>
        <v/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27Y</t>
        </is>
      </c>
      <c r="E1471" t="inlineStr">
        <is>
          <t>EPS estimate FY2027</t>
        </is>
      </c>
      <c r="F1471" s="83">
        <f>BDP("AXON US Equity","BEST_EPS","BEST_FPERIOD_OVERRIDE","27Y")</f>
        <v/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27Y</t>
        </is>
      </c>
      <c r="E1472" t="inlineStr">
        <is>
          <t>Revenue estimate FY2027</t>
        </is>
      </c>
      <c r="F1472" s="83">
        <f>BDP("AXON US Equity","BEST_SALES","BEST_FPERIOD_OVERRIDE","27Y")</f>
        <v/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27Y</t>
        </is>
      </c>
      <c r="E1473" t="inlineStr">
        <is>
          <t>EBIT estimate FY2027</t>
        </is>
      </c>
      <c r="F1473" s="83">
        <f>BDP("AXON US Equity","BEST_EBIT","BEST_FPERIOD_OVERRIDE","27Y")</f>
        <v/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28Y</t>
        </is>
      </c>
      <c r="E1474" t="inlineStr">
        <is>
          <t>EPS estimate FY2028</t>
        </is>
      </c>
      <c r="F1474" s="83">
        <f>BDP("AXON US Equity","BEST_EPS","BEST_FPERIOD_OVERRIDE","28Y")</f>
        <v/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28Y</t>
        </is>
      </c>
      <c r="E1475" t="inlineStr">
        <is>
          <t>Revenue estimate FY2028</t>
        </is>
      </c>
      <c r="F1475" s="83">
        <f>BDP("AXON US Equity","BEST_SALES","BEST_FPERIOD_OVERRIDE","28Y")</f>
        <v/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28Y</t>
        </is>
      </c>
      <c r="E1476" t="inlineStr">
        <is>
          <t>EBIT estimate FY2028</t>
        </is>
      </c>
      <c r="F1476" s="83">
        <f>BDP("AXON US Equity","BEST_EBIT","BEST_FPERIOD_OVERRIDE","28Y")</f>
        <v/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E1477" t="inlineStr">
        <is>
          <t>Last price</t>
        </is>
      </c>
      <c r="F1477" s="83">
        <f>BDP("VMC US Equity","PX_LAST")</f>
        <v/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E1478" t="inlineStr">
        <is>
          <t>Market cap (raw)</t>
        </is>
      </c>
      <c r="F1478" s="83">
        <f>BDP("VMC US Equity","CUR_MKT_CAP")</f>
        <v/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E1479" t="inlineStr">
        <is>
          <t>YTD price change %</t>
        </is>
      </c>
      <c r="F1479" s="83">
        <f>BDP("VMC US Equity","CHG_PCT_YTD")</f>
        <v/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E1480" t="inlineStr">
        <is>
          <t>Net debt / EBITDA</t>
        </is>
      </c>
      <c r="F1480" s="83">
        <f>BDP("VMC US Equity","NET_DEBT_TO_EBITDA")</f>
        <v/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E1481" t="inlineStr">
        <is>
          <t>ROIC (LTM)</t>
        </is>
      </c>
      <c r="F1481" s="83">
        <f>BDP("VMC US Equity","RETURN_ON_INV_CAPITAL")</f>
        <v/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E1482" t="inlineStr">
        <is>
          <t>LTM operating income</t>
        </is>
      </c>
      <c r="F1482" s="83">
        <f>BDP("VMC US Equity","TRAIL_12M_OPER_INC")</f>
        <v/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E1483" t="inlineStr">
        <is>
          <t>LTM EBITDA</t>
        </is>
      </c>
      <c r="F1483" s="83">
        <f>BDP("VMC US Equity","TRAIL_12M_EBITDA")</f>
        <v/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E1484" t="inlineStr">
        <is>
          <t>Total debt</t>
        </is>
      </c>
      <c r="F1484" s="83">
        <f>BDP("VMC US Equity","SHORT_AND_LONG_TERM_DEBT")</f>
        <v/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E1485" t="inlineStr">
        <is>
          <t>Total equity</t>
        </is>
      </c>
      <c r="F1485" s="83">
        <f>BDP("VMC US Equity","TOTAL_EQUITY")</f>
        <v/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E1486" t="inlineStr">
        <is>
          <t>Cash &amp; equivalents</t>
        </is>
      </c>
      <c r="F1486" s="83">
        <f>BDP("VMC US Equity","BS_CASH_NEAR_CASH_ITEM")</f>
        <v/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24Y</t>
        </is>
      </c>
      <c r="E1487" t="inlineStr">
        <is>
          <t>EPS estimate FY2024</t>
        </is>
      </c>
      <c r="F1487" s="83">
        <f>BDP("VMC US Equity","BEST_EPS","BEST_FPERIOD_OVERRIDE","24Y")</f>
        <v/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24Y</t>
        </is>
      </c>
      <c r="E1488" t="inlineStr">
        <is>
          <t>Revenue estimate FY2024</t>
        </is>
      </c>
      <c r="F1488" s="83">
        <f>BDP("VMC US Equity","BEST_SALES","BEST_FPERIOD_OVERRIDE","24Y")</f>
        <v/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24Y</t>
        </is>
      </c>
      <c r="E1489" t="inlineStr">
        <is>
          <t>EBIT estimate FY2024</t>
        </is>
      </c>
      <c r="F1489" s="83">
        <f>BDP("VMC US Equity","BEST_EBIT","BEST_FPERIOD_OVERRIDE","24Y")</f>
        <v/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25Y</t>
        </is>
      </c>
      <c r="E1490" t="inlineStr">
        <is>
          <t>EPS estimate FY2025</t>
        </is>
      </c>
      <c r="F1490" s="83">
        <f>BDP("VMC US Equity","BEST_EPS","BEST_FPERIOD_OVERRIDE","25Y")</f>
        <v/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25Y</t>
        </is>
      </c>
      <c r="E1491" t="inlineStr">
        <is>
          <t>Revenue estimate FY2025</t>
        </is>
      </c>
      <c r="F1491" s="83">
        <f>BDP("VMC US Equity","BEST_SALES","BEST_FPERIOD_OVERRIDE","25Y")</f>
        <v/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25Y</t>
        </is>
      </c>
      <c r="E1492" t="inlineStr">
        <is>
          <t>EBIT estimate FY2025</t>
        </is>
      </c>
      <c r="F1492" s="83">
        <f>BDP("VMC US Equity","BEST_EBIT","BEST_FPERIOD_OVERRIDE","25Y")</f>
        <v/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26Y</t>
        </is>
      </c>
      <c r="E1493" t="inlineStr">
        <is>
          <t>EPS estimate FY2026</t>
        </is>
      </c>
      <c r="F1493" s="83">
        <f>BDP("VMC US Equity","BEST_EPS","BEST_FPERIOD_OVERRIDE","26Y")</f>
        <v/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26Y</t>
        </is>
      </c>
      <c r="E1494" t="inlineStr">
        <is>
          <t>Revenue estimate FY2026</t>
        </is>
      </c>
      <c r="F1494" s="83">
        <f>BDP("VMC US Equity","BEST_SALES","BEST_FPERIOD_OVERRIDE","26Y")</f>
        <v/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26Y</t>
        </is>
      </c>
      <c r="E1495" t="inlineStr">
        <is>
          <t>EBIT estimate FY2026</t>
        </is>
      </c>
      <c r="F1495" s="83">
        <f>BDP("VMC US Equity","BEST_EBIT","BEST_FPERIOD_OVERRIDE","26Y")</f>
        <v/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27Y</t>
        </is>
      </c>
      <c r="E1496" t="inlineStr">
        <is>
          <t>EPS estimate FY2027</t>
        </is>
      </c>
      <c r="F1496" s="83">
        <f>BDP("VMC US Equity","BEST_EPS","BEST_FPERIOD_OVERRIDE","27Y")</f>
        <v/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27Y</t>
        </is>
      </c>
      <c r="E1497" t="inlineStr">
        <is>
          <t>Revenue estimate FY2027</t>
        </is>
      </c>
      <c r="F1497" s="83">
        <f>BDP("VMC US Equity","BEST_SALES","BEST_FPERIOD_OVERRIDE","27Y")</f>
        <v/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27Y</t>
        </is>
      </c>
      <c r="E1498" t="inlineStr">
        <is>
          <t>EBIT estimate FY2027</t>
        </is>
      </c>
      <c r="F1498" s="83">
        <f>BDP("VMC US Equity","BEST_EBIT","BEST_FPERIOD_OVERRIDE","27Y")</f>
        <v/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28Y</t>
        </is>
      </c>
      <c r="E1499" t="inlineStr">
        <is>
          <t>EPS estimate FY2028</t>
        </is>
      </c>
      <c r="F1499" s="83">
        <f>BDP("VMC US Equity","BEST_EPS","BEST_FPERIOD_OVERRIDE","28Y")</f>
        <v/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28Y</t>
        </is>
      </c>
      <c r="E1500" t="inlineStr">
        <is>
          <t>Revenue estimate FY2028</t>
        </is>
      </c>
      <c r="F1500" s="83">
        <f>BDP("VMC US Equity","BEST_SALES","BEST_FPERIOD_OVERRIDE","28Y")</f>
        <v/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28Y</t>
        </is>
      </c>
      <c r="E1501" t="inlineStr">
        <is>
          <t>EBIT estimate FY2028</t>
        </is>
      </c>
      <c r="F1501" s="83">
        <f>BDP("VMC US Equity","BEST_EBIT","BEST_FPERIOD_OVERRIDE","28Y")</f>
        <v/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E1502" t="inlineStr">
        <is>
          <t>Last price</t>
        </is>
      </c>
      <c r="F1502" s="83">
        <f>BDP("CRH US Equity","PX_LAST")</f>
        <v/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E1503" t="inlineStr">
        <is>
          <t>Market cap (raw)</t>
        </is>
      </c>
      <c r="F1503" s="83">
        <f>BDP("CRH US Equity","CUR_MKT_CAP")</f>
        <v/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E1504" t="inlineStr">
        <is>
          <t>YTD price change %</t>
        </is>
      </c>
      <c r="F1504" s="83">
        <f>BDP("CRH US Equity","CHG_PCT_YTD")</f>
        <v/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E1505" t="inlineStr">
        <is>
          <t>Net debt / EBITDA</t>
        </is>
      </c>
      <c r="F1505" s="83">
        <f>BDP("CRH US Equity","NET_DEBT_TO_EBITDA")</f>
        <v/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E1506" t="inlineStr">
        <is>
          <t>ROIC (LTM)</t>
        </is>
      </c>
      <c r="F1506" s="83">
        <f>BDP("CRH US Equity","RETURN_ON_INV_CAPITAL")</f>
        <v/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E1507" t="inlineStr">
        <is>
          <t>LTM operating income</t>
        </is>
      </c>
      <c r="F1507" s="83">
        <f>BDP("CRH US Equity","TRAIL_12M_OPER_INC")</f>
        <v/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E1508" t="inlineStr">
        <is>
          <t>LTM EBITDA</t>
        </is>
      </c>
      <c r="F1508" s="83">
        <f>BDP("CRH US Equity","TRAIL_12M_EBITDA")</f>
        <v/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E1509" t="inlineStr">
        <is>
          <t>Total debt</t>
        </is>
      </c>
      <c r="F1509" s="83">
        <f>BDP("CRH US Equity","SHORT_AND_LONG_TERM_DEBT")</f>
        <v/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E1510" t="inlineStr">
        <is>
          <t>Total equity</t>
        </is>
      </c>
      <c r="F1510" s="83">
        <f>BDP("CRH US Equity","TOTAL_EQUITY")</f>
        <v/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E1511" t="inlineStr">
        <is>
          <t>Cash &amp; equivalents</t>
        </is>
      </c>
      <c r="F1511" s="83">
        <f>BDP("CRH US Equity","BS_CASH_NEAR_CASH_ITEM")</f>
        <v/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24Y</t>
        </is>
      </c>
      <c r="E1512" t="inlineStr">
        <is>
          <t>EPS estimate FY2024</t>
        </is>
      </c>
      <c r="F1512" s="83">
        <f>BDP("CRH US Equity","BEST_EPS","BEST_FPERIOD_OVERRIDE","24Y")</f>
        <v/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24Y</t>
        </is>
      </c>
      <c r="E1513" t="inlineStr">
        <is>
          <t>Revenue estimate FY2024</t>
        </is>
      </c>
      <c r="F1513" s="83">
        <f>BDP("CRH US Equity","BEST_SALES","BEST_FPERIOD_OVERRIDE","24Y")</f>
        <v/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24Y</t>
        </is>
      </c>
      <c r="E1514" t="inlineStr">
        <is>
          <t>EBIT estimate FY2024</t>
        </is>
      </c>
      <c r="F1514" s="83">
        <f>BDP("CRH US Equity","BEST_EBIT","BEST_FPERIOD_OVERRIDE","24Y")</f>
        <v/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25Y</t>
        </is>
      </c>
      <c r="E1515" t="inlineStr">
        <is>
          <t>EPS estimate FY2025</t>
        </is>
      </c>
      <c r="F1515" s="83">
        <f>BDP("CRH US Equity","BEST_EPS","BEST_FPERIOD_OVERRIDE","25Y")</f>
        <v/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25Y</t>
        </is>
      </c>
      <c r="E1516" t="inlineStr">
        <is>
          <t>Revenue estimate FY2025</t>
        </is>
      </c>
      <c r="F1516" s="83">
        <f>BDP("CRH US Equity","BEST_SALES","BEST_FPERIOD_OVERRIDE","25Y")</f>
        <v/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25Y</t>
        </is>
      </c>
      <c r="E1517" t="inlineStr">
        <is>
          <t>EBIT estimate FY2025</t>
        </is>
      </c>
      <c r="F1517" s="83">
        <f>BDP("CRH US Equity","BEST_EBIT","BEST_FPERIOD_OVERRIDE","25Y")</f>
        <v/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26Y</t>
        </is>
      </c>
      <c r="E1518" t="inlineStr">
        <is>
          <t>EPS estimate FY2026</t>
        </is>
      </c>
      <c r="F1518" s="83">
        <f>BDP("CRH US Equity","BEST_EPS","BEST_FPERIOD_OVERRIDE","26Y")</f>
        <v/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26Y</t>
        </is>
      </c>
      <c r="E1519" t="inlineStr">
        <is>
          <t>Revenue estimate FY2026</t>
        </is>
      </c>
      <c r="F1519" s="83">
        <f>BDP("CRH US Equity","BEST_SALES","BEST_FPERIOD_OVERRIDE","26Y")</f>
        <v/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26Y</t>
        </is>
      </c>
      <c r="E1520" t="inlineStr">
        <is>
          <t>EBIT estimate FY2026</t>
        </is>
      </c>
      <c r="F1520" s="83">
        <f>BDP("CRH US Equity","BEST_EBIT","BEST_FPERIOD_OVERRIDE","26Y")</f>
        <v/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27Y</t>
        </is>
      </c>
      <c r="E1521" t="inlineStr">
        <is>
          <t>EPS estimate FY2027</t>
        </is>
      </c>
      <c r="F1521" s="83">
        <f>BDP("CRH US Equity","BEST_EPS","BEST_FPERIOD_OVERRIDE","27Y")</f>
        <v/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27Y</t>
        </is>
      </c>
      <c r="E1522" t="inlineStr">
        <is>
          <t>Revenue estimate FY2027</t>
        </is>
      </c>
      <c r="F1522" s="83">
        <f>BDP("CRH US Equity","BEST_SALES","BEST_FPERIOD_OVERRIDE","27Y")</f>
        <v/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27Y</t>
        </is>
      </c>
      <c r="E1523" t="inlineStr">
        <is>
          <t>EBIT estimate FY2027</t>
        </is>
      </c>
      <c r="F1523" s="83">
        <f>BDP("CRH US Equity","BEST_EBIT","BEST_FPERIOD_OVERRIDE","27Y")</f>
        <v/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28Y</t>
        </is>
      </c>
      <c r="E1524" t="inlineStr">
        <is>
          <t>EPS estimate FY2028</t>
        </is>
      </c>
      <c r="F1524" s="83">
        <f>BDP("CRH US Equity","BEST_EPS","BEST_FPERIOD_OVERRIDE","28Y")</f>
        <v/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28Y</t>
        </is>
      </c>
      <c r="E1525" t="inlineStr">
        <is>
          <t>Revenue estimate FY2028</t>
        </is>
      </c>
      <c r="F1525" s="83">
        <f>BDP("CRH US Equity","BEST_SALES","BEST_FPERIOD_OVERRIDE","28Y")</f>
        <v/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28Y</t>
        </is>
      </c>
      <c r="E1526" t="inlineStr">
        <is>
          <t>EBIT estimate FY2028</t>
        </is>
      </c>
      <c r="F1526" s="83">
        <f>BDP("CRH US Equity","BEST_EBIT","BEST_FPERIOD_OVERRIDE","28Y")</f>
        <v/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E1527" t="inlineStr">
        <is>
          <t>Last price</t>
        </is>
      </c>
      <c r="F1527" s="83">
        <f>BDP("LIN US Equity","PX_LAST")</f>
        <v/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E1528" t="inlineStr">
        <is>
          <t>Market cap (raw)</t>
        </is>
      </c>
      <c r="F1528" s="83">
        <f>BDP("LIN US Equity","CUR_MKT_CAP")</f>
        <v/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E1529" t="inlineStr">
        <is>
          <t>YTD price change %</t>
        </is>
      </c>
      <c r="F1529" s="83">
        <f>BDP("LIN US Equity","CHG_PCT_YTD")</f>
        <v/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E1530" t="inlineStr">
        <is>
          <t>Net debt / EBITDA</t>
        </is>
      </c>
      <c r="F1530" s="83">
        <f>BDP("LIN US Equity","NET_DEBT_TO_EBITDA")</f>
        <v/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E1531" t="inlineStr">
        <is>
          <t>ROIC (LTM)</t>
        </is>
      </c>
      <c r="F1531" s="83">
        <f>BDP("LIN US Equity","RETURN_ON_INV_CAPITAL")</f>
        <v/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E1532" t="inlineStr">
        <is>
          <t>LTM operating income</t>
        </is>
      </c>
      <c r="F1532" s="83">
        <f>BDP("LIN US Equity","TRAIL_12M_OPER_INC")</f>
        <v/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E1533" t="inlineStr">
        <is>
          <t>LTM EBITDA</t>
        </is>
      </c>
      <c r="F1533" s="83">
        <f>BDP("LIN US Equity","TRAIL_12M_EBITDA")</f>
        <v/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E1534" t="inlineStr">
        <is>
          <t>Total debt</t>
        </is>
      </c>
      <c r="F1534" s="83">
        <f>BDP("LIN US Equity","SHORT_AND_LONG_TERM_DEBT")</f>
        <v/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E1535" t="inlineStr">
        <is>
          <t>Total equity</t>
        </is>
      </c>
      <c r="F1535" s="83">
        <f>BDP("LIN US Equity","TOTAL_EQUITY")</f>
        <v/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E1536" t="inlineStr">
        <is>
          <t>Cash &amp; equivalents</t>
        </is>
      </c>
      <c r="F1536" s="83">
        <f>BDP("LIN US Equity","BS_CASH_NEAR_CASH_ITEM")</f>
        <v/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24Y</t>
        </is>
      </c>
      <c r="E1537" t="inlineStr">
        <is>
          <t>EPS estimate FY2024</t>
        </is>
      </c>
      <c r="F1537" s="83">
        <f>BDP("LIN US Equity","BEST_EPS","BEST_FPERIOD_OVERRIDE","24Y")</f>
        <v/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24Y</t>
        </is>
      </c>
      <c r="E1538" t="inlineStr">
        <is>
          <t>Revenue estimate FY2024</t>
        </is>
      </c>
      <c r="F1538" s="83">
        <f>BDP("LIN US Equity","BEST_SALES","BEST_FPERIOD_OVERRIDE","24Y")</f>
        <v/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24Y</t>
        </is>
      </c>
      <c r="E1539" t="inlineStr">
        <is>
          <t>EBIT estimate FY2024</t>
        </is>
      </c>
      <c r="F1539" s="83">
        <f>BDP("LIN US Equity","BEST_EBIT","BEST_FPERIOD_OVERRIDE","24Y")</f>
        <v/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25Y</t>
        </is>
      </c>
      <c r="E1540" t="inlineStr">
        <is>
          <t>EPS estimate FY2025</t>
        </is>
      </c>
      <c r="F1540" s="83">
        <f>BDP("LIN US Equity","BEST_EPS","BEST_FPERIOD_OVERRIDE","25Y")</f>
        <v/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25Y</t>
        </is>
      </c>
      <c r="E1541" t="inlineStr">
        <is>
          <t>Revenue estimate FY2025</t>
        </is>
      </c>
      <c r="F1541" s="83">
        <f>BDP("LIN US Equity","BEST_SALES","BEST_FPERIOD_OVERRIDE","25Y")</f>
        <v/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25Y</t>
        </is>
      </c>
      <c r="E1542" t="inlineStr">
        <is>
          <t>EBIT estimate FY2025</t>
        </is>
      </c>
      <c r="F1542" s="83">
        <f>BDP("LIN US Equity","BEST_EBIT","BEST_FPERIOD_OVERRIDE","25Y")</f>
        <v/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26Y</t>
        </is>
      </c>
      <c r="E1543" t="inlineStr">
        <is>
          <t>EPS estimate FY2026</t>
        </is>
      </c>
      <c r="F1543" s="83">
        <f>BDP("LIN US Equity","BEST_EPS","BEST_FPERIOD_OVERRIDE","26Y")</f>
        <v/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26Y</t>
        </is>
      </c>
      <c r="E1544" t="inlineStr">
        <is>
          <t>Revenue estimate FY2026</t>
        </is>
      </c>
      <c r="F1544" s="83">
        <f>BDP("LIN US Equity","BEST_SALES","BEST_FPERIOD_OVERRIDE","26Y")</f>
        <v/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26Y</t>
        </is>
      </c>
      <c r="E1545" t="inlineStr">
        <is>
          <t>EBIT estimate FY2026</t>
        </is>
      </c>
      <c r="F1545" s="83">
        <f>BDP("LIN US Equity","BEST_EBIT","BEST_FPERIOD_OVERRIDE","26Y")</f>
        <v/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27Y</t>
        </is>
      </c>
      <c r="E1546" t="inlineStr">
        <is>
          <t>EPS estimate FY2027</t>
        </is>
      </c>
      <c r="F1546" s="83">
        <f>BDP("LIN US Equity","BEST_EPS","BEST_FPERIOD_OVERRIDE","27Y")</f>
        <v/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27Y</t>
        </is>
      </c>
      <c r="E1547" t="inlineStr">
        <is>
          <t>Revenue estimate FY2027</t>
        </is>
      </c>
      <c r="F1547" s="83">
        <f>BDP("LIN US Equity","BEST_SALES","BEST_FPERIOD_OVERRIDE","27Y")</f>
        <v/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27Y</t>
        </is>
      </c>
      <c r="E1548" t="inlineStr">
        <is>
          <t>EBIT estimate FY2027</t>
        </is>
      </c>
      <c r="F1548" s="83">
        <f>BDP("LIN US Equity","BEST_EBIT","BEST_FPERIOD_OVERRIDE","27Y")</f>
        <v/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28Y</t>
        </is>
      </c>
      <c r="E1549" t="inlineStr">
        <is>
          <t>EPS estimate FY2028</t>
        </is>
      </c>
      <c r="F1549" s="83">
        <f>BDP("LIN US Equity","BEST_EPS","BEST_FPERIOD_OVERRIDE","28Y")</f>
        <v/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28Y</t>
        </is>
      </c>
      <c r="E1550" t="inlineStr">
        <is>
          <t>Revenue estimate FY2028</t>
        </is>
      </c>
      <c r="F1550" s="83">
        <f>BDP("LIN US Equity","BEST_SALES","BEST_FPERIOD_OVERRIDE","28Y")</f>
        <v/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28Y</t>
        </is>
      </c>
      <c r="E1551" t="inlineStr">
        <is>
          <t>EBIT estimate FY2028</t>
        </is>
      </c>
      <c r="F1551" s="83">
        <f>BDP("LIN US Equity","BEST_EBIT","BEST_FPERIOD_OVERRIDE","28Y")</f>
        <v/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E1552" t="inlineStr">
        <is>
          <t>Last price</t>
        </is>
      </c>
      <c r="F1552" s="83">
        <f>BDP("ISRG US Equity","PX_LAST")</f>
        <v/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E1553" t="inlineStr">
        <is>
          <t>Market cap (raw)</t>
        </is>
      </c>
      <c r="F1553" s="83">
        <f>BDP("ISRG US Equity","CUR_MKT_CAP")</f>
        <v/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E1554" t="inlineStr">
        <is>
          <t>YTD price change %</t>
        </is>
      </c>
      <c r="F1554" s="83">
        <f>BDP("ISRG US Equity","CHG_PCT_YTD")</f>
        <v/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E1555" t="inlineStr">
        <is>
          <t>Net debt / EBITDA</t>
        </is>
      </c>
      <c r="F1555" s="83">
        <f>BDP("ISRG US Equity","NET_DEBT_TO_EBITDA")</f>
        <v/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E1556" t="inlineStr">
        <is>
          <t>ROIC (LTM)</t>
        </is>
      </c>
      <c r="F1556" s="83">
        <f>BDP("ISRG US Equity","RETURN_ON_INV_CAPITAL")</f>
        <v/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E1557" t="inlineStr">
        <is>
          <t>LTM operating income</t>
        </is>
      </c>
      <c r="F1557" s="83">
        <f>BDP("ISRG US Equity","TRAIL_12M_OPER_INC")</f>
        <v/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E1558" t="inlineStr">
        <is>
          <t>LTM EBITDA</t>
        </is>
      </c>
      <c r="F1558" s="83">
        <f>BDP("ISRG US Equity","TRAIL_12M_EBITDA")</f>
        <v/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E1559" t="inlineStr">
        <is>
          <t>Total debt</t>
        </is>
      </c>
      <c r="F1559" s="83">
        <f>BDP("ISRG US Equity","SHORT_AND_LONG_TERM_DEBT")</f>
        <v/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E1560" t="inlineStr">
        <is>
          <t>Total equity</t>
        </is>
      </c>
      <c r="F1560" s="83">
        <f>BDP("ISRG US Equity","TOTAL_EQUITY")</f>
        <v/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E1561" t="inlineStr">
        <is>
          <t>Cash &amp; equivalents</t>
        </is>
      </c>
      <c r="F1561" s="83">
        <f>BDP("ISRG US Equity","BS_CASH_NEAR_CASH_ITEM")</f>
        <v/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24Y</t>
        </is>
      </c>
      <c r="E1562" t="inlineStr">
        <is>
          <t>EPS estimate FY2024</t>
        </is>
      </c>
      <c r="F1562" s="83">
        <f>BDP("ISRG US Equity","BEST_EPS","BEST_FPERIOD_OVERRIDE","24Y")</f>
        <v/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24Y</t>
        </is>
      </c>
      <c r="E1563" t="inlineStr">
        <is>
          <t>Revenue estimate FY2024</t>
        </is>
      </c>
      <c r="F1563" s="83">
        <f>BDP("ISRG US Equity","BEST_SALES","BEST_FPERIOD_OVERRIDE","24Y")</f>
        <v/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24Y</t>
        </is>
      </c>
      <c r="E1564" t="inlineStr">
        <is>
          <t>EBIT estimate FY2024</t>
        </is>
      </c>
      <c r="F1564" s="83">
        <f>BDP("ISRG US Equity","BEST_EBIT","BEST_FPERIOD_OVERRIDE","24Y")</f>
        <v/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25Y</t>
        </is>
      </c>
      <c r="E1565" t="inlineStr">
        <is>
          <t>EPS estimate FY2025</t>
        </is>
      </c>
      <c r="F1565" s="83">
        <f>BDP("ISRG US Equity","BEST_EPS","BEST_FPERIOD_OVERRIDE","25Y")</f>
        <v/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25Y</t>
        </is>
      </c>
      <c r="E1566" t="inlineStr">
        <is>
          <t>Revenue estimate FY2025</t>
        </is>
      </c>
      <c r="F1566" s="83">
        <f>BDP("ISRG US Equity","BEST_SALES","BEST_FPERIOD_OVERRIDE","25Y")</f>
        <v/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25Y</t>
        </is>
      </c>
      <c r="E1567" t="inlineStr">
        <is>
          <t>EBIT estimate FY2025</t>
        </is>
      </c>
      <c r="F1567" s="83">
        <f>BDP("ISRG US Equity","BEST_EBIT","BEST_FPERIOD_OVERRIDE","25Y")</f>
        <v/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26Y</t>
        </is>
      </c>
      <c r="E1568" t="inlineStr">
        <is>
          <t>EPS estimate FY2026</t>
        </is>
      </c>
      <c r="F1568" s="83">
        <f>BDP("ISRG US Equity","BEST_EPS","BEST_FPERIOD_OVERRIDE","26Y")</f>
        <v/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26Y</t>
        </is>
      </c>
      <c r="E1569" t="inlineStr">
        <is>
          <t>Revenue estimate FY2026</t>
        </is>
      </c>
      <c r="F1569" s="83">
        <f>BDP("ISRG US Equity","BEST_SALES","BEST_FPERIOD_OVERRIDE","26Y")</f>
        <v/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26Y</t>
        </is>
      </c>
      <c r="E1570" t="inlineStr">
        <is>
          <t>EBIT estimate FY2026</t>
        </is>
      </c>
      <c r="F1570" s="83">
        <f>BDP("ISRG US Equity","BEST_EBIT","BEST_FPERIOD_OVERRIDE","26Y")</f>
        <v/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27Y</t>
        </is>
      </c>
      <c r="E1571" t="inlineStr">
        <is>
          <t>EPS estimate FY2027</t>
        </is>
      </c>
      <c r="F1571" s="83">
        <f>BDP("ISRG US Equity","BEST_EPS","BEST_FPERIOD_OVERRIDE","27Y")</f>
        <v/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27Y</t>
        </is>
      </c>
      <c r="E1572" t="inlineStr">
        <is>
          <t>Revenue estimate FY2027</t>
        </is>
      </c>
      <c r="F1572" s="83">
        <f>BDP("ISRG US Equity","BEST_SALES","BEST_FPERIOD_OVERRIDE","27Y")</f>
        <v/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27Y</t>
        </is>
      </c>
      <c r="E1573" t="inlineStr">
        <is>
          <t>EBIT estimate FY2027</t>
        </is>
      </c>
      <c r="F1573" s="83">
        <f>BDP("ISRG US Equity","BEST_EBIT","BEST_FPERIOD_OVERRIDE","27Y")</f>
        <v/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28Y</t>
        </is>
      </c>
      <c r="E1574" t="inlineStr">
        <is>
          <t>EPS estimate FY2028</t>
        </is>
      </c>
      <c r="F1574" s="83">
        <f>BDP("ISRG US Equity","BEST_EPS","BEST_FPERIOD_OVERRIDE","28Y")</f>
        <v/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28Y</t>
        </is>
      </c>
      <c r="E1575" t="inlineStr">
        <is>
          <t>Revenue estimate FY2028</t>
        </is>
      </c>
      <c r="F1575" s="83">
        <f>BDP("ISRG US Equity","BEST_SALES","BEST_FPERIOD_OVERRIDE","28Y")</f>
        <v/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28Y</t>
        </is>
      </c>
      <c r="E1576" t="inlineStr">
        <is>
          <t>EBIT estimate FY2028</t>
        </is>
      </c>
      <c r="F1576" s="83">
        <f>BDP("ISRG US Equity","BEST_EBIT","BEST_FPERIOD_OVERRIDE","28Y")</f>
        <v/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E1577" t="inlineStr">
        <is>
          <t>Last price</t>
        </is>
      </c>
      <c r="F1577" s="83">
        <f>BDP("CP US Equity","PX_LAST")</f>
        <v/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E1578" t="inlineStr">
        <is>
          <t>Market cap (raw)</t>
        </is>
      </c>
      <c r="F1578" s="83">
        <f>BDP("CP US Equity","CUR_MKT_CAP")</f>
        <v/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E1579" t="inlineStr">
        <is>
          <t>YTD price change %</t>
        </is>
      </c>
      <c r="F1579" s="83">
        <f>BDP("CP US Equity","CHG_PCT_YTD")</f>
        <v/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E1580" t="inlineStr">
        <is>
          <t>Net debt / EBITDA</t>
        </is>
      </c>
      <c r="F1580" s="83">
        <f>BDP("CP US Equity","NET_DEBT_TO_EBITDA")</f>
        <v/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E1581" t="inlineStr">
        <is>
          <t>ROIC (LTM)</t>
        </is>
      </c>
      <c r="F1581" s="83">
        <f>BDP("CP US Equity","RETURN_ON_INV_CAPITAL")</f>
        <v/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E1582" t="inlineStr">
        <is>
          <t>LTM operating income</t>
        </is>
      </c>
      <c r="F1582" s="83">
        <f>BDP("CP US Equity","TRAIL_12M_OPER_INC")</f>
        <v/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E1583" t="inlineStr">
        <is>
          <t>LTM EBITDA</t>
        </is>
      </c>
      <c r="F1583" s="83">
        <f>BDP("CP US Equity","TRAIL_12M_EBITDA")</f>
        <v/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E1584" t="inlineStr">
        <is>
          <t>Total debt</t>
        </is>
      </c>
      <c r="F1584" s="83">
        <f>BDP("CP US Equity","SHORT_AND_LONG_TERM_DEBT")</f>
        <v/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E1585" t="inlineStr">
        <is>
          <t>Total equity</t>
        </is>
      </c>
      <c r="F1585" s="83">
        <f>BDP("CP US Equity","TOTAL_EQUITY")</f>
        <v/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E1586" t="inlineStr">
        <is>
          <t>Cash &amp; equivalents</t>
        </is>
      </c>
      <c r="F1586" s="83">
        <f>BDP("CP US Equity","BS_CASH_NEAR_CASH_ITEM")</f>
        <v/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24Y</t>
        </is>
      </c>
      <c r="E1587" t="inlineStr">
        <is>
          <t>EPS estimate FY2024</t>
        </is>
      </c>
      <c r="F1587" s="83">
        <f>BDP("CP US Equity","BEST_EPS","BEST_FPERIOD_OVERRIDE","24Y")</f>
        <v/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24Y</t>
        </is>
      </c>
      <c r="E1588" t="inlineStr">
        <is>
          <t>Revenue estimate FY2024</t>
        </is>
      </c>
      <c r="F1588" s="83">
        <f>BDP("CP US Equity","BEST_SALES","BEST_FPERIOD_OVERRIDE","24Y")</f>
        <v/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24Y</t>
        </is>
      </c>
      <c r="E1589" t="inlineStr">
        <is>
          <t>EBIT estimate FY2024</t>
        </is>
      </c>
      <c r="F1589" s="83">
        <f>BDP("CP US Equity","BEST_EBIT","BEST_FPERIOD_OVERRIDE","24Y")</f>
        <v/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25Y</t>
        </is>
      </c>
      <c r="E1590" t="inlineStr">
        <is>
          <t>EPS estimate FY2025</t>
        </is>
      </c>
      <c r="F1590" s="83">
        <f>BDP("CP US Equity","BEST_EPS","BEST_FPERIOD_OVERRIDE","25Y")</f>
        <v/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25Y</t>
        </is>
      </c>
      <c r="E1591" t="inlineStr">
        <is>
          <t>Revenue estimate FY2025</t>
        </is>
      </c>
      <c r="F1591" s="83">
        <f>BDP("CP US Equity","BEST_SALES","BEST_FPERIOD_OVERRIDE","25Y")</f>
        <v/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25Y</t>
        </is>
      </c>
      <c r="E1592" t="inlineStr">
        <is>
          <t>EBIT estimate FY2025</t>
        </is>
      </c>
      <c r="F1592" s="83">
        <f>BDP("CP US Equity","BEST_EBIT","BEST_FPERIOD_OVERRIDE","25Y")</f>
        <v/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26Y</t>
        </is>
      </c>
      <c r="E1593" t="inlineStr">
        <is>
          <t>EPS estimate FY2026</t>
        </is>
      </c>
      <c r="F1593" s="83">
        <f>BDP("CP US Equity","BEST_EPS","BEST_FPERIOD_OVERRIDE","26Y")</f>
        <v/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26Y</t>
        </is>
      </c>
      <c r="E1594" t="inlineStr">
        <is>
          <t>Revenue estimate FY2026</t>
        </is>
      </c>
      <c r="F1594" s="83">
        <f>BDP("CP US Equity","BEST_SALES","BEST_FPERIOD_OVERRIDE","26Y")</f>
        <v/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26Y</t>
        </is>
      </c>
      <c r="E1595" t="inlineStr">
        <is>
          <t>EBIT estimate FY2026</t>
        </is>
      </c>
      <c r="F1595" s="83">
        <f>BDP("CP US Equity","BEST_EBIT","BEST_FPERIOD_OVERRIDE","26Y")</f>
        <v/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27Y</t>
        </is>
      </c>
      <c r="E1596" t="inlineStr">
        <is>
          <t>EPS estimate FY2027</t>
        </is>
      </c>
      <c r="F1596" s="83">
        <f>BDP("CP US Equity","BEST_EPS","BEST_FPERIOD_OVERRIDE","27Y")</f>
        <v/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27Y</t>
        </is>
      </c>
      <c r="E1597" t="inlineStr">
        <is>
          <t>Revenue estimate FY2027</t>
        </is>
      </c>
      <c r="F1597" s="83">
        <f>BDP("CP US Equity","BEST_SALES","BEST_FPERIOD_OVERRIDE","27Y")</f>
        <v/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27Y</t>
        </is>
      </c>
      <c r="E1598" t="inlineStr">
        <is>
          <t>EBIT estimate FY2027</t>
        </is>
      </c>
      <c r="F1598" s="83">
        <f>BDP("CP US Equity","BEST_EBIT","BEST_FPERIOD_OVERRIDE","27Y")</f>
        <v/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28Y</t>
        </is>
      </c>
      <c r="E1599" t="inlineStr">
        <is>
          <t>EPS estimate FY2028</t>
        </is>
      </c>
      <c r="F1599" s="83">
        <f>BDP("CP US Equity","BEST_EPS","BEST_FPERIOD_OVERRIDE","28Y")</f>
        <v/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28Y</t>
        </is>
      </c>
      <c r="E1600" t="inlineStr">
        <is>
          <t>Revenue estimate FY2028</t>
        </is>
      </c>
      <c r="F1600" s="83">
        <f>BDP("CP US Equity","BEST_SALES","BEST_FPERIOD_OVERRIDE","28Y")</f>
        <v/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28Y</t>
        </is>
      </c>
      <c r="E1601" t="inlineStr">
        <is>
          <t>EBIT estimate FY2028</t>
        </is>
      </c>
      <c r="F1601" s="83">
        <f>BDP("CP US Equity","BEST_EBIT","BEST_FPERIOD_OVERRIDE","28Y")</f>
        <v/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E1602" t="inlineStr">
        <is>
          <t>Last price</t>
        </is>
      </c>
      <c r="F1602" s="83">
        <f>BDP("AAPL US Equity","PX_LAST")</f>
        <v/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E1603" t="inlineStr">
        <is>
          <t>Market cap (raw)</t>
        </is>
      </c>
      <c r="F1603" s="83">
        <f>BDP("AAPL US Equity","CUR_MKT_CAP")</f>
        <v/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E1604" t="inlineStr">
        <is>
          <t>YTD price change %</t>
        </is>
      </c>
      <c r="F1604" s="83">
        <f>BDP("AAPL US Equity","CHG_PCT_YTD")</f>
        <v/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E1605" t="inlineStr">
        <is>
          <t>Net debt / EBITDA</t>
        </is>
      </c>
      <c r="F1605" s="83">
        <f>BDP("AAPL US Equity","NET_DEBT_TO_EBITDA")</f>
        <v/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E1606" t="inlineStr">
        <is>
          <t>ROIC (LTM)</t>
        </is>
      </c>
      <c r="F1606" s="83">
        <f>BDP("AAPL US Equity","RETURN_ON_INV_CAPITAL")</f>
        <v/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E1607" t="inlineStr">
        <is>
          <t>LTM operating income</t>
        </is>
      </c>
      <c r="F1607" s="83">
        <f>BDP("AAPL US Equity","TRAIL_12M_OPER_INC")</f>
        <v/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E1608" t="inlineStr">
        <is>
          <t>LTM EBITDA</t>
        </is>
      </c>
      <c r="F1608" s="83">
        <f>BDP("AAPL US Equity","TRAIL_12M_EBITDA")</f>
        <v/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E1609" t="inlineStr">
        <is>
          <t>Total debt</t>
        </is>
      </c>
      <c r="F1609" s="83">
        <f>BDP("AAPL US Equity","SHORT_AND_LONG_TERM_DEBT")</f>
        <v/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E1610" t="inlineStr">
        <is>
          <t>Total equity</t>
        </is>
      </c>
      <c r="F1610" s="83">
        <f>BDP("AAPL US Equity","TOTAL_EQUITY")</f>
        <v/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E1611" t="inlineStr">
        <is>
          <t>Cash &amp; equivalents</t>
        </is>
      </c>
      <c r="F1611" s="83">
        <f>BDP("AAPL US Equity","BS_CASH_NEAR_CASH_ITEM")</f>
        <v/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24Y</t>
        </is>
      </c>
      <c r="E1612" t="inlineStr">
        <is>
          <t>EPS estimate FY2024</t>
        </is>
      </c>
      <c r="F1612" s="83">
        <f>BDP("AAPL US Equity","BEST_EPS","BEST_FPERIOD_OVERRIDE","24Y")</f>
        <v/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24Y</t>
        </is>
      </c>
      <c r="E1613" t="inlineStr">
        <is>
          <t>Revenue estimate FY2024</t>
        </is>
      </c>
      <c r="F1613" s="83">
        <f>BDP("AAPL US Equity","BEST_SALES","BEST_FPERIOD_OVERRIDE","24Y")</f>
        <v/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24Y</t>
        </is>
      </c>
      <c r="E1614" t="inlineStr">
        <is>
          <t>EBIT estimate FY2024</t>
        </is>
      </c>
      <c r="F1614" s="83">
        <f>BDP("AAPL US Equity","BEST_EBIT","BEST_FPERIOD_OVERRIDE","24Y")</f>
        <v/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25Y</t>
        </is>
      </c>
      <c r="E1615" t="inlineStr">
        <is>
          <t>EPS estimate FY2025</t>
        </is>
      </c>
      <c r="F1615" s="83">
        <f>BDP("AAPL US Equity","BEST_EPS","BEST_FPERIOD_OVERRIDE","25Y")</f>
        <v/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25Y</t>
        </is>
      </c>
      <c r="E1616" t="inlineStr">
        <is>
          <t>Revenue estimate FY2025</t>
        </is>
      </c>
      <c r="F1616" s="83">
        <f>BDP("AAPL US Equity","BEST_SALES","BEST_FPERIOD_OVERRIDE","25Y")</f>
        <v/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25Y</t>
        </is>
      </c>
      <c r="E1617" t="inlineStr">
        <is>
          <t>EBIT estimate FY2025</t>
        </is>
      </c>
      <c r="F1617" s="83">
        <f>BDP("AAPL US Equity","BEST_EBIT","BEST_FPERIOD_OVERRIDE","25Y")</f>
        <v/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26Y</t>
        </is>
      </c>
      <c r="E1618" t="inlineStr">
        <is>
          <t>EPS estimate FY2026</t>
        </is>
      </c>
      <c r="F1618" s="83">
        <f>BDP("AAPL US Equity","BEST_EPS","BEST_FPERIOD_OVERRIDE","26Y")</f>
        <v/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26Y</t>
        </is>
      </c>
      <c r="E1619" t="inlineStr">
        <is>
          <t>Revenue estimate FY2026</t>
        </is>
      </c>
      <c r="F1619" s="83">
        <f>BDP("AAPL US Equity","BEST_SALES","BEST_FPERIOD_OVERRIDE","26Y")</f>
        <v/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26Y</t>
        </is>
      </c>
      <c r="E1620" t="inlineStr">
        <is>
          <t>EBIT estimate FY2026</t>
        </is>
      </c>
      <c r="F1620" s="83">
        <f>BDP("AAPL US Equity","BEST_EBIT","BEST_FPERIOD_OVERRIDE","26Y")</f>
        <v/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27Y</t>
        </is>
      </c>
      <c r="E1621" t="inlineStr">
        <is>
          <t>EPS estimate FY2027</t>
        </is>
      </c>
      <c r="F1621" s="83">
        <f>BDP("AAPL US Equity","BEST_EPS","BEST_FPERIOD_OVERRIDE","27Y")</f>
        <v/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27Y</t>
        </is>
      </c>
      <c r="E1622" t="inlineStr">
        <is>
          <t>Revenue estimate FY2027</t>
        </is>
      </c>
      <c r="F1622" s="83">
        <f>BDP("AAPL US Equity","BEST_SALES","BEST_FPERIOD_OVERRIDE","27Y")</f>
        <v/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27Y</t>
        </is>
      </c>
      <c r="E1623" t="inlineStr">
        <is>
          <t>EBIT estimate FY2027</t>
        </is>
      </c>
      <c r="F1623" s="83">
        <f>BDP("AAPL US Equity","BEST_EBIT","BEST_FPERIOD_OVERRIDE","27Y")</f>
        <v/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28Y</t>
        </is>
      </c>
      <c r="E1624" t="inlineStr">
        <is>
          <t>EPS estimate FY2028</t>
        </is>
      </c>
      <c r="F1624" s="83">
        <f>BDP("AAPL US Equity","BEST_EPS","BEST_FPERIOD_OVERRIDE","28Y")</f>
        <v/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28Y</t>
        </is>
      </c>
      <c r="E1625" t="inlineStr">
        <is>
          <t>Revenue estimate FY2028</t>
        </is>
      </c>
      <c r="F1625" s="83">
        <f>BDP("AAPL US Equity","BEST_SALES","BEST_FPERIOD_OVERRIDE","28Y")</f>
        <v/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28Y</t>
        </is>
      </c>
      <c r="E1626" t="inlineStr">
        <is>
          <t>EBIT estimate FY2028</t>
        </is>
      </c>
      <c r="F1626" s="83">
        <f>BDP("AAPL US Equity","BEST_EBIT","BEST_FPERIOD_OVERRIDE","28Y")</f>
        <v/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E1627" t="inlineStr">
        <is>
          <t>Last price</t>
        </is>
      </c>
      <c r="F1627" s="83">
        <f>BDP("NFLX US Equity","PX_LAST")</f>
        <v/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E1628" t="inlineStr">
        <is>
          <t>Market cap (raw)</t>
        </is>
      </c>
      <c r="F1628" s="83">
        <f>BDP("NFLX US Equity","CUR_MKT_CAP")</f>
        <v/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E1629" t="inlineStr">
        <is>
          <t>YTD price change %</t>
        </is>
      </c>
      <c r="F1629" s="83">
        <f>BDP("NFLX US Equity","CHG_PCT_YTD")</f>
        <v/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E1630" t="inlineStr">
        <is>
          <t>Net debt / EBITDA</t>
        </is>
      </c>
      <c r="F1630" s="83">
        <f>BDP("NFLX US Equity","NET_DEBT_TO_EBITDA")</f>
        <v/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E1631" t="inlineStr">
        <is>
          <t>ROIC (LTM)</t>
        </is>
      </c>
      <c r="F1631" s="83">
        <f>BDP("NFLX US Equity","RETURN_ON_INV_CAPITAL")</f>
        <v/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E1632" t="inlineStr">
        <is>
          <t>LTM operating income</t>
        </is>
      </c>
      <c r="F1632" s="83">
        <f>BDP("NFLX US Equity","TRAIL_12M_OPER_INC")</f>
        <v/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E1633" t="inlineStr">
        <is>
          <t>LTM EBITDA</t>
        </is>
      </c>
      <c r="F1633" s="83">
        <f>BDP("NFLX US Equity","TRAIL_12M_EBITDA")</f>
        <v/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E1634" t="inlineStr">
        <is>
          <t>Total debt</t>
        </is>
      </c>
      <c r="F1634" s="83">
        <f>BDP("NFLX US Equity","SHORT_AND_LONG_TERM_DEBT")</f>
        <v/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E1635" t="inlineStr">
        <is>
          <t>Total equity</t>
        </is>
      </c>
      <c r="F1635" s="83">
        <f>BDP("NFLX US Equity","TOTAL_EQUITY")</f>
        <v/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E1636" t="inlineStr">
        <is>
          <t>Cash &amp; equivalents</t>
        </is>
      </c>
      <c r="F1636" s="83">
        <f>BDP("NFLX US Equity","BS_CASH_NEAR_CASH_ITEM")</f>
        <v/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24Y</t>
        </is>
      </c>
      <c r="E1637" t="inlineStr">
        <is>
          <t>EPS estimate FY2024</t>
        </is>
      </c>
      <c r="F1637" s="83">
        <f>BDP("NFLX US Equity","BEST_EPS","BEST_FPERIOD_OVERRIDE","24Y")</f>
        <v/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24Y</t>
        </is>
      </c>
      <c r="E1638" t="inlineStr">
        <is>
          <t>Revenue estimate FY2024</t>
        </is>
      </c>
      <c r="F1638" s="83">
        <f>BDP("NFLX US Equity","BEST_SALES","BEST_FPERIOD_OVERRIDE","24Y")</f>
        <v/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24Y</t>
        </is>
      </c>
      <c r="E1639" t="inlineStr">
        <is>
          <t>EBIT estimate FY2024</t>
        </is>
      </c>
      <c r="F1639" s="83">
        <f>BDP("NFLX US Equity","BEST_EBIT","BEST_FPERIOD_OVERRIDE","24Y")</f>
        <v/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25Y</t>
        </is>
      </c>
      <c r="E1640" t="inlineStr">
        <is>
          <t>EPS estimate FY2025</t>
        </is>
      </c>
      <c r="F1640" s="83">
        <f>BDP("NFLX US Equity","BEST_EPS","BEST_FPERIOD_OVERRIDE","25Y")</f>
        <v/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25Y</t>
        </is>
      </c>
      <c r="E1641" t="inlineStr">
        <is>
          <t>Revenue estimate FY2025</t>
        </is>
      </c>
      <c r="F1641" s="83">
        <f>BDP("NFLX US Equity","BEST_SALES","BEST_FPERIOD_OVERRIDE","25Y")</f>
        <v/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25Y</t>
        </is>
      </c>
      <c r="E1642" t="inlineStr">
        <is>
          <t>EBIT estimate FY2025</t>
        </is>
      </c>
      <c r="F1642" s="83">
        <f>BDP("NFLX US Equity","BEST_EBIT","BEST_FPERIOD_OVERRIDE","25Y")</f>
        <v/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26Y</t>
        </is>
      </c>
      <c r="E1643" t="inlineStr">
        <is>
          <t>EPS estimate FY2026</t>
        </is>
      </c>
      <c r="F1643" s="83">
        <f>BDP("NFLX US Equity","BEST_EPS","BEST_FPERIOD_OVERRIDE","26Y")</f>
        <v/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26Y</t>
        </is>
      </c>
      <c r="E1644" t="inlineStr">
        <is>
          <t>Revenue estimate FY2026</t>
        </is>
      </c>
      <c r="F1644" s="83">
        <f>BDP("NFLX US Equity","BEST_SALES","BEST_FPERIOD_OVERRIDE","26Y")</f>
        <v/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26Y</t>
        </is>
      </c>
      <c r="E1645" t="inlineStr">
        <is>
          <t>EBIT estimate FY2026</t>
        </is>
      </c>
      <c r="F1645" s="83">
        <f>BDP("NFLX US Equity","BEST_EBIT","BEST_FPERIOD_OVERRIDE","26Y")</f>
        <v/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27Y</t>
        </is>
      </c>
      <c r="E1646" t="inlineStr">
        <is>
          <t>EPS estimate FY2027</t>
        </is>
      </c>
      <c r="F1646" s="83">
        <f>BDP("NFLX US Equity","BEST_EPS","BEST_FPERIOD_OVERRIDE","27Y")</f>
        <v/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27Y</t>
        </is>
      </c>
      <c r="E1647" t="inlineStr">
        <is>
          <t>Revenue estimate FY2027</t>
        </is>
      </c>
      <c r="F1647" s="83">
        <f>BDP("NFLX US Equity","BEST_SALES","BEST_FPERIOD_OVERRIDE","27Y")</f>
        <v/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27Y</t>
        </is>
      </c>
      <c r="E1648" t="inlineStr">
        <is>
          <t>EBIT estimate FY2027</t>
        </is>
      </c>
      <c r="F1648" s="83">
        <f>BDP("NFLX US Equity","BEST_EBIT","BEST_FPERIOD_OVERRIDE","27Y")</f>
        <v/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28Y</t>
        </is>
      </c>
      <c r="E1649" t="inlineStr">
        <is>
          <t>EPS estimate FY2028</t>
        </is>
      </c>
      <c r="F1649" s="83">
        <f>BDP("NFLX US Equity","BEST_EPS","BEST_FPERIOD_OVERRIDE","28Y")</f>
        <v/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28Y</t>
        </is>
      </c>
      <c r="E1650" t="inlineStr">
        <is>
          <t>Revenue estimate FY2028</t>
        </is>
      </c>
      <c r="F1650" s="83">
        <f>BDP("NFLX US Equity","BEST_SALES","BEST_FPERIOD_OVERRIDE","28Y")</f>
        <v/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28Y</t>
        </is>
      </c>
      <c r="E1651" t="inlineStr">
        <is>
          <t>EBIT estimate FY2028</t>
        </is>
      </c>
      <c r="F1651" s="83">
        <f>BDP("NFLX US Equity","BEST_EBIT","BEST_FPERIOD_OVERRIDE","28Y")</f>
        <v/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E1652" t="inlineStr">
        <is>
          <t>Last price</t>
        </is>
      </c>
      <c r="F1652" s="83">
        <f>BDP("INTU US Equity","PX_LAST")</f>
        <v/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E1653" t="inlineStr">
        <is>
          <t>Market cap (raw)</t>
        </is>
      </c>
      <c r="F1653" s="83">
        <f>BDP("INTU US Equity","CUR_MKT_CAP")</f>
        <v/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E1654" t="inlineStr">
        <is>
          <t>YTD price change %</t>
        </is>
      </c>
      <c r="F1654" s="83">
        <f>BDP("INTU US Equity","CHG_PCT_YTD")</f>
        <v/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E1655" t="inlineStr">
        <is>
          <t>Net debt / EBITDA</t>
        </is>
      </c>
      <c r="F1655" s="83">
        <f>BDP("INTU US Equity","NET_DEBT_TO_EBITDA")</f>
        <v/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E1656" t="inlineStr">
        <is>
          <t>ROIC (LTM)</t>
        </is>
      </c>
      <c r="F1656" s="83">
        <f>BDP("INTU US Equity","RETURN_ON_INV_CAPITAL")</f>
        <v/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E1657" t="inlineStr">
        <is>
          <t>LTM operating income</t>
        </is>
      </c>
      <c r="F1657" s="83">
        <f>BDP("INTU US Equity","TRAIL_12M_OPER_INC")</f>
        <v/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E1658" t="inlineStr">
        <is>
          <t>LTM EBITDA</t>
        </is>
      </c>
      <c r="F1658" s="83">
        <f>BDP("INTU US Equity","TRAIL_12M_EBITDA")</f>
        <v/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E1659" t="inlineStr">
        <is>
          <t>Total debt</t>
        </is>
      </c>
      <c r="F1659" s="83">
        <f>BDP("INTU US Equity","SHORT_AND_LONG_TERM_DEBT")</f>
        <v/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E1660" t="inlineStr">
        <is>
          <t>Total equity</t>
        </is>
      </c>
      <c r="F1660" s="83">
        <f>BDP("INTU US Equity","TOTAL_EQUITY")</f>
        <v/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E1661" t="inlineStr">
        <is>
          <t>Cash &amp; equivalents</t>
        </is>
      </c>
      <c r="F1661" s="83">
        <f>BDP("INTU US Equity","BS_CASH_NEAR_CASH_ITEM")</f>
        <v/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24Y</t>
        </is>
      </c>
      <c r="E1662" t="inlineStr">
        <is>
          <t>EPS estimate FY2024</t>
        </is>
      </c>
      <c r="F1662" s="83">
        <f>BDP("INTU US Equity","BEST_EPS","BEST_FPERIOD_OVERRIDE","24Y")</f>
        <v/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24Y</t>
        </is>
      </c>
      <c r="E1663" t="inlineStr">
        <is>
          <t>Revenue estimate FY2024</t>
        </is>
      </c>
      <c r="F1663" s="83">
        <f>BDP("INTU US Equity","BEST_SALES","BEST_FPERIOD_OVERRIDE","24Y")</f>
        <v/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24Y</t>
        </is>
      </c>
      <c r="E1664" t="inlineStr">
        <is>
          <t>EBIT estimate FY2024</t>
        </is>
      </c>
      <c r="F1664" s="83">
        <f>BDP("INTU US Equity","BEST_EBIT","BEST_FPERIOD_OVERRIDE","24Y")</f>
        <v/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25Y</t>
        </is>
      </c>
      <c r="E1665" t="inlineStr">
        <is>
          <t>EPS estimate FY2025</t>
        </is>
      </c>
      <c r="F1665" s="83">
        <f>BDP("INTU US Equity","BEST_EPS","BEST_FPERIOD_OVERRIDE","25Y")</f>
        <v/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25Y</t>
        </is>
      </c>
      <c r="E1666" t="inlineStr">
        <is>
          <t>Revenue estimate FY2025</t>
        </is>
      </c>
      <c r="F1666" s="83">
        <f>BDP("INTU US Equity","BEST_SALES","BEST_FPERIOD_OVERRIDE","25Y")</f>
        <v/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25Y</t>
        </is>
      </c>
      <c r="E1667" t="inlineStr">
        <is>
          <t>EBIT estimate FY2025</t>
        </is>
      </c>
      <c r="F1667" s="83">
        <f>BDP("INTU US Equity","BEST_EBIT","BEST_FPERIOD_OVERRIDE","25Y")</f>
        <v/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26Y</t>
        </is>
      </c>
      <c r="E1668" t="inlineStr">
        <is>
          <t>EPS estimate FY2026</t>
        </is>
      </c>
      <c r="F1668" s="83">
        <f>BDP("INTU US Equity","BEST_EPS","BEST_FPERIOD_OVERRIDE","26Y")</f>
        <v/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26Y</t>
        </is>
      </c>
      <c r="E1669" t="inlineStr">
        <is>
          <t>Revenue estimate FY2026</t>
        </is>
      </c>
      <c r="F1669" s="83">
        <f>BDP("INTU US Equity","BEST_SALES","BEST_FPERIOD_OVERRIDE","26Y")</f>
        <v/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26Y</t>
        </is>
      </c>
      <c r="E1670" t="inlineStr">
        <is>
          <t>EBIT estimate FY2026</t>
        </is>
      </c>
      <c r="F1670" s="83">
        <f>BDP("INTU US Equity","BEST_EBIT","BEST_FPERIOD_OVERRIDE","26Y")</f>
        <v/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27Y</t>
        </is>
      </c>
      <c r="E1671" t="inlineStr">
        <is>
          <t>EPS estimate FY2027</t>
        </is>
      </c>
      <c r="F1671" s="83">
        <f>BDP("INTU US Equity","BEST_EPS","BEST_FPERIOD_OVERRIDE","27Y")</f>
        <v/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27Y</t>
        </is>
      </c>
      <c r="E1672" t="inlineStr">
        <is>
          <t>Revenue estimate FY2027</t>
        </is>
      </c>
      <c r="F1672" s="83">
        <f>BDP("INTU US Equity","BEST_SALES","BEST_FPERIOD_OVERRIDE","27Y")</f>
        <v/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27Y</t>
        </is>
      </c>
      <c r="E1673" t="inlineStr">
        <is>
          <t>EBIT estimate FY2027</t>
        </is>
      </c>
      <c r="F1673" s="83">
        <f>BDP("INTU US Equity","BEST_EBIT","BEST_FPERIOD_OVERRIDE","27Y")</f>
        <v/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28Y</t>
        </is>
      </c>
      <c r="E1674" t="inlineStr">
        <is>
          <t>EPS estimate FY2028</t>
        </is>
      </c>
      <c r="F1674" s="83">
        <f>BDP("INTU US Equity","BEST_EPS","BEST_FPERIOD_OVERRIDE","28Y")</f>
        <v/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28Y</t>
        </is>
      </c>
      <c r="E1675" t="inlineStr">
        <is>
          <t>Revenue estimate FY2028</t>
        </is>
      </c>
      <c r="F1675" s="83">
        <f>BDP("INTU US Equity","BEST_SALES","BEST_FPERIOD_OVERRIDE","28Y")</f>
        <v/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28Y</t>
        </is>
      </c>
      <c r="E1676" t="inlineStr">
        <is>
          <t>EBIT estimate FY2028</t>
        </is>
      </c>
      <c r="F1676" s="83">
        <f>BDP("INTU US Equity","BEST_EBIT","BEST_FPERIOD_OVERRIDE","28Y")</f>
        <v/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E1677" t="inlineStr">
        <is>
          <t>Last price</t>
        </is>
      </c>
      <c r="F1677" s="83">
        <f>BDP("ASML US Equity","PX_LAST")</f>
        <v/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E1678" t="inlineStr">
        <is>
          <t>Market cap (raw)</t>
        </is>
      </c>
      <c r="F1678" s="83">
        <f>BDP("ASML US Equity","CUR_MKT_CAP")</f>
        <v/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E1679" t="inlineStr">
        <is>
          <t>YTD price change %</t>
        </is>
      </c>
      <c r="F1679" s="83">
        <f>BDP("ASML US Equity","CHG_PCT_YTD")</f>
        <v/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E1680" t="inlineStr">
        <is>
          <t>Net debt / EBITDA</t>
        </is>
      </c>
      <c r="F1680" s="83">
        <f>BDP("ASML US Equity","NET_DEBT_TO_EBITDA")</f>
        <v/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E1681" t="inlineStr">
        <is>
          <t>ROIC (LTM)</t>
        </is>
      </c>
      <c r="F1681" s="83">
        <f>BDP("ASML US Equity","RETURN_ON_INV_CAPITAL")</f>
        <v/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E1682" t="inlineStr">
        <is>
          <t>LTM operating income</t>
        </is>
      </c>
      <c r="F1682" s="83">
        <f>BDP("ASML US Equity","TRAIL_12M_OPER_INC")</f>
        <v/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E1683" t="inlineStr">
        <is>
          <t>LTM EBITDA</t>
        </is>
      </c>
      <c r="F1683" s="83">
        <f>BDP("ASML US Equity","TRAIL_12M_EBITDA")</f>
        <v/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E1684" t="inlineStr">
        <is>
          <t>Total debt</t>
        </is>
      </c>
      <c r="F1684" s="83">
        <f>BDP("ASML US Equity","SHORT_AND_LONG_TERM_DEBT")</f>
        <v/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E1685" t="inlineStr">
        <is>
          <t>Total equity</t>
        </is>
      </c>
      <c r="F1685" s="83">
        <f>BDP("ASML US Equity","TOTAL_EQUITY")</f>
        <v/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E1686" t="inlineStr">
        <is>
          <t>Cash &amp; equivalents</t>
        </is>
      </c>
      <c r="F1686" s="83">
        <f>BDP("ASML US Equity","BS_CASH_NEAR_CASH_ITEM")</f>
        <v/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24Y</t>
        </is>
      </c>
      <c r="E1687" t="inlineStr">
        <is>
          <t>EPS estimate FY2024</t>
        </is>
      </c>
      <c r="F1687" s="83">
        <f>BDP("ASML US Equity","BEST_EPS","BEST_FPERIOD_OVERRIDE","24Y")</f>
        <v/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24Y</t>
        </is>
      </c>
      <c r="E1688" t="inlineStr">
        <is>
          <t>Revenue estimate FY2024</t>
        </is>
      </c>
      <c r="F1688" s="83">
        <f>BDP("ASML US Equity","BEST_SALES","BEST_FPERIOD_OVERRIDE","24Y")</f>
        <v/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24Y</t>
        </is>
      </c>
      <c r="E1689" t="inlineStr">
        <is>
          <t>EBIT estimate FY2024</t>
        </is>
      </c>
      <c r="F1689" s="83">
        <f>BDP("ASML US Equity","BEST_EBIT","BEST_FPERIOD_OVERRIDE","24Y")</f>
        <v/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25Y</t>
        </is>
      </c>
      <c r="E1690" t="inlineStr">
        <is>
          <t>EPS estimate FY2025</t>
        </is>
      </c>
      <c r="F1690" s="83">
        <f>BDP("ASML US Equity","BEST_EPS","BEST_FPERIOD_OVERRIDE","25Y")</f>
        <v/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25Y</t>
        </is>
      </c>
      <c r="E1691" t="inlineStr">
        <is>
          <t>Revenue estimate FY2025</t>
        </is>
      </c>
      <c r="F1691" s="83">
        <f>BDP("ASML US Equity","BEST_SALES","BEST_FPERIOD_OVERRIDE","25Y")</f>
        <v/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25Y</t>
        </is>
      </c>
      <c r="E1692" t="inlineStr">
        <is>
          <t>EBIT estimate FY2025</t>
        </is>
      </c>
      <c r="F1692" s="83">
        <f>BDP("ASML US Equity","BEST_EBIT","BEST_FPERIOD_OVERRIDE","25Y")</f>
        <v/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26Y</t>
        </is>
      </c>
      <c r="E1693" t="inlineStr">
        <is>
          <t>EPS estimate FY2026</t>
        </is>
      </c>
      <c r="F1693" s="83">
        <f>BDP("ASML US Equity","BEST_EPS","BEST_FPERIOD_OVERRIDE","26Y")</f>
        <v/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26Y</t>
        </is>
      </c>
      <c r="E1694" t="inlineStr">
        <is>
          <t>Revenue estimate FY2026</t>
        </is>
      </c>
      <c r="F1694" s="83">
        <f>BDP("ASML US Equity","BEST_SALES","BEST_FPERIOD_OVERRIDE","26Y")</f>
        <v/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26Y</t>
        </is>
      </c>
      <c r="E1695" t="inlineStr">
        <is>
          <t>EBIT estimate FY2026</t>
        </is>
      </c>
      <c r="F1695" s="83">
        <f>BDP("ASML US Equity","BEST_EBIT","BEST_FPERIOD_OVERRIDE","26Y")</f>
        <v/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27Y</t>
        </is>
      </c>
      <c r="E1696" t="inlineStr">
        <is>
          <t>EPS estimate FY2027</t>
        </is>
      </c>
      <c r="F1696" s="83">
        <f>BDP("ASML US Equity","BEST_EPS","BEST_FPERIOD_OVERRIDE","27Y")</f>
        <v/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27Y</t>
        </is>
      </c>
      <c r="E1697" t="inlineStr">
        <is>
          <t>Revenue estimate FY2027</t>
        </is>
      </c>
      <c r="F1697" s="83">
        <f>BDP("ASML US Equity","BEST_SALES","BEST_FPERIOD_OVERRIDE","27Y")</f>
        <v/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27Y</t>
        </is>
      </c>
      <c r="E1698" t="inlineStr">
        <is>
          <t>EBIT estimate FY2027</t>
        </is>
      </c>
      <c r="F1698" s="83">
        <f>BDP("ASML US Equity","BEST_EBIT","BEST_FPERIOD_OVERRIDE","27Y")</f>
        <v/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28Y</t>
        </is>
      </c>
      <c r="E1699" t="inlineStr">
        <is>
          <t>EPS estimate FY2028</t>
        </is>
      </c>
      <c r="F1699" s="83">
        <f>BDP("ASML US Equity","BEST_EPS","BEST_FPERIOD_OVERRIDE","28Y")</f>
        <v/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28Y</t>
        </is>
      </c>
      <c r="E1700" t="inlineStr">
        <is>
          <t>Revenue estimate FY2028</t>
        </is>
      </c>
      <c r="F1700" s="83">
        <f>BDP("ASML US Equity","BEST_SALES","BEST_FPERIOD_OVERRIDE","28Y")</f>
        <v/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28Y</t>
        </is>
      </c>
      <c r="E1701" t="inlineStr">
        <is>
          <t>EBIT estimate FY2028</t>
        </is>
      </c>
      <c r="F1701" s="83">
        <f>BDP("ASML US Equity","BEST_EBIT","BEST_FPERIOD_OVERRIDE","28Y")</f>
        <v/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E1702" t="inlineStr">
        <is>
          <t>Last price</t>
        </is>
      </c>
      <c r="F1702" s="83">
        <f>BDP("AMAT US Equity","PX_LAST")</f>
        <v/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E1703" t="inlineStr">
        <is>
          <t>Market cap (raw)</t>
        </is>
      </c>
      <c r="F1703" s="83">
        <f>BDP("AMAT US Equity","CUR_MKT_CAP")</f>
        <v/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E1704" t="inlineStr">
        <is>
          <t>YTD price change %</t>
        </is>
      </c>
      <c r="F1704" s="83">
        <f>BDP("AMAT US Equity","CHG_PCT_YTD")</f>
        <v/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E1705" t="inlineStr">
        <is>
          <t>Net debt / EBITDA</t>
        </is>
      </c>
      <c r="F1705" s="83">
        <f>BDP("AMAT US Equity","NET_DEBT_TO_EBITDA")</f>
        <v/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E1706" t="inlineStr">
        <is>
          <t>ROIC (LTM)</t>
        </is>
      </c>
      <c r="F1706" s="83">
        <f>BDP("AMAT US Equity","RETURN_ON_INV_CAPITAL")</f>
        <v/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E1707" t="inlineStr">
        <is>
          <t>LTM operating income</t>
        </is>
      </c>
      <c r="F1707" s="83">
        <f>BDP("AMAT US Equity","TRAIL_12M_OPER_INC")</f>
        <v/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E1708" t="inlineStr">
        <is>
          <t>LTM EBITDA</t>
        </is>
      </c>
      <c r="F1708" s="83">
        <f>BDP("AMAT US Equity","TRAIL_12M_EBITDA")</f>
        <v/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E1709" t="inlineStr">
        <is>
          <t>Total debt</t>
        </is>
      </c>
      <c r="F1709" s="83">
        <f>BDP("AMAT US Equity","SHORT_AND_LONG_TERM_DEBT")</f>
        <v/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E1710" t="inlineStr">
        <is>
          <t>Total equity</t>
        </is>
      </c>
      <c r="F1710" s="83">
        <f>BDP("AMAT US Equity","TOTAL_EQUITY")</f>
        <v/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E1711" t="inlineStr">
        <is>
          <t>Cash &amp; equivalents</t>
        </is>
      </c>
      <c r="F1711" s="83">
        <f>BDP("AMAT US Equity","BS_CASH_NEAR_CASH_ITEM")</f>
        <v/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24Y</t>
        </is>
      </c>
      <c r="E1712" t="inlineStr">
        <is>
          <t>EPS estimate FY2024</t>
        </is>
      </c>
      <c r="F1712" s="83">
        <f>BDP("AMAT US Equity","BEST_EPS","BEST_FPERIOD_OVERRIDE","24Y")</f>
        <v/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24Y</t>
        </is>
      </c>
      <c r="E1713" t="inlineStr">
        <is>
          <t>Revenue estimate FY2024</t>
        </is>
      </c>
      <c r="F1713" s="83">
        <f>BDP("AMAT US Equity","BEST_SALES","BEST_FPERIOD_OVERRIDE","24Y")</f>
        <v/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24Y</t>
        </is>
      </c>
      <c r="E1714" t="inlineStr">
        <is>
          <t>EBIT estimate FY2024</t>
        </is>
      </c>
      <c r="F1714" s="83">
        <f>BDP("AMAT US Equity","BEST_EBIT","BEST_FPERIOD_OVERRIDE","24Y")</f>
        <v/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25Y</t>
        </is>
      </c>
      <c r="E1715" t="inlineStr">
        <is>
          <t>EPS estimate FY2025</t>
        </is>
      </c>
      <c r="F1715" s="83">
        <f>BDP("AMAT US Equity","BEST_EPS","BEST_FPERIOD_OVERRIDE","25Y")</f>
        <v/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25Y</t>
        </is>
      </c>
      <c r="E1716" t="inlineStr">
        <is>
          <t>Revenue estimate FY2025</t>
        </is>
      </c>
      <c r="F1716" s="83">
        <f>BDP("AMAT US Equity","BEST_SALES","BEST_FPERIOD_OVERRIDE","25Y")</f>
        <v/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25Y</t>
        </is>
      </c>
      <c r="E1717" t="inlineStr">
        <is>
          <t>EBIT estimate FY2025</t>
        </is>
      </c>
      <c r="F1717" s="83">
        <f>BDP("AMAT US Equity","BEST_EBIT","BEST_FPERIOD_OVERRIDE","25Y")</f>
        <v/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26Y</t>
        </is>
      </c>
      <c r="E1718" t="inlineStr">
        <is>
          <t>EPS estimate FY2026</t>
        </is>
      </c>
      <c r="F1718" s="83">
        <f>BDP("AMAT US Equity","BEST_EPS","BEST_FPERIOD_OVERRIDE","26Y")</f>
        <v/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26Y</t>
        </is>
      </c>
      <c r="E1719" t="inlineStr">
        <is>
          <t>Revenue estimate FY2026</t>
        </is>
      </c>
      <c r="F1719" s="83">
        <f>BDP("AMAT US Equity","BEST_SALES","BEST_FPERIOD_OVERRIDE","26Y")</f>
        <v/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26Y</t>
        </is>
      </c>
      <c r="E1720" t="inlineStr">
        <is>
          <t>EBIT estimate FY2026</t>
        </is>
      </c>
      <c r="F1720" s="83">
        <f>BDP("AMAT US Equity","BEST_EBIT","BEST_FPERIOD_OVERRIDE","26Y")</f>
        <v/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27Y</t>
        </is>
      </c>
      <c r="E1721" t="inlineStr">
        <is>
          <t>EPS estimate FY2027</t>
        </is>
      </c>
      <c r="F1721" s="83">
        <f>BDP("AMAT US Equity","BEST_EPS","BEST_FPERIOD_OVERRIDE","27Y")</f>
        <v/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27Y</t>
        </is>
      </c>
      <c r="E1722" t="inlineStr">
        <is>
          <t>Revenue estimate FY2027</t>
        </is>
      </c>
      <c r="F1722" s="83">
        <f>BDP("AMAT US Equity","BEST_SALES","BEST_FPERIOD_OVERRIDE","27Y")</f>
        <v/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27Y</t>
        </is>
      </c>
      <c r="E1723" t="inlineStr">
        <is>
          <t>EBIT estimate FY2027</t>
        </is>
      </c>
      <c r="F1723" s="83">
        <f>BDP("AMAT US Equity","BEST_EBIT","BEST_FPERIOD_OVERRIDE","27Y")</f>
        <v/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28Y</t>
        </is>
      </c>
      <c r="E1724" t="inlineStr">
        <is>
          <t>EPS estimate FY2028</t>
        </is>
      </c>
      <c r="F1724" s="83">
        <f>BDP("AMAT US Equity","BEST_EPS","BEST_FPERIOD_OVERRIDE","28Y")</f>
        <v/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28Y</t>
        </is>
      </c>
      <c r="E1725" t="inlineStr">
        <is>
          <t>Revenue estimate FY2028</t>
        </is>
      </c>
      <c r="F1725" s="83">
        <f>BDP("AMAT US Equity","BEST_SALES","BEST_FPERIOD_OVERRIDE","28Y")</f>
        <v/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28Y</t>
        </is>
      </c>
      <c r="E1726" t="inlineStr">
        <is>
          <t>EBIT estimate FY2028</t>
        </is>
      </c>
      <c r="F1726" s="83">
        <f>BDP("AMAT US Equity","BEST_EBIT","BEST_FPERIOD_OVERRIDE","28Y")</f>
        <v/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E1727" t="inlineStr">
        <is>
          <t>Last price</t>
        </is>
      </c>
      <c r="F1727" s="83">
        <f>BDP("LRCX US Equity","PX_LAST")</f>
        <v/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E1728" t="inlineStr">
        <is>
          <t>Market cap (raw)</t>
        </is>
      </c>
      <c r="F1728" s="83">
        <f>BDP("LRCX US Equity","CUR_MKT_CAP")</f>
        <v/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E1729" t="inlineStr">
        <is>
          <t>YTD price change %</t>
        </is>
      </c>
      <c r="F1729" s="83">
        <f>BDP("LRCX US Equity","CHG_PCT_YTD")</f>
        <v/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E1730" t="inlineStr">
        <is>
          <t>Net debt / EBITDA</t>
        </is>
      </c>
      <c r="F1730" s="83">
        <f>BDP("LRCX US Equity","NET_DEBT_TO_EBITDA")</f>
        <v/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E1731" t="inlineStr">
        <is>
          <t>ROIC (LTM)</t>
        </is>
      </c>
      <c r="F1731" s="83">
        <f>BDP("LRCX US Equity","RETURN_ON_INV_CAPITAL")</f>
        <v/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E1732" t="inlineStr">
        <is>
          <t>LTM operating income</t>
        </is>
      </c>
      <c r="F1732" s="83">
        <f>BDP("LRCX US Equity","TRAIL_12M_OPER_INC")</f>
        <v/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E1733" t="inlineStr">
        <is>
          <t>LTM EBITDA</t>
        </is>
      </c>
      <c r="F1733" s="83">
        <f>BDP("LRCX US Equity","TRAIL_12M_EBITDA")</f>
        <v/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E1734" t="inlineStr">
        <is>
          <t>Total debt</t>
        </is>
      </c>
      <c r="F1734" s="83">
        <f>BDP("LRCX US Equity","SHORT_AND_LONG_TERM_DEBT")</f>
        <v/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E1735" t="inlineStr">
        <is>
          <t>Total equity</t>
        </is>
      </c>
      <c r="F1735" s="83">
        <f>BDP("LRCX US Equity","TOTAL_EQUITY")</f>
        <v/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E1736" t="inlineStr">
        <is>
          <t>Cash &amp; equivalents</t>
        </is>
      </c>
      <c r="F1736" s="83">
        <f>BDP("LRCX US Equity","BS_CASH_NEAR_CASH_ITEM")</f>
        <v/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24Y</t>
        </is>
      </c>
      <c r="E1737" t="inlineStr">
        <is>
          <t>EPS estimate FY2024</t>
        </is>
      </c>
      <c r="F1737" s="83">
        <f>BDP("LRCX US Equity","BEST_EPS","BEST_FPERIOD_OVERRIDE","24Y")</f>
        <v/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24Y</t>
        </is>
      </c>
      <c r="E1738" t="inlineStr">
        <is>
          <t>Revenue estimate FY2024</t>
        </is>
      </c>
      <c r="F1738" s="83">
        <f>BDP("LRCX US Equity","BEST_SALES","BEST_FPERIOD_OVERRIDE","24Y")</f>
        <v/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24Y</t>
        </is>
      </c>
      <c r="E1739" t="inlineStr">
        <is>
          <t>EBIT estimate FY2024</t>
        </is>
      </c>
      <c r="F1739" s="83">
        <f>BDP("LRCX US Equity","BEST_EBIT","BEST_FPERIOD_OVERRIDE","24Y")</f>
        <v/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25Y</t>
        </is>
      </c>
      <c r="E1740" t="inlineStr">
        <is>
          <t>EPS estimate FY2025</t>
        </is>
      </c>
      <c r="F1740" s="83">
        <f>BDP("LRCX US Equity","BEST_EPS","BEST_FPERIOD_OVERRIDE","25Y")</f>
        <v/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25Y</t>
        </is>
      </c>
      <c r="E1741" t="inlineStr">
        <is>
          <t>Revenue estimate FY2025</t>
        </is>
      </c>
      <c r="F1741" s="83">
        <f>BDP("LRCX US Equity","BEST_SALES","BEST_FPERIOD_OVERRIDE","25Y")</f>
        <v/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25Y</t>
        </is>
      </c>
      <c r="E1742" t="inlineStr">
        <is>
          <t>EBIT estimate FY2025</t>
        </is>
      </c>
      <c r="F1742" s="83">
        <f>BDP("LRCX US Equity","BEST_EBIT","BEST_FPERIOD_OVERRIDE","25Y")</f>
        <v/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26Y</t>
        </is>
      </c>
      <c r="E1743" t="inlineStr">
        <is>
          <t>EPS estimate FY2026</t>
        </is>
      </c>
      <c r="F1743" s="83">
        <f>BDP("LRCX US Equity","BEST_EPS","BEST_FPERIOD_OVERRIDE","26Y")</f>
        <v/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26Y</t>
        </is>
      </c>
      <c r="E1744" t="inlineStr">
        <is>
          <t>Revenue estimate FY2026</t>
        </is>
      </c>
      <c r="F1744" s="83">
        <f>BDP("LRCX US Equity","BEST_SALES","BEST_FPERIOD_OVERRIDE","26Y")</f>
        <v/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26Y</t>
        </is>
      </c>
      <c r="E1745" t="inlineStr">
        <is>
          <t>EBIT estimate FY2026</t>
        </is>
      </c>
      <c r="F1745" s="83">
        <f>BDP("LRCX US Equity","BEST_EBIT","BEST_FPERIOD_OVERRIDE","26Y")</f>
        <v/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27Y</t>
        </is>
      </c>
      <c r="E1746" t="inlineStr">
        <is>
          <t>EPS estimate FY2027</t>
        </is>
      </c>
      <c r="F1746" s="83">
        <f>BDP("LRCX US Equity","BEST_EPS","BEST_FPERIOD_OVERRIDE","27Y")</f>
        <v/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27Y</t>
        </is>
      </c>
      <c r="E1747" t="inlineStr">
        <is>
          <t>Revenue estimate FY2027</t>
        </is>
      </c>
      <c r="F1747" s="83">
        <f>BDP("LRCX US Equity","BEST_SALES","BEST_FPERIOD_OVERRIDE","27Y")</f>
        <v/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27Y</t>
        </is>
      </c>
      <c r="E1748" t="inlineStr">
        <is>
          <t>EBIT estimate FY2027</t>
        </is>
      </c>
      <c r="F1748" s="83">
        <f>BDP("LRCX US Equity","BEST_EBIT","BEST_FPERIOD_OVERRIDE","27Y")</f>
        <v/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28Y</t>
        </is>
      </c>
      <c r="E1749" t="inlineStr">
        <is>
          <t>EPS estimate FY2028</t>
        </is>
      </c>
      <c r="F1749" s="83">
        <f>BDP("LRCX US Equity","BEST_EPS","BEST_FPERIOD_OVERRIDE","28Y")</f>
        <v/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28Y</t>
        </is>
      </c>
      <c r="E1750" t="inlineStr">
        <is>
          <t>Revenue estimate FY2028</t>
        </is>
      </c>
      <c r="F1750" s="83">
        <f>BDP("LRCX US Equity","BEST_SALES","BEST_FPERIOD_OVERRIDE","28Y")</f>
        <v/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28Y</t>
        </is>
      </c>
      <c r="E1751" t="inlineStr">
        <is>
          <t>EBIT estimate FY2028</t>
        </is>
      </c>
      <c r="F1751" s="83">
        <f>BDP("LRCX US Equity","BEST_EBIT","BEST_FPERIOD_OVERRIDE","28Y")</f>
        <v/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E1752" t="inlineStr">
        <is>
          <t>Last price</t>
        </is>
      </c>
      <c r="F1752" s="83">
        <f>BDP("TXN US Equity","PX_LAST")</f>
        <v/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E1753" t="inlineStr">
        <is>
          <t>Market cap (raw)</t>
        </is>
      </c>
      <c r="F1753" s="83">
        <f>BDP("TXN US Equity","CUR_MKT_CAP")</f>
        <v/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E1754" t="inlineStr">
        <is>
          <t>YTD price change %</t>
        </is>
      </c>
      <c r="F1754" s="83">
        <f>BDP("TXN US Equity","CHG_PCT_YTD")</f>
        <v/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E1755" t="inlineStr">
        <is>
          <t>Net debt / EBITDA</t>
        </is>
      </c>
      <c r="F1755" s="83">
        <f>BDP("TXN US Equity","NET_DEBT_TO_EBITDA")</f>
        <v/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E1756" t="inlineStr">
        <is>
          <t>ROIC (LTM)</t>
        </is>
      </c>
      <c r="F1756" s="83">
        <f>BDP("TXN US Equity","RETURN_ON_INV_CAPITAL")</f>
        <v/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E1757" t="inlineStr">
        <is>
          <t>LTM operating income</t>
        </is>
      </c>
      <c r="F1757" s="83">
        <f>BDP("TXN US Equity","TRAIL_12M_OPER_INC")</f>
        <v/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E1758" t="inlineStr">
        <is>
          <t>LTM EBITDA</t>
        </is>
      </c>
      <c r="F1758" s="83">
        <f>BDP("TXN US Equity","TRAIL_12M_EBITDA")</f>
        <v/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E1759" t="inlineStr">
        <is>
          <t>Total debt</t>
        </is>
      </c>
      <c r="F1759" s="83">
        <f>BDP("TXN US Equity","SHORT_AND_LONG_TERM_DEBT")</f>
        <v/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E1760" t="inlineStr">
        <is>
          <t>Total equity</t>
        </is>
      </c>
      <c r="F1760" s="83">
        <f>BDP("TXN US Equity","TOTAL_EQUITY")</f>
        <v/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E1761" t="inlineStr">
        <is>
          <t>Cash &amp; equivalents</t>
        </is>
      </c>
      <c r="F1761" s="83">
        <f>BDP("TXN US Equity","BS_CASH_NEAR_CASH_ITEM")</f>
        <v/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24Y</t>
        </is>
      </c>
      <c r="E1762" t="inlineStr">
        <is>
          <t>EPS estimate FY2024</t>
        </is>
      </c>
      <c r="F1762" s="83">
        <f>BDP("TXN US Equity","BEST_EPS","BEST_FPERIOD_OVERRIDE","24Y")</f>
        <v/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24Y</t>
        </is>
      </c>
      <c r="E1763" t="inlineStr">
        <is>
          <t>Revenue estimate FY2024</t>
        </is>
      </c>
      <c r="F1763" s="83">
        <f>BDP("TXN US Equity","BEST_SALES","BEST_FPERIOD_OVERRIDE","24Y")</f>
        <v/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24Y</t>
        </is>
      </c>
      <c r="E1764" t="inlineStr">
        <is>
          <t>EBIT estimate FY2024</t>
        </is>
      </c>
      <c r="F1764" s="83">
        <f>BDP("TXN US Equity","BEST_EBIT","BEST_FPERIOD_OVERRIDE","24Y")</f>
        <v/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25Y</t>
        </is>
      </c>
      <c r="E1765" t="inlineStr">
        <is>
          <t>EPS estimate FY2025</t>
        </is>
      </c>
      <c r="F1765" s="83">
        <f>BDP("TXN US Equity","BEST_EPS","BEST_FPERIOD_OVERRIDE","25Y")</f>
        <v/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25Y</t>
        </is>
      </c>
      <c r="E1766" t="inlineStr">
        <is>
          <t>Revenue estimate FY2025</t>
        </is>
      </c>
      <c r="F1766" s="83">
        <f>BDP("TXN US Equity","BEST_SALES","BEST_FPERIOD_OVERRIDE","25Y")</f>
        <v/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25Y</t>
        </is>
      </c>
      <c r="E1767" t="inlineStr">
        <is>
          <t>EBIT estimate FY2025</t>
        </is>
      </c>
      <c r="F1767" s="83">
        <f>BDP("TXN US Equity","BEST_EBIT","BEST_FPERIOD_OVERRIDE","25Y")</f>
        <v/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26Y</t>
        </is>
      </c>
      <c r="E1768" t="inlineStr">
        <is>
          <t>EPS estimate FY2026</t>
        </is>
      </c>
      <c r="F1768" s="83">
        <f>BDP("TXN US Equity","BEST_EPS","BEST_FPERIOD_OVERRIDE","26Y")</f>
        <v/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26Y</t>
        </is>
      </c>
      <c r="E1769" t="inlineStr">
        <is>
          <t>Revenue estimate FY2026</t>
        </is>
      </c>
      <c r="F1769" s="83">
        <f>BDP("TXN US Equity","BEST_SALES","BEST_FPERIOD_OVERRIDE","26Y")</f>
        <v/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26Y</t>
        </is>
      </c>
      <c r="E1770" t="inlineStr">
        <is>
          <t>EBIT estimate FY2026</t>
        </is>
      </c>
      <c r="F1770" s="83">
        <f>BDP("TXN US Equity","BEST_EBIT","BEST_FPERIOD_OVERRIDE","26Y")</f>
        <v/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27Y</t>
        </is>
      </c>
      <c r="E1771" t="inlineStr">
        <is>
          <t>EPS estimate FY2027</t>
        </is>
      </c>
      <c r="F1771" s="83">
        <f>BDP("TXN US Equity","BEST_EPS","BEST_FPERIOD_OVERRIDE","27Y")</f>
        <v/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27Y</t>
        </is>
      </c>
      <c r="E1772" t="inlineStr">
        <is>
          <t>Revenue estimate FY2027</t>
        </is>
      </c>
      <c r="F1772" s="83">
        <f>BDP("TXN US Equity","BEST_SALES","BEST_FPERIOD_OVERRIDE","27Y")</f>
        <v/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27Y</t>
        </is>
      </c>
      <c r="E1773" t="inlineStr">
        <is>
          <t>EBIT estimate FY2027</t>
        </is>
      </c>
      <c r="F1773" s="83">
        <f>BDP("TXN US Equity","BEST_EBIT","BEST_FPERIOD_OVERRIDE","27Y")</f>
        <v/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28Y</t>
        </is>
      </c>
      <c r="E1774" t="inlineStr">
        <is>
          <t>EPS estimate FY2028</t>
        </is>
      </c>
      <c r="F1774" s="83">
        <f>BDP("TXN US Equity","BEST_EPS","BEST_FPERIOD_OVERRIDE","28Y")</f>
        <v/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28Y</t>
        </is>
      </c>
      <c r="E1775" t="inlineStr">
        <is>
          <t>Revenue estimate FY2028</t>
        </is>
      </c>
      <c r="F1775" s="83">
        <f>BDP("TXN US Equity","BEST_SALES","BEST_FPERIOD_OVERRIDE","28Y")</f>
        <v/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28Y</t>
        </is>
      </c>
      <c r="E1776" t="inlineStr">
        <is>
          <t>EBIT estimate FY2028</t>
        </is>
      </c>
      <c r="F1776" s="83">
        <f>BDP("TXN US Equity","BEST_EBIT","BEST_FPERIOD_OVERRIDE","28Y")</f>
        <v/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E1777" t="inlineStr">
        <is>
          <t>Last price</t>
        </is>
      </c>
      <c r="F1777" s="83">
        <f>BDP("GOOG US Equity","PX_LAST")</f>
        <v/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E1778" t="inlineStr">
        <is>
          <t>Market cap (raw)</t>
        </is>
      </c>
      <c r="F1778" s="83">
        <f>BDP("GOOG US Equity","CUR_MKT_CAP")</f>
        <v/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E1779" t="inlineStr">
        <is>
          <t>YTD price change %</t>
        </is>
      </c>
      <c r="F1779" s="83">
        <f>BDP("GOOG US Equity","CHG_PCT_YTD")</f>
        <v/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E1780" t="inlineStr">
        <is>
          <t>Net debt / EBITDA</t>
        </is>
      </c>
      <c r="F1780" s="83">
        <f>BDP("GOOG US Equity","NET_DEBT_TO_EBITDA")</f>
        <v/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E1781" t="inlineStr">
        <is>
          <t>ROIC (LTM)</t>
        </is>
      </c>
      <c r="F1781" s="83">
        <f>BDP("GOOG US Equity","RETURN_ON_INV_CAPITAL")</f>
        <v/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E1782" t="inlineStr">
        <is>
          <t>LTM operating income</t>
        </is>
      </c>
      <c r="F1782" s="83">
        <f>BDP("GOOG US Equity","TRAIL_12M_OPER_INC")</f>
        <v/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E1783" t="inlineStr">
        <is>
          <t>LTM EBITDA</t>
        </is>
      </c>
      <c r="F1783" s="83">
        <f>BDP("GOOG US Equity","TRAIL_12M_EBITDA")</f>
        <v/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E1784" t="inlineStr">
        <is>
          <t>Total debt</t>
        </is>
      </c>
      <c r="F1784" s="83">
        <f>BDP("GOOG US Equity","SHORT_AND_LONG_TERM_DEBT")</f>
        <v/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E1785" t="inlineStr">
        <is>
          <t>Total equity</t>
        </is>
      </c>
      <c r="F1785" s="83">
        <f>BDP("GOOG US Equity","TOTAL_EQUITY")</f>
        <v/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E1786" t="inlineStr">
        <is>
          <t>Cash &amp; equivalents</t>
        </is>
      </c>
      <c r="F1786" s="83">
        <f>BDP("GOOG US Equity","BS_CASH_NEAR_CASH_ITEM")</f>
        <v/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24Y</t>
        </is>
      </c>
      <c r="E1787" t="inlineStr">
        <is>
          <t>EPS estimate FY2024</t>
        </is>
      </c>
      <c r="F1787" s="83">
        <f>BDP("GOOG US Equity","BEST_EPS","BEST_FPERIOD_OVERRIDE","24Y")</f>
        <v/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24Y</t>
        </is>
      </c>
      <c r="E1788" t="inlineStr">
        <is>
          <t>Revenue estimate FY2024</t>
        </is>
      </c>
      <c r="F1788" s="83">
        <f>BDP("GOOG US Equity","BEST_SALES","BEST_FPERIOD_OVERRIDE","24Y")</f>
        <v/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24Y</t>
        </is>
      </c>
      <c r="E1789" t="inlineStr">
        <is>
          <t>EBIT estimate FY2024</t>
        </is>
      </c>
      <c r="F1789" s="83">
        <f>BDP("GOOG US Equity","BEST_EBIT","BEST_FPERIOD_OVERRIDE","24Y")</f>
        <v/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25Y</t>
        </is>
      </c>
      <c r="E1790" t="inlineStr">
        <is>
          <t>EPS estimate FY2025</t>
        </is>
      </c>
      <c r="F1790" s="83">
        <f>BDP("GOOG US Equity","BEST_EPS","BEST_FPERIOD_OVERRIDE","25Y")</f>
        <v/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25Y</t>
        </is>
      </c>
      <c r="E1791" t="inlineStr">
        <is>
          <t>Revenue estimate FY2025</t>
        </is>
      </c>
      <c r="F1791" s="83">
        <f>BDP("GOOG US Equity","BEST_SALES","BEST_FPERIOD_OVERRIDE","25Y")</f>
        <v/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25Y</t>
        </is>
      </c>
      <c r="E1792" t="inlineStr">
        <is>
          <t>EBIT estimate FY2025</t>
        </is>
      </c>
      <c r="F1792" s="83">
        <f>BDP("GOOG US Equity","BEST_EBIT","BEST_FPERIOD_OVERRIDE","25Y")</f>
        <v/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26Y</t>
        </is>
      </c>
      <c r="E1793" t="inlineStr">
        <is>
          <t>EPS estimate FY2026</t>
        </is>
      </c>
      <c r="F1793" s="83">
        <f>BDP("GOOG US Equity","BEST_EPS","BEST_FPERIOD_OVERRIDE","26Y")</f>
        <v/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26Y</t>
        </is>
      </c>
      <c r="E1794" t="inlineStr">
        <is>
          <t>Revenue estimate FY2026</t>
        </is>
      </c>
      <c r="F1794" s="83">
        <f>BDP("GOOG US Equity","BEST_SALES","BEST_FPERIOD_OVERRIDE","26Y")</f>
        <v/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26Y</t>
        </is>
      </c>
      <c r="E1795" t="inlineStr">
        <is>
          <t>EBIT estimate FY2026</t>
        </is>
      </c>
      <c r="F1795" s="83">
        <f>BDP("GOOG US Equity","BEST_EBIT","BEST_FPERIOD_OVERRIDE","26Y")</f>
        <v/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27Y</t>
        </is>
      </c>
      <c r="E1796" t="inlineStr">
        <is>
          <t>EPS estimate FY2027</t>
        </is>
      </c>
      <c r="F1796" s="83">
        <f>BDP("GOOG US Equity","BEST_EPS","BEST_FPERIOD_OVERRIDE","27Y")</f>
        <v/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27Y</t>
        </is>
      </c>
      <c r="E1797" t="inlineStr">
        <is>
          <t>Revenue estimate FY2027</t>
        </is>
      </c>
      <c r="F1797" s="83">
        <f>BDP("GOOG US Equity","BEST_SALES","BEST_FPERIOD_OVERRIDE","27Y")</f>
        <v/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27Y</t>
        </is>
      </c>
      <c r="E1798" t="inlineStr">
        <is>
          <t>EBIT estimate FY2027</t>
        </is>
      </c>
      <c r="F1798" s="83">
        <f>BDP("GOOG US Equity","BEST_EBIT","BEST_FPERIOD_OVERRIDE","27Y")</f>
        <v/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28Y</t>
        </is>
      </c>
      <c r="E1799" t="inlineStr">
        <is>
          <t>EPS estimate FY2028</t>
        </is>
      </c>
      <c r="F1799" s="83">
        <f>BDP("GOOG US Equity","BEST_EPS","BEST_FPERIOD_OVERRIDE","28Y")</f>
        <v/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28Y</t>
        </is>
      </c>
      <c r="E1800" t="inlineStr">
        <is>
          <t>Revenue estimate FY2028</t>
        </is>
      </c>
      <c r="F1800" s="83">
        <f>BDP("GOOG US Equity","BEST_SALES","BEST_FPERIOD_OVERRIDE","28Y")</f>
        <v/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28Y</t>
        </is>
      </c>
      <c r="E1801" t="inlineStr">
        <is>
          <t>EBIT estimate FY2028</t>
        </is>
      </c>
      <c r="F1801" s="83">
        <f>BDP("GOOG US Equity","BEST_EBIT","BEST_FPERIOD_OVERRIDE","28Y")</f>
        <v/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E1802" t="inlineStr">
        <is>
          <t>Last price</t>
        </is>
      </c>
      <c r="F1802" s="83">
        <f>BDP("GWRE US Equity","PX_LAST")</f>
        <v/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E1803" t="inlineStr">
        <is>
          <t>Market cap (raw)</t>
        </is>
      </c>
      <c r="F1803" s="83">
        <f>BDP("GWRE US Equity","CUR_MKT_CAP")</f>
        <v/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E1804" t="inlineStr">
        <is>
          <t>YTD price change %</t>
        </is>
      </c>
      <c r="F1804" s="83">
        <f>BDP("GWRE US Equity","CHG_PCT_YTD")</f>
        <v/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E1805" t="inlineStr">
        <is>
          <t>Net debt / EBITDA</t>
        </is>
      </c>
      <c r="F1805" s="83">
        <f>BDP("GWRE US Equity","NET_DEBT_TO_EBITDA")</f>
        <v/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E1806" t="inlineStr">
        <is>
          <t>ROIC (LTM)</t>
        </is>
      </c>
      <c r="F1806" s="83">
        <f>BDP("GWRE US Equity","RETURN_ON_INV_CAPITAL")</f>
        <v/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E1807" t="inlineStr">
        <is>
          <t>LTM operating income</t>
        </is>
      </c>
      <c r="F1807" s="83">
        <f>BDP("GWRE US Equity","TRAIL_12M_OPER_INC")</f>
        <v/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E1808" t="inlineStr">
        <is>
          <t>LTM EBITDA</t>
        </is>
      </c>
      <c r="F1808" s="83">
        <f>BDP("GWRE US Equity","TRAIL_12M_EBITDA")</f>
        <v/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E1809" t="inlineStr">
        <is>
          <t>Total debt</t>
        </is>
      </c>
      <c r="F1809" s="83">
        <f>BDP("GWRE US Equity","SHORT_AND_LONG_TERM_DEBT")</f>
        <v/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E1810" t="inlineStr">
        <is>
          <t>Total equity</t>
        </is>
      </c>
      <c r="F1810" s="83">
        <f>BDP("GWRE US Equity","TOTAL_EQUITY")</f>
        <v/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E1811" t="inlineStr">
        <is>
          <t>Cash &amp; equivalents</t>
        </is>
      </c>
      <c r="F1811" s="83">
        <f>BDP("GWRE US Equity","BS_CASH_NEAR_CASH_ITEM")</f>
        <v/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24Y</t>
        </is>
      </c>
      <c r="E1812" t="inlineStr">
        <is>
          <t>EPS estimate FY2024</t>
        </is>
      </c>
      <c r="F1812" s="83">
        <f>BDP("GWRE US Equity","BEST_EPS","BEST_FPERIOD_OVERRIDE","24Y")</f>
        <v/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24Y</t>
        </is>
      </c>
      <c r="E1813" t="inlineStr">
        <is>
          <t>Revenue estimate FY2024</t>
        </is>
      </c>
      <c r="F1813" s="83">
        <f>BDP("GWRE US Equity","BEST_SALES","BEST_FPERIOD_OVERRIDE","24Y")</f>
        <v/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24Y</t>
        </is>
      </c>
      <c r="E1814" t="inlineStr">
        <is>
          <t>EBIT estimate FY2024</t>
        </is>
      </c>
      <c r="F1814" s="83">
        <f>BDP("GWRE US Equity","BEST_EBIT","BEST_FPERIOD_OVERRIDE","24Y")</f>
        <v/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25Y</t>
        </is>
      </c>
      <c r="E1815" t="inlineStr">
        <is>
          <t>EPS estimate FY2025</t>
        </is>
      </c>
      <c r="F1815" s="83">
        <f>BDP("GWRE US Equity","BEST_EPS","BEST_FPERIOD_OVERRIDE","25Y")</f>
        <v/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25Y</t>
        </is>
      </c>
      <c r="E1816" t="inlineStr">
        <is>
          <t>Revenue estimate FY2025</t>
        </is>
      </c>
      <c r="F1816" s="83">
        <f>BDP("GWRE US Equity","BEST_SALES","BEST_FPERIOD_OVERRIDE","25Y")</f>
        <v/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25Y</t>
        </is>
      </c>
      <c r="E1817" t="inlineStr">
        <is>
          <t>EBIT estimate FY2025</t>
        </is>
      </c>
      <c r="F1817" s="83">
        <f>BDP("GWRE US Equity","BEST_EBIT","BEST_FPERIOD_OVERRIDE","25Y")</f>
        <v/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26Y</t>
        </is>
      </c>
      <c r="E1818" t="inlineStr">
        <is>
          <t>EPS estimate FY2026</t>
        </is>
      </c>
      <c r="F1818" s="83">
        <f>BDP("GWRE US Equity","BEST_EPS","BEST_FPERIOD_OVERRIDE","26Y")</f>
        <v/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26Y</t>
        </is>
      </c>
      <c r="E1819" t="inlineStr">
        <is>
          <t>Revenue estimate FY2026</t>
        </is>
      </c>
      <c r="F1819" s="83">
        <f>BDP("GWRE US Equity","BEST_SALES","BEST_FPERIOD_OVERRIDE","26Y")</f>
        <v/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26Y</t>
        </is>
      </c>
      <c r="E1820" t="inlineStr">
        <is>
          <t>EBIT estimate FY2026</t>
        </is>
      </c>
      <c r="F1820" s="83">
        <f>BDP("GWRE US Equity","BEST_EBIT","BEST_FPERIOD_OVERRIDE","26Y")</f>
        <v/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27Y</t>
        </is>
      </c>
      <c r="E1821" t="inlineStr">
        <is>
          <t>EPS estimate FY2027</t>
        </is>
      </c>
      <c r="F1821" s="83">
        <f>BDP("GWRE US Equity","BEST_EPS","BEST_FPERIOD_OVERRIDE","27Y")</f>
        <v/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27Y</t>
        </is>
      </c>
      <c r="E1822" t="inlineStr">
        <is>
          <t>Revenue estimate FY2027</t>
        </is>
      </c>
      <c r="F1822" s="83">
        <f>BDP("GWRE US Equity","BEST_SALES","BEST_FPERIOD_OVERRIDE","27Y")</f>
        <v/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27Y</t>
        </is>
      </c>
      <c r="E1823" t="inlineStr">
        <is>
          <t>EBIT estimate FY2027</t>
        </is>
      </c>
      <c r="F1823" s="83">
        <f>BDP("GWRE US Equity","BEST_EBIT","BEST_FPERIOD_OVERRIDE","27Y")</f>
        <v/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28Y</t>
        </is>
      </c>
      <c r="E1824" t="inlineStr">
        <is>
          <t>EPS estimate FY2028</t>
        </is>
      </c>
      <c r="F1824" s="83">
        <f>BDP("GWRE US Equity","BEST_EPS","BEST_FPERIOD_OVERRIDE","28Y")</f>
        <v/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28Y</t>
        </is>
      </c>
      <c r="E1825" t="inlineStr">
        <is>
          <t>Revenue estimate FY2028</t>
        </is>
      </c>
      <c r="F1825" s="83">
        <f>BDP("GWRE US Equity","BEST_SALES","BEST_FPERIOD_OVERRIDE","28Y")</f>
        <v/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28Y</t>
        </is>
      </c>
      <c r="E1826" t="inlineStr">
        <is>
          <t>EBIT estimate FY2028</t>
        </is>
      </c>
      <c r="F1826" s="83">
        <f>BDP("GWRE US Equity","BEST_EBIT","BEST_FPERIOD_OVERRIDE","28Y")</f>
        <v/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E1827" t="inlineStr">
        <is>
          <t>Last price</t>
        </is>
      </c>
      <c r="F1827" s="83">
        <f>BDP("VEEV US Equity","PX_LAST")</f>
        <v/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E1828" t="inlineStr">
        <is>
          <t>Market cap (raw)</t>
        </is>
      </c>
      <c r="F1828" s="83">
        <f>BDP("VEEV US Equity","CUR_MKT_CAP")</f>
        <v/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E1829" t="inlineStr">
        <is>
          <t>YTD price change %</t>
        </is>
      </c>
      <c r="F1829" s="83">
        <f>BDP("VEEV US Equity","CHG_PCT_YTD")</f>
        <v/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E1830" t="inlineStr">
        <is>
          <t>Net debt / EBITDA</t>
        </is>
      </c>
      <c r="F1830" s="83">
        <f>BDP("VEEV US Equity","NET_DEBT_TO_EBITDA")</f>
        <v/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E1831" t="inlineStr">
        <is>
          <t>ROIC (LTM)</t>
        </is>
      </c>
      <c r="F1831" s="83">
        <f>BDP("VEEV US Equity","RETURN_ON_INV_CAPITAL")</f>
        <v/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E1832" t="inlineStr">
        <is>
          <t>LTM operating income</t>
        </is>
      </c>
      <c r="F1832" s="83">
        <f>BDP("VEEV US Equity","TRAIL_12M_OPER_INC")</f>
        <v/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E1833" t="inlineStr">
        <is>
          <t>LTM EBITDA</t>
        </is>
      </c>
      <c r="F1833" s="83">
        <f>BDP("VEEV US Equity","TRAIL_12M_EBITDA")</f>
        <v/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E1834" t="inlineStr">
        <is>
          <t>Total debt</t>
        </is>
      </c>
      <c r="F1834" s="83">
        <f>BDP("VEEV US Equity","SHORT_AND_LONG_TERM_DEBT")</f>
        <v/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E1835" t="inlineStr">
        <is>
          <t>Total equity</t>
        </is>
      </c>
      <c r="F1835" s="83">
        <f>BDP("VEEV US Equity","TOTAL_EQUITY")</f>
        <v/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E1836" t="inlineStr">
        <is>
          <t>Cash &amp; equivalents</t>
        </is>
      </c>
      <c r="F1836" s="83">
        <f>BDP("VEEV US Equity","BS_CASH_NEAR_CASH_ITEM")</f>
        <v/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24Y</t>
        </is>
      </c>
      <c r="E1837" t="inlineStr">
        <is>
          <t>EPS estimate FY2024</t>
        </is>
      </c>
      <c r="F1837" s="83">
        <f>BDP("VEEV US Equity","BEST_EPS","BEST_FPERIOD_OVERRIDE","24Y")</f>
        <v/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24Y</t>
        </is>
      </c>
      <c r="E1838" t="inlineStr">
        <is>
          <t>Revenue estimate FY2024</t>
        </is>
      </c>
      <c r="F1838" s="83">
        <f>BDP("VEEV US Equity","BEST_SALES","BEST_FPERIOD_OVERRIDE","24Y")</f>
        <v/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24Y</t>
        </is>
      </c>
      <c r="E1839" t="inlineStr">
        <is>
          <t>EBIT estimate FY2024</t>
        </is>
      </c>
      <c r="F1839" s="83">
        <f>BDP("VEEV US Equity","BEST_EBIT","BEST_FPERIOD_OVERRIDE","24Y")</f>
        <v/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25Y</t>
        </is>
      </c>
      <c r="E1840" t="inlineStr">
        <is>
          <t>EPS estimate FY2025</t>
        </is>
      </c>
      <c r="F1840" s="83">
        <f>BDP("VEEV US Equity","BEST_EPS","BEST_FPERIOD_OVERRIDE","25Y")</f>
        <v/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25Y</t>
        </is>
      </c>
      <c r="E1841" t="inlineStr">
        <is>
          <t>Revenue estimate FY2025</t>
        </is>
      </c>
      <c r="F1841" s="83">
        <f>BDP("VEEV US Equity","BEST_SALES","BEST_FPERIOD_OVERRIDE","25Y")</f>
        <v/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25Y</t>
        </is>
      </c>
      <c r="E1842" t="inlineStr">
        <is>
          <t>EBIT estimate FY2025</t>
        </is>
      </c>
      <c r="F1842" s="83">
        <f>BDP("VEEV US Equity","BEST_EBIT","BEST_FPERIOD_OVERRIDE","25Y")</f>
        <v/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26Y</t>
        </is>
      </c>
      <c r="E1843" t="inlineStr">
        <is>
          <t>EPS estimate FY2026</t>
        </is>
      </c>
      <c r="F1843" s="83">
        <f>BDP("VEEV US Equity","BEST_EPS","BEST_FPERIOD_OVERRIDE","26Y")</f>
        <v/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26Y</t>
        </is>
      </c>
      <c r="E1844" t="inlineStr">
        <is>
          <t>Revenue estimate FY2026</t>
        </is>
      </c>
      <c r="F1844" s="83">
        <f>BDP("VEEV US Equity","BEST_SALES","BEST_FPERIOD_OVERRIDE","26Y")</f>
        <v/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26Y</t>
        </is>
      </c>
      <c r="E1845" t="inlineStr">
        <is>
          <t>EBIT estimate FY2026</t>
        </is>
      </c>
      <c r="F1845" s="83">
        <f>BDP("VEEV US Equity","BEST_EBIT","BEST_FPERIOD_OVERRIDE","26Y")</f>
        <v/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27Y</t>
        </is>
      </c>
      <c r="E1846" t="inlineStr">
        <is>
          <t>EPS estimate FY2027</t>
        </is>
      </c>
      <c r="F1846" s="83">
        <f>BDP("VEEV US Equity","BEST_EPS","BEST_FPERIOD_OVERRIDE","27Y")</f>
        <v/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27Y</t>
        </is>
      </c>
      <c r="E1847" t="inlineStr">
        <is>
          <t>Revenue estimate FY2027</t>
        </is>
      </c>
      <c r="F1847" s="83">
        <f>BDP("VEEV US Equity","BEST_SALES","BEST_FPERIOD_OVERRIDE","27Y")</f>
        <v/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27Y</t>
        </is>
      </c>
      <c r="E1848" t="inlineStr">
        <is>
          <t>EBIT estimate FY2027</t>
        </is>
      </c>
      <c r="F1848" s="83">
        <f>BDP("VEEV US Equity","BEST_EBIT","BEST_FPERIOD_OVERRIDE","27Y")</f>
        <v/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28Y</t>
        </is>
      </c>
      <c r="E1849" t="inlineStr">
        <is>
          <t>EPS estimate FY2028</t>
        </is>
      </c>
      <c r="F1849" s="83">
        <f>BDP("VEEV US Equity","BEST_EPS","BEST_FPERIOD_OVERRIDE","28Y")</f>
        <v/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28Y</t>
        </is>
      </c>
      <c r="E1850" t="inlineStr">
        <is>
          <t>Revenue estimate FY2028</t>
        </is>
      </c>
      <c r="F1850" s="83">
        <f>BDP("VEEV US Equity","BEST_SALES","BEST_FPERIOD_OVERRIDE","28Y")</f>
        <v/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28Y</t>
        </is>
      </c>
      <c r="E1851" t="inlineStr">
        <is>
          <t>EBIT estimate FY2028</t>
        </is>
      </c>
      <c r="F1851" s="83">
        <f>BDP("VEEV US Equity","BEST_EBIT","BEST_FPERIOD_OVERRIDE","28Y")</f>
        <v/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E1852" t="inlineStr">
        <is>
          <t>Last price</t>
        </is>
      </c>
      <c r="F1852" s="83">
        <f>BDP("NOW US Equity","PX_LAST")</f>
        <v/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E1853" t="inlineStr">
        <is>
          <t>Market cap (raw)</t>
        </is>
      </c>
      <c r="F1853" s="83">
        <f>BDP("NOW US Equity","CUR_MKT_CAP")</f>
        <v/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E1854" t="inlineStr">
        <is>
          <t>YTD price change %</t>
        </is>
      </c>
      <c r="F1854" s="83">
        <f>BDP("NOW US Equity","CHG_PCT_YTD")</f>
        <v/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E1855" t="inlineStr">
        <is>
          <t>Net debt / EBITDA</t>
        </is>
      </c>
      <c r="F1855" s="83">
        <f>BDP("NOW US Equity","NET_DEBT_TO_EBITDA")</f>
        <v/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E1856" t="inlineStr">
        <is>
          <t>ROIC (LTM)</t>
        </is>
      </c>
      <c r="F1856" s="83">
        <f>BDP("NOW US Equity","RETURN_ON_INV_CAPITAL")</f>
        <v/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E1857" t="inlineStr">
        <is>
          <t>LTM operating income</t>
        </is>
      </c>
      <c r="F1857" s="83">
        <f>BDP("NOW US Equity","TRAIL_12M_OPER_INC")</f>
        <v/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E1858" t="inlineStr">
        <is>
          <t>LTM EBITDA</t>
        </is>
      </c>
      <c r="F1858" s="83">
        <f>BDP("NOW US Equity","TRAIL_12M_EBITDA")</f>
        <v/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E1859" t="inlineStr">
        <is>
          <t>Total debt</t>
        </is>
      </c>
      <c r="F1859" s="83">
        <f>BDP("NOW US Equity","SHORT_AND_LONG_TERM_DEBT")</f>
        <v/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E1860" t="inlineStr">
        <is>
          <t>Total equity</t>
        </is>
      </c>
      <c r="F1860" s="83">
        <f>BDP("NOW US Equity","TOTAL_EQUITY")</f>
        <v/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E1861" t="inlineStr">
        <is>
          <t>Cash &amp; equivalents</t>
        </is>
      </c>
      <c r="F1861" s="83">
        <f>BDP("NOW US Equity","BS_CASH_NEAR_CASH_ITEM")</f>
        <v/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24Y</t>
        </is>
      </c>
      <c r="E1862" t="inlineStr">
        <is>
          <t>EPS estimate FY2024</t>
        </is>
      </c>
      <c r="F1862" s="83">
        <f>BDP("NOW US Equity","BEST_EPS","BEST_FPERIOD_OVERRIDE","24Y")</f>
        <v/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24Y</t>
        </is>
      </c>
      <c r="E1863" t="inlineStr">
        <is>
          <t>Revenue estimate FY2024</t>
        </is>
      </c>
      <c r="F1863" s="83">
        <f>BDP("NOW US Equity","BEST_SALES","BEST_FPERIOD_OVERRIDE","24Y")</f>
        <v/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24Y</t>
        </is>
      </c>
      <c r="E1864" t="inlineStr">
        <is>
          <t>EBIT estimate FY2024</t>
        </is>
      </c>
      <c r="F1864" s="83">
        <f>BDP("NOW US Equity","BEST_EBIT","BEST_FPERIOD_OVERRIDE","24Y")</f>
        <v/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25Y</t>
        </is>
      </c>
      <c r="E1865" t="inlineStr">
        <is>
          <t>EPS estimate FY2025</t>
        </is>
      </c>
      <c r="F1865" s="83">
        <f>BDP("NOW US Equity","BEST_EPS","BEST_FPERIOD_OVERRIDE","25Y")</f>
        <v/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25Y</t>
        </is>
      </c>
      <c r="E1866" t="inlineStr">
        <is>
          <t>Revenue estimate FY2025</t>
        </is>
      </c>
      <c r="F1866" s="83">
        <f>BDP("NOW US Equity","BEST_SALES","BEST_FPERIOD_OVERRIDE","25Y")</f>
        <v/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25Y</t>
        </is>
      </c>
      <c r="E1867" t="inlineStr">
        <is>
          <t>EBIT estimate FY2025</t>
        </is>
      </c>
      <c r="F1867" s="83">
        <f>BDP("NOW US Equity","BEST_EBIT","BEST_FPERIOD_OVERRIDE","25Y")</f>
        <v/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26Y</t>
        </is>
      </c>
      <c r="E1868" t="inlineStr">
        <is>
          <t>EPS estimate FY2026</t>
        </is>
      </c>
      <c r="F1868" s="83">
        <f>BDP("NOW US Equity","BEST_EPS","BEST_FPERIOD_OVERRIDE","26Y")</f>
        <v/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26Y</t>
        </is>
      </c>
      <c r="E1869" t="inlineStr">
        <is>
          <t>Revenue estimate FY2026</t>
        </is>
      </c>
      <c r="F1869" s="83">
        <f>BDP("NOW US Equity","BEST_SALES","BEST_FPERIOD_OVERRIDE","26Y")</f>
        <v/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26Y</t>
        </is>
      </c>
      <c r="E1870" t="inlineStr">
        <is>
          <t>EBIT estimate FY2026</t>
        </is>
      </c>
      <c r="F1870" s="83">
        <f>BDP("NOW US Equity","BEST_EBIT","BEST_FPERIOD_OVERRIDE","26Y")</f>
        <v/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27Y</t>
        </is>
      </c>
      <c r="E1871" t="inlineStr">
        <is>
          <t>EPS estimate FY2027</t>
        </is>
      </c>
      <c r="F1871" s="83">
        <f>BDP("NOW US Equity","BEST_EPS","BEST_FPERIOD_OVERRIDE","27Y")</f>
        <v/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27Y</t>
        </is>
      </c>
      <c r="E1872" t="inlineStr">
        <is>
          <t>Revenue estimate FY2027</t>
        </is>
      </c>
      <c r="F1872" s="83">
        <f>BDP("NOW US Equity","BEST_SALES","BEST_FPERIOD_OVERRIDE","27Y")</f>
        <v/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27Y</t>
        </is>
      </c>
      <c r="E1873" t="inlineStr">
        <is>
          <t>EBIT estimate FY2027</t>
        </is>
      </c>
      <c r="F1873" s="83">
        <f>BDP("NOW US Equity","BEST_EBIT","BEST_FPERIOD_OVERRIDE","27Y")</f>
        <v/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28Y</t>
        </is>
      </c>
      <c r="E1874" t="inlineStr">
        <is>
          <t>EPS estimate FY2028</t>
        </is>
      </c>
      <c r="F1874" s="83">
        <f>BDP("NOW US Equity","BEST_EPS","BEST_FPERIOD_OVERRIDE","28Y")</f>
        <v/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28Y</t>
        </is>
      </c>
      <c r="E1875" t="inlineStr">
        <is>
          <t>Revenue estimate FY2028</t>
        </is>
      </c>
      <c r="F1875" s="83">
        <f>BDP("NOW US Equity","BEST_SALES","BEST_FPERIOD_OVERRIDE","28Y")</f>
        <v/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28Y</t>
        </is>
      </c>
      <c r="E1876" t="inlineStr">
        <is>
          <t>EBIT estimate FY2028</t>
        </is>
      </c>
      <c r="F1876" s="83">
        <f>BDP("NOW US Equity","BEST_EBIT","BEST_FPERIOD_OVERRIDE","28Y")</f>
        <v/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E1877" t="inlineStr">
        <is>
          <t>Last price</t>
        </is>
      </c>
      <c r="F1877" s="83">
        <f>BDP("SHOP US Equity","PX_LAST")</f>
        <v/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E1878" t="inlineStr">
        <is>
          <t>Market cap (raw)</t>
        </is>
      </c>
      <c r="F1878" s="83">
        <f>BDP("SHOP US Equity","CUR_MKT_CAP")</f>
        <v/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E1879" t="inlineStr">
        <is>
          <t>YTD price change %</t>
        </is>
      </c>
      <c r="F1879" s="83">
        <f>BDP("SHOP US Equity","CHG_PCT_YTD")</f>
        <v/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E1880" t="inlineStr">
        <is>
          <t>Net debt / EBITDA</t>
        </is>
      </c>
      <c r="F1880" s="83">
        <f>BDP("SHOP US Equity","NET_DEBT_TO_EBITDA")</f>
        <v/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E1881" t="inlineStr">
        <is>
          <t>ROIC (LTM)</t>
        </is>
      </c>
      <c r="F1881" s="83">
        <f>BDP("SHOP US Equity","RETURN_ON_INV_CAPITAL")</f>
        <v/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E1882" t="inlineStr">
        <is>
          <t>LTM operating income</t>
        </is>
      </c>
      <c r="F1882" s="83">
        <f>BDP("SHOP US Equity","TRAIL_12M_OPER_INC")</f>
        <v/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E1883" t="inlineStr">
        <is>
          <t>LTM EBITDA</t>
        </is>
      </c>
      <c r="F1883" s="83">
        <f>BDP("SHOP US Equity","TRAIL_12M_EBITDA")</f>
        <v/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E1884" t="inlineStr">
        <is>
          <t>Total debt</t>
        </is>
      </c>
      <c r="F1884" s="83">
        <f>BDP("SHOP US Equity","SHORT_AND_LONG_TERM_DEBT")</f>
        <v/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E1885" t="inlineStr">
        <is>
          <t>Total equity</t>
        </is>
      </c>
      <c r="F1885" s="83">
        <f>BDP("SHOP US Equity","TOTAL_EQUITY")</f>
        <v/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E1886" t="inlineStr">
        <is>
          <t>Cash &amp; equivalents</t>
        </is>
      </c>
      <c r="F1886" s="83">
        <f>BDP("SHOP US Equity","BS_CASH_NEAR_CASH_ITEM")</f>
        <v/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24Y</t>
        </is>
      </c>
      <c r="E1887" t="inlineStr">
        <is>
          <t>EPS estimate FY2024</t>
        </is>
      </c>
      <c r="F1887" s="83">
        <f>BDP("SHOP US Equity","BEST_EPS","BEST_FPERIOD_OVERRIDE","24Y")</f>
        <v/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24Y</t>
        </is>
      </c>
      <c r="E1888" t="inlineStr">
        <is>
          <t>Revenue estimate FY2024</t>
        </is>
      </c>
      <c r="F1888" s="83">
        <f>BDP("SHOP US Equity","BEST_SALES","BEST_FPERIOD_OVERRIDE","24Y")</f>
        <v/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24Y</t>
        </is>
      </c>
      <c r="E1889" t="inlineStr">
        <is>
          <t>EBIT estimate FY2024</t>
        </is>
      </c>
      <c r="F1889" s="83">
        <f>BDP("SHOP US Equity","BEST_EBIT","BEST_FPERIOD_OVERRIDE","24Y")</f>
        <v/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25Y</t>
        </is>
      </c>
      <c r="E1890" t="inlineStr">
        <is>
          <t>EPS estimate FY2025</t>
        </is>
      </c>
      <c r="F1890" s="83">
        <f>BDP("SHOP US Equity","BEST_EPS","BEST_FPERIOD_OVERRIDE","25Y")</f>
        <v/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25Y</t>
        </is>
      </c>
      <c r="E1891" t="inlineStr">
        <is>
          <t>Revenue estimate FY2025</t>
        </is>
      </c>
      <c r="F1891" s="83">
        <f>BDP("SHOP US Equity","BEST_SALES","BEST_FPERIOD_OVERRIDE","25Y")</f>
        <v/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25Y</t>
        </is>
      </c>
      <c r="E1892" t="inlineStr">
        <is>
          <t>EBIT estimate FY2025</t>
        </is>
      </c>
      <c r="F1892" s="83">
        <f>BDP("SHOP US Equity","BEST_EBIT","BEST_FPERIOD_OVERRIDE","25Y")</f>
        <v/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26Y</t>
        </is>
      </c>
      <c r="E1893" t="inlineStr">
        <is>
          <t>EPS estimate FY2026</t>
        </is>
      </c>
      <c r="F1893" s="83">
        <f>BDP("SHOP US Equity","BEST_EPS","BEST_FPERIOD_OVERRIDE","26Y")</f>
        <v/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26Y</t>
        </is>
      </c>
      <c r="E1894" t="inlineStr">
        <is>
          <t>Revenue estimate FY2026</t>
        </is>
      </c>
      <c r="F1894" s="83">
        <f>BDP("SHOP US Equity","BEST_SALES","BEST_FPERIOD_OVERRIDE","26Y")</f>
        <v/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26Y</t>
        </is>
      </c>
      <c r="E1895" t="inlineStr">
        <is>
          <t>EBIT estimate FY2026</t>
        </is>
      </c>
      <c r="F1895" s="83">
        <f>BDP("SHOP US Equity","BEST_EBIT","BEST_FPERIOD_OVERRIDE","26Y")</f>
        <v/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27Y</t>
        </is>
      </c>
      <c r="E1896" t="inlineStr">
        <is>
          <t>EPS estimate FY2027</t>
        </is>
      </c>
      <c r="F1896" s="83">
        <f>BDP("SHOP US Equity","BEST_EPS","BEST_FPERIOD_OVERRIDE","27Y")</f>
        <v/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27Y</t>
        </is>
      </c>
      <c r="E1897" t="inlineStr">
        <is>
          <t>Revenue estimate FY2027</t>
        </is>
      </c>
      <c r="F1897" s="83">
        <f>BDP("SHOP US Equity","BEST_SALES","BEST_FPERIOD_OVERRIDE","27Y")</f>
        <v/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27Y</t>
        </is>
      </c>
      <c r="E1898" t="inlineStr">
        <is>
          <t>EBIT estimate FY2027</t>
        </is>
      </c>
      <c r="F1898" s="83">
        <f>BDP("SHOP US Equity","BEST_EBIT","BEST_FPERIOD_OVERRIDE","27Y")</f>
        <v/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28Y</t>
        </is>
      </c>
      <c r="E1899" t="inlineStr">
        <is>
          <t>EPS estimate FY2028</t>
        </is>
      </c>
      <c r="F1899" s="83">
        <f>BDP("SHOP US Equity","BEST_EPS","BEST_FPERIOD_OVERRIDE","28Y")</f>
        <v/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28Y</t>
        </is>
      </c>
      <c r="E1900" t="inlineStr">
        <is>
          <t>Revenue estimate FY2028</t>
        </is>
      </c>
      <c r="F1900" s="83">
        <f>BDP("SHOP US Equity","BEST_SALES","BEST_FPERIOD_OVERRIDE","28Y")</f>
        <v/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28Y</t>
        </is>
      </c>
      <c r="E1901" t="inlineStr">
        <is>
          <t>EBIT estimate FY2028</t>
        </is>
      </c>
      <c r="F1901" s="83">
        <f>BDP("SHOP US Equity","BEST_EBIT","BEST_FPERIOD_OVERRIDE","28Y")</f>
        <v/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E1902" t="inlineStr">
        <is>
          <t>Last price</t>
        </is>
      </c>
      <c r="F1902" s="83">
        <f>BDP("AVGO UW Equity","PX_LAST")</f>
        <v/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E1903" t="inlineStr">
        <is>
          <t>Market cap (raw)</t>
        </is>
      </c>
      <c r="F1903" s="83">
        <f>BDP("AVGO UW Equity","CUR_MKT_CAP")</f>
        <v/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E1904" t="inlineStr">
        <is>
          <t>YTD price change %</t>
        </is>
      </c>
      <c r="F1904" s="83">
        <f>BDP("AVGO UW Equity","CHG_PCT_YTD")</f>
        <v/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E1905" t="inlineStr">
        <is>
          <t>Net debt / EBITDA</t>
        </is>
      </c>
      <c r="F1905" s="83">
        <f>BDP("AVGO UW Equity","NET_DEBT_TO_EBITDA")</f>
        <v/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E1906" t="inlineStr">
        <is>
          <t>ROIC (LTM)</t>
        </is>
      </c>
      <c r="F1906" s="83">
        <f>BDP("AVGO UW Equity","RETURN_ON_INV_CAPITAL")</f>
        <v/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E1907" t="inlineStr">
        <is>
          <t>LTM operating income</t>
        </is>
      </c>
      <c r="F1907" s="83">
        <f>BDP("AVGO UW Equity","TRAIL_12M_OPER_INC")</f>
        <v/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E1908" t="inlineStr">
        <is>
          <t>LTM EBITDA</t>
        </is>
      </c>
      <c r="F1908" s="83">
        <f>BDP("AVGO UW Equity","TRAIL_12M_EBITDA")</f>
        <v/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E1909" t="inlineStr">
        <is>
          <t>Total debt</t>
        </is>
      </c>
      <c r="F1909" s="83">
        <f>BDP("AVGO UW Equity","SHORT_AND_LONG_TERM_DEBT")</f>
        <v/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E1910" t="inlineStr">
        <is>
          <t>Total equity</t>
        </is>
      </c>
      <c r="F1910" s="83">
        <f>BDP("AVGO UW Equity","TOTAL_EQUITY")</f>
        <v/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E1911" t="inlineStr">
        <is>
          <t>Cash &amp; equivalents</t>
        </is>
      </c>
      <c r="F1911" s="83">
        <f>BDP("AVGO UW Equity","BS_CASH_NEAR_CASH_ITEM")</f>
        <v/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24Y</t>
        </is>
      </c>
      <c r="E1912" t="inlineStr">
        <is>
          <t>EPS estimate FY2024</t>
        </is>
      </c>
      <c r="F1912" s="83">
        <f>BDP("AVGO UW Equity","BEST_EPS","BEST_FPERIOD_OVERRIDE","24Y")</f>
        <v/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24Y</t>
        </is>
      </c>
      <c r="E1913" t="inlineStr">
        <is>
          <t>Revenue estimate FY2024</t>
        </is>
      </c>
      <c r="F1913" s="83">
        <f>BDP("AVGO UW Equity","BEST_SALES","BEST_FPERIOD_OVERRIDE","24Y")</f>
        <v/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24Y</t>
        </is>
      </c>
      <c r="E1914" t="inlineStr">
        <is>
          <t>EBIT estimate FY2024</t>
        </is>
      </c>
      <c r="F1914" s="83">
        <f>BDP("AVGO UW Equity","BEST_EBIT","BEST_FPERIOD_OVERRIDE","24Y")</f>
        <v/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25Y</t>
        </is>
      </c>
      <c r="E1915" t="inlineStr">
        <is>
          <t>EPS estimate FY2025</t>
        </is>
      </c>
      <c r="F1915" s="83">
        <f>BDP("AVGO UW Equity","BEST_EPS","BEST_FPERIOD_OVERRIDE","25Y")</f>
        <v/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25Y</t>
        </is>
      </c>
      <c r="E1916" t="inlineStr">
        <is>
          <t>Revenue estimate FY2025</t>
        </is>
      </c>
      <c r="F1916" s="83">
        <f>BDP("AVGO UW Equity","BEST_SALES","BEST_FPERIOD_OVERRIDE","25Y")</f>
        <v/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25Y</t>
        </is>
      </c>
      <c r="E1917" t="inlineStr">
        <is>
          <t>EBIT estimate FY2025</t>
        </is>
      </c>
      <c r="F1917" s="83">
        <f>BDP("AVGO UW Equity","BEST_EBIT","BEST_FPERIOD_OVERRIDE","25Y")</f>
        <v/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26Y</t>
        </is>
      </c>
      <c r="E1918" t="inlineStr">
        <is>
          <t>EPS estimate FY2026</t>
        </is>
      </c>
      <c r="F1918" s="83">
        <f>BDP("AVGO UW Equity","BEST_EPS","BEST_FPERIOD_OVERRIDE","26Y")</f>
        <v/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26Y</t>
        </is>
      </c>
      <c r="E1919" t="inlineStr">
        <is>
          <t>Revenue estimate FY2026</t>
        </is>
      </c>
      <c r="F1919" s="83">
        <f>BDP("AVGO UW Equity","BEST_SALES","BEST_FPERIOD_OVERRIDE","26Y")</f>
        <v/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26Y</t>
        </is>
      </c>
      <c r="E1920" t="inlineStr">
        <is>
          <t>EBIT estimate FY2026</t>
        </is>
      </c>
      <c r="F1920" s="83">
        <f>BDP("AVGO UW Equity","BEST_EBIT","BEST_FPERIOD_OVERRIDE","26Y")</f>
        <v/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27Y</t>
        </is>
      </c>
      <c r="E1921" t="inlineStr">
        <is>
          <t>EPS estimate FY2027</t>
        </is>
      </c>
      <c r="F1921" s="83">
        <f>BDP("AVGO UW Equity","BEST_EPS","BEST_FPERIOD_OVERRIDE","27Y")</f>
        <v/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27Y</t>
        </is>
      </c>
      <c r="E1922" t="inlineStr">
        <is>
          <t>Revenue estimate FY2027</t>
        </is>
      </c>
      <c r="F1922" s="83">
        <f>BDP("AVGO UW Equity","BEST_SALES","BEST_FPERIOD_OVERRIDE","27Y")</f>
        <v/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27Y</t>
        </is>
      </c>
      <c r="E1923" t="inlineStr">
        <is>
          <t>EBIT estimate FY2027</t>
        </is>
      </c>
      <c r="F1923" s="83">
        <f>BDP("AVGO UW Equity","BEST_EBIT","BEST_FPERIOD_OVERRIDE","27Y")</f>
        <v/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28Y</t>
        </is>
      </c>
      <c r="E1924" t="inlineStr">
        <is>
          <t>EPS estimate FY2028</t>
        </is>
      </c>
      <c r="F1924" s="83">
        <f>BDP("AVGO UW Equity","BEST_EPS","BEST_FPERIOD_OVERRIDE","28Y")</f>
        <v/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28Y</t>
        </is>
      </c>
      <c r="E1925" t="inlineStr">
        <is>
          <t>Revenue estimate FY2028</t>
        </is>
      </c>
      <c r="F1925" s="83">
        <f>BDP("AVGO UW Equity","BEST_SALES","BEST_FPERIOD_OVERRIDE","28Y")</f>
        <v/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28Y</t>
        </is>
      </c>
      <c r="E1926" t="inlineStr">
        <is>
          <t>EBIT estimate FY2028</t>
        </is>
      </c>
      <c r="F1926" s="83">
        <f>BDP("AVGO UW Equity","BEST_EBIT","BEST_FPERIOD_OVERRIDE","28Y")</f>
        <v/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E1927" t="inlineStr">
        <is>
          <t>Last price</t>
        </is>
      </c>
      <c r="F1927" s="83">
        <f>BDP("MRVL UW Equity","PX_LAST")</f>
        <v/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E1928" t="inlineStr">
        <is>
          <t>Market cap (raw)</t>
        </is>
      </c>
      <c r="F1928" s="83">
        <f>BDP("MRVL UW Equity","CUR_MKT_CAP")</f>
        <v/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E1929" t="inlineStr">
        <is>
          <t>YTD price change %</t>
        </is>
      </c>
      <c r="F1929" s="83">
        <f>BDP("MRVL UW Equity","CHG_PCT_YTD")</f>
        <v/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E1930" t="inlineStr">
        <is>
          <t>Net debt / EBITDA</t>
        </is>
      </c>
      <c r="F1930" s="83">
        <f>BDP("MRVL UW Equity","NET_DEBT_TO_EBITDA")</f>
        <v/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E1931" t="inlineStr">
        <is>
          <t>ROIC (LTM)</t>
        </is>
      </c>
      <c r="F1931" s="83">
        <f>BDP("MRVL UW Equity","RETURN_ON_INV_CAPITAL")</f>
        <v/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E1932" t="inlineStr">
        <is>
          <t>LTM operating income</t>
        </is>
      </c>
      <c r="F1932" s="83">
        <f>BDP("MRVL UW Equity","TRAIL_12M_OPER_INC")</f>
        <v/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E1933" t="inlineStr">
        <is>
          <t>LTM EBITDA</t>
        </is>
      </c>
      <c r="F1933" s="83">
        <f>BDP("MRVL UW Equity","TRAIL_12M_EBITDA")</f>
        <v/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E1934" t="inlineStr">
        <is>
          <t>Total debt</t>
        </is>
      </c>
      <c r="F1934" s="83">
        <f>BDP("MRVL UW Equity","SHORT_AND_LONG_TERM_DEBT")</f>
        <v/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E1935" t="inlineStr">
        <is>
          <t>Total equity</t>
        </is>
      </c>
      <c r="F1935" s="83">
        <f>BDP("MRVL UW Equity","TOTAL_EQUITY")</f>
        <v/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E1936" t="inlineStr">
        <is>
          <t>Cash &amp; equivalents</t>
        </is>
      </c>
      <c r="F1936" s="83">
        <f>BDP("MRVL UW Equity","BS_CASH_NEAR_CASH_ITEM")</f>
        <v/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24Y</t>
        </is>
      </c>
      <c r="E1937" t="inlineStr">
        <is>
          <t>EPS estimate FY2024</t>
        </is>
      </c>
      <c r="F1937" s="83">
        <f>BDP("MRVL UW Equity","BEST_EPS","BEST_FPERIOD_OVERRIDE","24Y")</f>
        <v/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24Y</t>
        </is>
      </c>
      <c r="E1938" t="inlineStr">
        <is>
          <t>Revenue estimate FY2024</t>
        </is>
      </c>
      <c r="F1938" s="83">
        <f>BDP("MRVL UW Equity","BEST_SALES","BEST_FPERIOD_OVERRIDE","24Y")</f>
        <v/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24Y</t>
        </is>
      </c>
      <c r="E1939" t="inlineStr">
        <is>
          <t>EBIT estimate FY2024</t>
        </is>
      </c>
      <c r="F1939" s="83">
        <f>BDP("MRVL UW Equity","BEST_EBIT","BEST_FPERIOD_OVERRIDE","24Y")</f>
        <v/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25Y</t>
        </is>
      </c>
      <c r="E1940" t="inlineStr">
        <is>
          <t>EPS estimate FY2025</t>
        </is>
      </c>
      <c r="F1940" s="83">
        <f>BDP("MRVL UW Equity","BEST_EPS","BEST_FPERIOD_OVERRIDE","25Y")</f>
        <v/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25Y</t>
        </is>
      </c>
      <c r="E1941" t="inlineStr">
        <is>
          <t>Revenue estimate FY2025</t>
        </is>
      </c>
      <c r="F1941" s="83">
        <f>BDP("MRVL UW Equity","BEST_SALES","BEST_FPERIOD_OVERRIDE","25Y")</f>
        <v/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25Y</t>
        </is>
      </c>
      <c r="E1942" t="inlineStr">
        <is>
          <t>EBIT estimate FY2025</t>
        </is>
      </c>
      <c r="F1942" s="83">
        <f>BDP("MRVL UW Equity","BEST_EBIT","BEST_FPERIOD_OVERRIDE","25Y")</f>
        <v/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26Y</t>
        </is>
      </c>
      <c r="E1943" t="inlineStr">
        <is>
          <t>EPS estimate FY2026</t>
        </is>
      </c>
      <c r="F1943" s="83">
        <f>BDP("MRVL UW Equity","BEST_EPS","BEST_FPERIOD_OVERRIDE","26Y")</f>
        <v/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26Y</t>
        </is>
      </c>
      <c r="E1944" t="inlineStr">
        <is>
          <t>Revenue estimate FY2026</t>
        </is>
      </c>
      <c r="F1944" s="83">
        <f>BDP("MRVL UW Equity","BEST_SALES","BEST_FPERIOD_OVERRIDE","26Y")</f>
        <v/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26Y</t>
        </is>
      </c>
      <c r="E1945" t="inlineStr">
        <is>
          <t>EBIT estimate FY2026</t>
        </is>
      </c>
      <c r="F1945" s="83">
        <f>BDP("MRVL UW Equity","BEST_EBIT","BEST_FPERIOD_OVERRIDE","26Y")</f>
        <v/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27Y</t>
        </is>
      </c>
      <c r="E1946" t="inlineStr">
        <is>
          <t>EPS estimate FY2027</t>
        </is>
      </c>
      <c r="F1946" s="83">
        <f>BDP("MRVL UW Equity","BEST_EPS","BEST_FPERIOD_OVERRIDE","27Y")</f>
        <v/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27Y</t>
        </is>
      </c>
      <c r="E1947" t="inlineStr">
        <is>
          <t>Revenue estimate FY2027</t>
        </is>
      </c>
      <c r="F1947" s="83">
        <f>BDP("MRVL UW Equity","BEST_SALES","BEST_FPERIOD_OVERRIDE","27Y")</f>
        <v/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27Y</t>
        </is>
      </c>
      <c r="E1948" t="inlineStr">
        <is>
          <t>EBIT estimate FY2027</t>
        </is>
      </c>
      <c r="F1948" s="83">
        <f>BDP("MRVL UW Equity","BEST_EBIT","BEST_FPERIOD_OVERRIDE","27Y")</f>
        <v/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28Y</t>
        </is>
      </c>
      <c r="E1949" t="inlineStr">
        <is>
          <t>EPS estimate FY2028</t>
        </is>
      </c>
      <c r="F1949" s="83">
        <f>BDP("MRVL UW Equity","BEST_EPS","BEST_FPERIOD_OVERRIDE","28Y")</f>
        <v/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28Y</t>
        </is>
      </c>
      <c r="E1950" t="inlineStr">
        <is>
          <t>Revenue estimate FY2028</t>
        </is>
      </c>
      <c r="F1950" s="83">
        <f>BDP("MRVL UW Equity","BEST_SALES","BEST_FPERIOD_OVERRIDE","28Y")</f>
        <v/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28Y</t>
        </is>
      </c>
      <c r="E1951" t="inlineStr">
        <is>
          <t>EBIT estimate FY2028</t>
        </is>
      </c>
      <c r="F1951" s="83">
        <f>BDP("MRVL UW Equity","BEST_EBIT","BEST_FPERIOD_OVERRIDE","28Y")</f>
        <v/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E1952" t="inlineStr">
        <is>
          <t>Last price</t>
        </is>
      </c>
      <c r="F1952" s="83">
        <f>BDP("ANET US Equity","PX_LAST")</f>
        <v/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E1953" t="inlineStr">
        <is>
          <t>Market cap (raw)</t>
        </is>
      </c>
      <c r="F1953" s="83">
        <f>BDP("ANET US Equity","CUR_MKT_CAP")</f>
        <v/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E1954" t="inlineStr">
        <is>
          <t>YTD price change %</t>
        </is>
      </c>
      <c r="F1954" s="83">
        <f>BDP("ANET US Equity","CHG_PCT_YTD")</f>
        <v/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E1955" t="inlineStr">
        <is>
          <t>Net debt / EBITDA</t>
        </is>
      </c>
      <c r="F1955" s="83">
        <f>BDP("ANET US Equity","NET_DEBT_TO_EBITDA")</f>
        <v/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E1956" t="inlineStr">
        <is>
          <t>ROIC (LTM)</t>
        </is>
      </c>
      <c r="F1956" s="83">
        <f>BDP("ANET US Equity","RETURN_ON_INV_CAPITAL")</f>
        <v/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E1957" t="inlineStr">
        <is>
          <t>LTM operating income</t>
        </is>
      </c>
      <c r="F1957" s="83">
        <f>BDP("ANET US Equity","TRAIL_12M_OPER_INC")</f>
        <v/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E1958" t="inlineStr">
        <is>
          <t>LTM EBITDA</t>
        </is>
      </c>
      <c r="F1958" s="83">
        <f>BDP("ANET US Equity","TRAIL_12M_EBITDA")</f>
        <v/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E1959" t="inlineStr">
        <is>
          <t>Total debt</t>
        </is>
      </c>
      <c r="F1959" s="83">
        <f>BDP("ANET US Equity","SHORT_AND_LONG_TERM_DEBT")</f>
        <v/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E1960" t="inlineStr">
        <is>
          <t>Total equity</t>
        </is>
      </c>
      <c r="F1960" s="83">
        <f>BDP("ANET US Equity","TOTAL_EQUITY")</f>
        <v/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E1961" t="inlineStr">
        <is>
          <t>Cash &amp; equivalents</t>
        </is>
      </c>
      <c r="F1961" s="83">
        <f>BDP("ANET US Equity","BS_CASH_NEAR_CASH_ITEM")</f>
        <v/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24Y</t>
        </is>
      </c>
      <c r="E1962" t="inlineStr">
        <is>
          <t>EPS estimate FY2024</t>
        </is>
      </c>
      <c r="F1962" s="83">
        <f>BDP("ANET US Equity","BEST_EPS","BEST_FPERIOD_OVERRIDE","24Y")</f>
        <v/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24Y</t>
        </is>
      </c>
      <c r="E1963" t="inlineStr">
        <is>
          <t>Revenue estimate FY2024</t>
        </is>
      </c>
      <c r="F1963" s="83">
        <f>BDP("ANET US Equity","BEST_SALES","BEST_FPERIOD_OVERRIDE","24Y")</f>
        <v/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24Y</t>
        </is>
      </c>
      <c r="E1964" t="inlineStr">
        <is>
          <t>EBIT estimate FY2024</t>
        </is>
      </c>
      <c r="F1964" s="83">
        <f>BDP("ANET US Equity","BEST_EBIT","BEST_FPERIOD_OVERRIDE","24Y")</f>
        <v/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25Y</t>
        </is>
      </c>
      <c r="E1965" t="inlineStr">
        <is>
          <t>EPS estimate FY2025</t>
        </is>
      </c>
      <c r="F1965" s="83">
        <f>BDP("ANET US Equity","BEST_EPS","BEST_FPERIOD_OVERRIDE","25Y")</f>
        <v/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25Y</t>
        </is>
      </c>
      <c r="E1966" t="inlineStr">
        <is>
          <t>Revenue estimate FY2025</t>
        </is>
      </c>
      <c r="F1966" s="83">
        <f>BDP("ANET US Equity","BEST_SALES","BEST_FPERIOD_OVERRIDE","25Y")</f>
        <v/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25Y</t>
        </is>
      </c>
      <c r="E1967" t="inlineStr">
        <is>
          <t>EBIT estimate FY2025</t>
        </is>
      </c>
      <c r="F1967" s="83">
        <f>BDP("ANET US Equity","BEST_EBIT","BEST_FPERIOD_OVERRIDE","25Y")</f>
        <v/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26Y</t>
        </is>
      </c>
      <c r="E1968" t="inlineStr">
        <is>
          <t>EPS estimate FY2026</t>
        </is>
      </c>
      <c r="F1968" s="83">
        <f>BDP("ANET US Equity","BEST_EPS","BEST_FPERIOD_OVERRIDE","26Y")</f>
        <v/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26Y</t>
        </is>
      </c>
      <c r="E1969" t="inlineStr">
        <is>
          <t>Revenue estimate FY2026</t>
        </is>
      </c>
      <c r="F1969" s="83">
        <f>BDP("ANET US Equity","BEST_SALES","BEST_FPERIOD_OVERRIDE","26Y")</f>
        <v/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26Y</t>
        </is>
      </c>
      <c r="E1970" t="inlineStr">
        <is>
          <t>EBIT estimate FY2026</t>
        </is>
      </c>
      <c r="F1970" s="83">
        <f>BDP("ANET US Equity","BEST_EBIT","BEST_FPERIOD_OVERRIDE","26Y")</f>
        <v/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27Y</t>
        </is>
      </c>
      <c r="E1971" t="inlineStr">
        <is>
          <t>EPS estimate FY2027</t>
        </is>
      </c>
      <c r="F1971" s="83">
        <f>BDP("ANET US Equity","BEST_EPS","BEST_FPERIOD_OVERRIDE","27Y")</f>
        <v/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27Y</t>
        </is>
      </c>
      <c r="E1972" t="inlineStr">
        <is>
          <t>Revenue estimate FY2027</t>
        </is>
      </c>
      <c r="F1972" s="83">
        <f>BDP("ANET US Equity","BEST_SALES","BEST_FPERIOD_OVERRIDE","27Y")</f>
        <v/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27Y</t>
        </is>
      </c>
      <c r="E1973" t="inlineStr">
        <is>
          <t>EBIT estimate FY2027</t>
        </is>
      </c>
      <c r="F1973" s="83">
        <f>BDP("ANET US Equity","BEST_EBIT","BEST_FPERIOD_OVERRIDE","27Y")</f>
        <v/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28Y</t>
        </is>
      </c>
      <c r="E1974" t="inlineStr">
        <is>
          <t>EPS estimate FY2028</t>
        </is>
      </c>
      <c r="F1974" s="83">
        <f>BDP("ANET US Equity","BEST_EPS","BEST_FPERIOD_OVERRIDE","28Y")</f>
        <v/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28Y</t>
        </is>
      </c>
      <c r="E1975" t="inlineStr">
        <is>
          <t>Revenue estimate FY2028</t>
        </is>
      </c>
      <c r="F1975" s="83">
        <f>BDP("ANET US Equity","BEST_SALES","BEST_FPERIOD_OVERRIDE","28Y")</f>
        <v/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28Y</t>
        </is>
      </c>
      <c r="E1976" t="inlineStr">
        <is>
          <t>EBIT estimate FY2028</t>
        </is>
      </c>
      <c r="F1976" s="83">
        <f>BDP("ANET US Equity","BEST_EBIT","BEST_FPERIOD_OVERRIDE","28Y")</f>
        <v/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E1977" t="inlineStr">
        <is>
          <t>Last price</t>
        </is>
      </c>
      <c r="F1977" s="83">
        <f>BDP("COHR US Equity","PX_LAST")</f>
        <v/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E1978" t="inlineStr">
        <is>
          <t>Market cap (raw)</t>
        </is>
      </c>
      <c r="F1978" s="83">
        <f>BDP("COHR US Equity","CUR_MKT_CAP")</f>
        <v/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E1979" t="inlineStr">
        <is>
          <t>YTD price change %</t>
        </is>
      </c>
      <c r="F1979" s="83">
        <f>BDP("COHR US Equity","CHG_PCT_YTD")</f>
        <v/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E1980" t="inlineStr">
        <is>
          <t>Net debt / EBITDA</t>
        </is>
      </c>
      <c r="F1980" s="83">
        <f>BDP("COHR US Equity","NET_DEBT_TO_EBITDA")</f>
        <v/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E1981" t="inlineStr">
        <is>
          <t>ROIC (LTM)</t>
        </is>
      </c>
      <c r="F1981" s="83">
        <f>BDP("COHR US Equity","RETURN_ON_INV_CAPITAL")</f>
        <v/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E1982" t="inlineStr">
        <is>
          <t>LTM operating income</t>
        </is>
      </c>
      <c r="F1982" s="83">
        <f>BDP("COHR US Equity","TRAIL_12M_OPER_INC")</f>
        <v/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E1983" t="inlineStr">
        <is>
          <t>LTM EBITDA</t>
        </is>
      </c>
      <c r="F1983" s="83">
        <f>BDP("COHR US Equity","TRAIL_12M_EBITDA")</f>
        <v/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E1984" t="inlineStr">
        <is>
          <t>Total debt</t>
        </is>
      </c>
      <c r="F1984" s="83">
        <f>BDP("COHR US Equity","SHORT_AND_LONG_TERM_DEBT")</f>
        <v/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E1985" t="inlineStr">
        <is>
          <t>Total equity</t>
        </is>
      </c>
      <c r="F1985" s="83">
        <f>BDP("COHR US Equity","TOTAL_EQUITY")</f>
        <v/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E1986" t="inlineStr">
        <is>
          <t>Cash &amp; equivalents</t>
        </is>
      </c>
      <c r="F1986" s="83">
        <f>BDP("COHR US Equity","BS_CASH_NEAR_CASH_ITEM")</f>
        <v/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24Y</t>
        </is>
      </c>
      <c r="E1987" t="inlineStr">
        <is>
          <t>EPS estimate FY2024</t>
        </is>
      </c>
      <c r="F1987" s="83">
        <f>BDP("COHR US Equity","BEST_EPS","BEST_FPERIOD_OVERRIDE","24Y")</f>
        <v/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24Y</t>
        </is>
      </c>
      <c r="E1988" t="inlineStr">
        <is>
          <t>Revenue estimate FY2024</t>
        </is>
      </c>
      <c r="F1988" s="83">
        <f>BDP("COHR US Equity","BEST_SALES","BEST_FPERIOD_OVERRIDE","24Y")</f>
        <v/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24Y</t>
        </is>
      </c>
      <c r="E1989" t="inlineStr">
        <is>
          <t>EBIT estimate FY2024</t>
        </is>
      </c>
      <c r="F1989" s="83">
        <f>BDP("COHR US Equity","BEST_EBIT","BEST_FPERIOD_OVERRIDE","24Y")</f>
        <v/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25Y</t>
        </is>
      </c>
      <c r="E1990" t="inlineStr">
        <is>
          <t>EPS estimate FY2025</t>
        </is>
      </c>
      <c r="F1990" s="83">
        <f>BDP("COHR US Equity","BEST_EPS","BEST_FPERIOD_OVERRIDE","25Y")</f>
        <v/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25Y</t>
        </is>
      </c>
      <c r="E1991" t="inlineStr">
        <is>
          <t>Revenue estimate FY2025</t>
        </is>
      </c>
      <c r="F1991" s="83">
        <f>BDP("COHR US Equity","BEST_SALES","BEST_FPERIOD_OVERRIDE","25Y")</f>
        <v/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25Y</t>
        </is>
      </c>
      <c r="E1992" t="inlineStr">
        <is>
          <t>EBIT estimate FY2025</t>
        </is>
      </c>
      <c r="F1992" s="83">
        <f>BDP("COHR US Equity","BEST_EBIT","BEST_FPERIOD_OVERRIDE","25Y")</f>
        <v/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26Y</t>
        </is>
      </c>
      <c r="E1993" t="inlineStr">
        <is>
          <t>EPS estimate FY2026</t>
        </is>
      </c>
      <c r="F1993" s="83">
        <f>BDP("COHR US Equity","BEST_EPS","BEST_FPERIOD_OVERRIDE","26Y")</f>
        <v/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26Y</t>
        </is>
      </c>
      <c r="E1994" t="inlineStr">
        <is>
          <t>Revenue estimate FY2026</t>
        </is>
      </c>
      <c r="F1994" s="83">
        <f>BDP("COHR US Equity","BEST_SALES","BEST_FPERIOD_OVERRIDE","26Y")</f>
        <v/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26Y</t>
        </is>
      </c>
      <c r="E1995" t="inlineStr">
        <is>
          <t>EBIT estimate FY2026</t>
        </is>
      </c>
      <c r="F1995" s="83">
        <f>BDP("COHR US Equity","BEST_EBIT","BEST_FPERIOD_OVERRIDE","26Y")</f>
        <v/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27Y</t>
        </is>
      </c>
      <c r="E1996" t="inlineStr">
        <is>
          <t>EPS estimate FY2027</t>
        </is>
      </c>
      <c r="F1996" s="83">
        <f>BDP("COHR US Equity","BEST_EPS","BEST_FPERIOD_OVERRIDE","27Y")</f>
        <v/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27Y</t>
        </is>
      </c>
      <c r="E1997" t="inlineStr">
        <is>
          <t>Revenue estimate FY2027</t>
        </is>
      </c>
      <c r="F1997" s="83">
        <f>BDP("COHR US Equity","BEST_SALES","BEST_FPERIOD_OVERRIDE","27Y")</f>
        <v/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27Y</t>
        </is>
      </c>
      <c r="E1998" t="inlineStr">
        <is>
          <t>EBIT estimate FY2027</t>
        </is>
      </c>
      <c r="F1998" s="83">
        <f>BDP("COHR US Equity","BEST_EBIT","BEST_FPERIOD_OVERRIDE","27Y")</f>
        <v/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28Y</t>
        </is>
      </c>
      <c r="E1999" t="inlineStr">
        <is>
          <t>EPS estimate FY2028</t>
        </is>
      </c>
      <c r="F1999" s="83">
        <f>BDP("COHR US Equity","BEST_EPS","BEST_FPERIOD_OVERRIDE","28Y")</f>
        <v/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28Y</t>
        </is>
      </c>
      <c r="E2000" t="inlineStr">
        <is>
          <t>Revenue estimate FY2028</t>
        </is>
      </c>
      <c r="F2000" s="83">
        <f>BDP("COHR US Equity","BEST_SALES","BEST_FPERIOD_OVERRIDE","28Y")</f>
        <v/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28Y</t>
        </is>
      </c>
      <c r="E2001" t="inlineStr">
        <is>
          <t>EBIT estimate FY2028</t>
        </is>
      </c>
      <c r="F2001" s="83">
        <f>BDP("COHR US Equity","BEST_EBIT","BEST_FPERIOD_OVERRIDE","28Y")</f>
        <v/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E2002" t="inlineStr">
        <is>
          <t>Last price</t>
        </is>
      </c>
      <c r="F2002" s="83">
        <f>BDP("CRDO US Equity","PX_LAST")</f>
        <v/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E2003" t="inlineStr">
        <is>
          <t>Market cap (raw)</t>
        </is>
      </c>
      <c r="F2003" s="83">
        <f>BDP("CRDO US Equity","CUR_MKT_CAP")</f>
        <v/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E2004" t="inlineStr">
        <is>
          <t>YTD price change %</t>
        </is>
      </c>
      <c r="F2004" s="83">
        <f>BDP("CRDO US Equity","CHG_PCT_YTD")</f>
        <v/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E2005" t="inlineStr">
        <is>
          <t>Net debt / EBITDA</t>
        </is>
      </c>
      <c r="F2005" s="83">
        <f>BDP("CRDO US Equity","NET_DEBT_TO_EBITDA")</f>
        <v/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E2006" t="inlineStr">
        <is>
          <t>ROIC (LTM)</t>
        </is>
      </c>
      <c r="F2006" s="83">
        <f>BDP("CRDO US Equity","RETURN_ON_INV_CAPITAL")</f>
        <v/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E2007" t="inlineStr">
        <is>
          <t>LTM operating income</t>
        </is>
      </c>
      <c r="F2007" s="83">
        <f>BDP("CRDO US Equity","TRAIL_12M_OPER_INC")</f>
        <v/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E2008" t="inlineStr">
        <is>
          <t>LTM EBITDA</t>
        </is>
      </c>
      <c r="F2008" s="83">
        <f>BDP("CRDO US Equity","TRAIL_12M_EBITDA")</f>
        <v/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E2009" t="inlineStr">
        <is>
          <t>Total debt</t>
        </is>
      </c>
      <c r="F2009" s="83">
        <f>BDP("CRDO US Equity","SHORT_AND_LONG_TERM_DEBT")</f>
        <v/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E2010" t="inlineStr">
        <is>
          <t>Total equity</t>
        </is>
      </c>
      <c r="F2010" s="83">
        <f>BDP("CRDO US Equity","TOTAL_EQUITY")</f>
        <v/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E2011" t="inlineStr">
        <is>
          <t>Cash &amp; equivalents</t>
        </is>
      </c>
      <c r="F2011" s="83">
        <f>BDP("CRDO US Equity","BS_CASH_NEAR_CASH_ITEM")</f>
        <v/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24Y</t>
        </is>
      </c>
      <c r="E2012" t="inlineStr">
        <is>
          <t>EPS estimate FY2024</t>
        </is>
      </c>
      <c r="F2012" s="83">
        <f>BDP("CRDO US Equity","BEST_EPS","BEST_FPERIOD_OVERRIDE","24Y")</f>
        <v/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24Y</t>
        </is>
      </c>
      <c r="E2013" t="inlineStr">
        <is>
          <t>Revenue estimate FY2024</t>
        </is>
      </c>
      <c r="F2013" s="83">
        <f>BDP("CRDO US Equity","BEST_SALES","BEST_FPERIOD_OVERRIDE","24Y")</f>
        <v/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24Y</t>
        </is>
      </c>
      <c r="E2014" t="inlineStr">
        <is>
          <t>EBIT estimate FY2024</t>
        </is>
      </c>
      <c r="F2014" s="83">
        <f>BDP("CRDO US Equity","BEST_EBIT","BEST_FPERIOD_OVERRIDE","24Y")</f>
        <v/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25Y</t>
        </is>
      </c>
      <c r="E2015" t="inlineStr">
        <is>
          <t>EPS estimate FY2025</t>
        </is>
      </c>
      <c r="F2015" s="83">
        <f>BDP("CRDO US Equity","BEST_EPS","BEST_FPERIOD_OVERRIDE","25Y")</f>
        <v/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25Y</t>
        </is>
      </c>
      <c r="E2016" t="inlineStr">
        <is>
          <t>Revenue estimate FY2025</t>
        </is>
      </c>
      <c r="F2016" s="83">
        <f>BDP("CRDO US Equity","BEST_SALES","BEST_FPERIOD_OVERRIDE","25Y")</f>
        <v/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25Y</t>
        </is>
      </c>
      <c r="E2017" t="inlineStr">
        <is>
          <t>EBIT estimate FY2025</t>
        </is>
      </c>
      <c r="F2017" s="83">
        <f>BDP("CRDO US Equity","BEST_EBIT","BEST_FPERIOD_OVERRIDE","25Y")</f>
        <v/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26Y</t>
        </is>
      </c>
      <c r="E2018" t="inlineStr">
        <is>
          <t>EPS estimate FY2026</t>
        </is>
      </c>
      <c r="F2018" s="83">
        <f>BDP("CRDO US Equity","BEST_EPS","BEST_FPERIOD_OVERRIDE","26Y")</f>
        <v/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26Y</t>
        </is>
      </c>
      <c r="E2019" t="inlineStr">
        <is>
          <t>Revenue estimate FY2026</t>
        </is>
      </c>
      <c r="F2019" s="83">
        <f>BDP("CRDO US Equity","BEST_SALES","BEST_FPERIOD_OVERRIDE","26Y")</f>
        <v/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26Y</t>
        </is>
      </c>
      <c r="E2020" t="inlineStr">
        <is>
          <t>EBIT estimate FY2026</t>
        </is>
      </c>
      <c r="F2020" s="83">
        <f>BDP("CRDO US Equity","BEST_EBIT","BEST_FPERIOD_OVERRIDE","26Y")</f>
        <v/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27Y</t>
        </is>
      </c>
      <c r="E2021" t="inlineStr">
        <is>
          <t>EPS estimate FY2027</t>
        </is>
      </c>
      <c r="F2021" s="83">
        <f>BDP("CRDO US Equity","BEST_EPS","BEST_FPERIOD_OVERRIDE","27Y")</f>
        <v/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27Y</t>
        </is>
      </c>
      <c r="E2022" t="inlineStr">
        <is>
          <t>Revenue estimate FY2027</t>
        </is>
      </c>
      <c r="F2022" s="83">
        <f>BDP("CRDO US Equity","BEST_SALES","BEST_FPERIOD_OVERRIDE","27Y")</f>
        <v/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27Y</t>
        </is>
      </c>
      <c r="E2023" t="inlineStr">
        <is>
          <t>EBIT estimate FY2027</t>
        </is>
      </c>
      <c r="F2023" s="83">
        <f>BDP("CRDO US Equity","BEST_EBIT","BEST_FPERIOD_OVERRIDE","27Y")</f>
        <v/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28Y</t>
        </is>
      </c>
      <c r="E2024" t="inlineStr">
        <is>
          <t>EPS estimate FY2028</t>
        </is>
      </c>
      <c r="F2024" s="83">
        <f>BDP("CRDO US Equity","BEST_EPS","BEST_FPERIOD_OVERRIDE","28Y")</f>
        <v/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28Y</t>
        </is>
      </c>
      <c r="E2025" t="inlineStr">
        <is>
          <t>Revenue estimate FY2028</t>
        </is>
      </c>
      <c r="F2025" s="83">
        <f>BDP("CRDO US Equity","BEST_SALES","BEST_FPERIOD_OVERRIDE","28Y")</f>
        <v/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28Y</t>
        </is>
      </c>
      <c r="E2026" t="inlineStr">
        <is>
          <t>EBIT estimate FY2028</t>
        </is>
      </c>
      <c r="F2026" s="83">
        <f>BDP("CRDO US Equity","BEST_EBIT","BEST_FPERIOD_OVERRIDE","28Y")</f>
        <v/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E2027" t="inlineStr">
        <is>
          <t>Last price</t>
        </is>
      </c>
      <c r="F2027" s="83">
        <f>BDP("ALAB US Equity","PX_LAST")</f>
        <v/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E2028" t="inlineStr">
        <is>
          <t>Market cap (raw)</t>
        </is>
      </c>
      <c r="F2028" s="83">
        <f>BDP("ALAB US Equity","CUR_MKT_CAP")</f>
        <v/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E2029" t="inlineStr">
        <is>
          <t>YTD price change %</t>
        </is>
      </c>
      <c r="F2029" s="83">
        <f>BDP("ALAB US Equity","CHG_PCT_YTD")</f>
        <v/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E2030" t="inlineStr">
        <is>
          <t>Net debt / EBITDA</t>
        </is>
      </c>
      <c r="F2030" s="83">
        <f>BDP("ALAB US Equity","NET_DEBT_TO_EBITDA")</f>
        <v/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E2031" t="inlineStr">
        <is>
          <t>ROIC (LTM)</t>
        </is>
      </c>
      <c r="F2031" s="83">
        <f>BDP("ALAB US Equity","RETURN_ON_INV_CAPITAL")</f>
        <v/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E2032" t="inlineStr">
        <is>
          <t>LTM operating income</t>
        </is>
      </c>
      <c r="F2032" s="83">
        <f>BDP("ALAB US Equity","TRAIL_12M_OPER_INC")</f>
        <v/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E2033" t="inlineStr">
        <is>
          <t>LTM EBITDA</t>
        </is>
      </c>
      <c r="F2033" s="83">
        <f>BDP("ALAB US Equity","TRAIL_12M_EBITDA")</f>
        <v/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E2034" t="inlineStr">
        <is>
          <t>Total debt</t>
        </is>
      </c>
      <c r="F2034" s="83">
        <f>BDP("ALAB US Equity","SHORT_AND_LONG_TERM_DEBT")</f>
        <v/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E2035" t="inlineStr">
        <is>
          <t>Total equity</t>
        </is>
      </c>
      <c r="F2035" s="83">
        <f>BDP("ALAB US Equity","TOTAL_EQUITY")</f>
        <v/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E2036" t="inlineStr">
        <is>
          <t>Cash &amp; equivalents</t>
        </is>
      </c>
      <c r="F2036" s="83">
        <f>BDP("ALAB US Equity","BS_CASH_NEAR_CASH_ITEM")</f>
        <v/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24Y</t>
        </is>
      </c>
      <c r="E2037" t="inlineStr">
        <is>
          <t>EPS estimate FY2024</t>
        </is>
      </c>
      <c r="F2037" s="83">
        <f>BDP("ALAB US Equity","BEST_EPS","BEST_FPERIOD_OVERRIDE","24Y")</f>
        <v/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24Y</t>
        </is>
      </c>
      <c r="E2038" t="inlineStr">
        <is>
          <t>Revenue estimate FY2024</t>
        </is>
      </c>
      <c r="F2038" s="83">
        <f>BDP("ALAB US Equity","BEST_SALES","BEST_FPERIOD_OVERRIDE","24Y")</f>
        <v/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24Y</t>
        </is>
      </c>
      <c r="E2039" t="inlineStr">
        <is>
          <t>EBIT estimate FY2024</t>
        </is>
      </c>
      <c r="F2039" s="83">
        <f>BDP("ALAB US Equity","BEST_EBIT","BEST_FPERIOD_OVERRIDE","24Y")</f>
        <v/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25Y</t>
        </is>
      </c>
      <c r="E2040" t="inlineStr">
        <is>
          <t>EPS estimate FY2025</t>
        </is>
      </c>
      <c r="F2040" s="83">
        <f>BDP("ALAB US Equity","BEST_EPS","BEST_FPERIOD_OVERRIDE","25Y")</f>
        <v/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25Y</t>
        </is>
      </c>
      <c r="E2041" t="inlineStr">
        <is>
          <t>Revenue estimate FY2025</t>
        </is>
      </c>
      <c r="F2041" s="83">
        <f>BDP("ALAB US Equity","BEST_SALES","BEST_FPERIOD_OVERRIDE","25Y")</f>
        <v/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25Y</t>
        </is>
      </c>
      <c r="E2042" t="inlineStr">
        <is>
          <t>EBIT estimate FY2025</t>
        </is>
      </c>
      <c r="F2042" s="83">
        <f>BDP("ALAB US Equity","BEST_EBIT","BEST_FPERIOD_OVERRIDE","25Y")</f>
        <v/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26Y</t>
        </is>
      </c>
      <c r="E2043" t="inlineStr">
        <is>
          <t>EPS estimate FY2026</t>
        </is>
      </c>
      <c r="F2043" s="83">
        <f>BDP("ALAB US Equity","BEST_EPS","BEST_FPERIOD_OVERRIDE","26Y")</f>
        <v/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26Y</t>
        </is>
      </c>
      <c r="E2044" t="inlineStr">
        <is>
          <t>Revenue estimate FY2026</t>
        </is>
      </c>
      <c r="F2044" s="83">
        <f>BDP("ALAB US Equity","BEST_SALES","BEST_FPERIOD_OVERRIDE","26Y")</f>
        <v/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26Y</t>
        </is>
      </c>
      <c r="E2045" t="inlineStr">
        <is>
          <t>EBIT estimate FY2026</t>
        </is>
      </c>
      <c r="F2045" s="83">
        <f>BDP("ALAB US Equity","BEST_EBIT","BEST_FPERIOD_OVERRIDE","26Y")</f>
        <v/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27Y</t>
        </is>
      </c>
      <c r="E2046" t="inlineStr">
        <is>
          <t>EPS estimate FY2027</t>
        </is>
      </c>
      <c r="F2046" s="83">
        <f>BDP("ALAB US Equity","BEST_EPS","BEST_FPERIOD_OVERRIDE","27Y")</f>
        <v/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27Y</t>
        </is>
      </c>
      <c r="E2047" t="inlineStr">
        <is>
          <t>Revenue estimate FY2027</t>
        </is>
      </c>
      <c r="F2047" s="83">
        <f>BDP("ALAB US Equity","BEST_SALES","BEST_FPERIOD_OVERRIDE","27Y")</f>
        <v/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27Y</t>
        </is>
      </c>
      <c r="E2048" t="inlineStr">
        <is>
          <t>EBIT estimate FY2027</t>
        </is>
      </c>
      <c r="F2048" s="83">
        <f>BDP("ALAB US Equity","BEST_EBIT","BEST_FPERIOD_OVERRIDE","27Y")</f>
        <v/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28Y</t>
        </is>
      </c>
      <c r="E2049" t="inlineStr">
        <is>
          <t>EPS estimate FY2028</t>
        </is>
      </c>
      <c r="F2049" s="83">
        <f>BDP("ALAB US Equity","BEST_EPS","BEST_FPERIOD_OVERRIDE","28Y")</f>
        <v/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28Y</t>
        </is>
      </c>
      <c r="E2050" t="inlineStr">
        <is>
          <t>Revenue estimate FY2028</t>
        </is>
      </c>
      <c r="F2050" s="83">
        <f>BDP("ALAB US Equity","BEST_SALES","BEST_FPERIOD_OVERRIDE","28Y")</f>
        <v/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28Y</t>
        </is>
      </c>
      <c r="E2051" t="inlineStr">
        <is>
          <t>EBIT estimate FY2028</t>
        </is>
      </c>
      <c r="F2051" s="83">
        <f>BDP("ALAB US Equity","BEST_EBIT","BEST_FPERIOD_OVERRIDE","28Y")</f>
        <v/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E2052" t="inlineStr">
        <is>
          <t>Last price</t>
        </is>
      </c>
      <c r="F2052" s="83">
        <f>BDP("NVDA UW Equity","PX_LAST")</f>
        <v/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E2053" t="inlineStr">
        <is>
          <t>Market cap (raw)</t>
        </is>
      </c>
      <c r="F2053" s="83">
        <f>BDP("NVDA UW Equity","CUR_MKT_CAP")</f>
        <v/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E2054" t="inlineStr">
        <is>
          <t>YTD price change %</t>
        </is>
      </c>
      <c r="F2054" s="83">
        <f>BDP("NVDA UW Equity","CHG_PCT_YTD")</f>
        <v/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E2055" t="inlineStr">
        <is>
          <t>Net debt / EBITDA</t>
        </is>
      </c>
      <c r="F2055" s="83">
        <f>BDP("NVDA UW Equity","NET_DEBT_TO_EBITDA")</f>
        <v/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E2056" t="inlineStr">
        <is>
          <t>ROIC (LTM)</t>
        </is>
      </c>
      <c r="F2056" s="83">
        <f>BDP("NVDA UW Equity","RETURN_ON_INV_CAPITAL")</f>
        <v/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E2057" t="inlineStr">
        <is>
          <t>LTM operating income</t>
        </is>
      </c>
      <c r="F2057" s="83">
        <f>BDP("NVDA UW Equity","TRAIL_12M_OPER_INC")</f>
        <v/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E2058" t="inlineStr">
        <is>
          <t>LTM EBITDA</t>
        </is>
      </c>
      <c r="F2058" s="83">
        <f>BDP("NVDA UW Equity","TRAIL_12M_EBITDA")</f>
        <v/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E2059" t="inlineStr">
        <is>
          <t>Total debt</t>
        </is>
      </c>
      <c r="F2059" s="83">
        <f>BDP("NVDA UW Equity","SHORT_AND_LONG_TERM_DEBT")</f>
        <v/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E2060" t="inlineStr">
        <is>
          <t>Total equity</t>
        </is>
      </c>
      <c r="F2060" s="83">
        <f>BDP("NVDA UW Equity","TOTAL_EQUITY")</f>
        <v/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E2061" t="inlineStr">
        <is>
          <t>Cash &amp; equivalents</t>
        </is>
      </c>
      <c r="F2061" s="83">
        <f>BDP("NVDA UW Equity","BS_CASH_NEAR_CASH_ITEM")</f>
        <v/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24Y</t>
        </is>
      </c>
      <c r="E2062" t="inlineStr">
        <is>
          <t>EPS estimate FY2024</t>
        </is>
      </c>
      <c r="F2062" s="83">
        <f>BDP("NVDA UW Equity","BEST_EPS","BEST_FPERIOD_OVERRIDE","24Y")</f>
        <v/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24Y</t>
        </is>
      </c>
      <c r="E2063" t="inlineStr">
        <is>
          <t>Revenue estimate FY2024</t>
        </is>
      </c>
      <c r="F2063" s="83">
        <f>BDP("NVDA UW Equity","BEST_SALES","BEST_FPERIOD_OVERRIDE","24Y")</f>
        <v/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24Y</t>
        </is>
      </c>
      <c r="E2064" t="inlineStr">
        <is>
          <t>EBIT estimate FY2024</t>
        </is>
      </c>
      <c r="F2064" s="83">
        <f>BDP("NVDA UW Equity","BEST_EBIT","BEST_FPERIOD_OVERRIDE","24Y")</f>
        <v/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25Y</t>
        </is>
      </c>
      <c r="E2065" t="inlineStr">
        <is>
          <t>EPS estimate FY2025</t>
        </is>
      </c>
      <c r="F2065" s="83">
        <f>BDP("NVDA UW Equity","BEST_EPS","BEST_FPERIOD_OVERRIDE","25Y")</f>
        <v/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25Y</t>
        </is>
      </c>
      <c r="E2066" t="inlineStr">
        <is>
          <t>Revenue estimate FY2025</t>
        </is>
      </c>
      <c r="F2066" s="83">
        <f>BDP("NVDA UW Equity","BEST_SALES","BEST_FPERIOD_OVERRIDE","25Y")</f>
        <v/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25Y</t>
        </is>
      </c>
      <c r="E2067" t="inlineStr">
        <is>
          <t>EBIT estimate FY2025</t>
        </is>
      </c>
      <c r="F2067" s="83">
        <f>BDP("NVDA UW Equity","BEST_EBIT","BEST_FPERIOD_OVERRIDE","25Y")</f>
        <v/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26Y</t>
        </is>
      </c>
      <c r="E2068" t="inlineStr">
        <is>
          <t>EPS estimate FY2026</t>
        </is>
      </c>
      <c r="F2068" s="83">
        <f>BDP("NVDA UW Equity","BEST_EPS","BEST_FPERIOD_OVERRIDE","26Y")</f>
        <v/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26Y</t>
        </is>
      </c>
      <c r="E2069" t="inlineStr">
        <is>
          <t>Revenue estimate FY2026</t>
        </is>
      </c>
      <c r="F2069" s="83">
        <f>BDP("NVDA UW Equity","BEST_SALES","BEST_FPERIOD_OVERRIDE","26Y")</f>
        <v/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26Y</t>
        </is>
      </c>
      <c r="E2070" t="inlineStr">
        <is>
          <t>EBIT estimate FY2026</t>
        </is>
      </c>
      <c r="F2070" s="83">
        <f>BDP("NVDA UW Equity","BEST_EBIT","BEST_FPERIOD_OVERRIDE","26Y")</f>
        <v/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27Y</t>
        </is>
      </c>
      <c r="E2071" t="inlineStr">
        <is>
          <t>EPS estimate FY2027</t>
        </is>
      </c>
      <c r="F2071" s="83">
        <f>BDP("NVDA UW Equity","BEST_EPS","BEST_FPERIOD_OVERRIDE","27Y")</f>
        <v/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27Y</t>
        </is>
      </c>
      <c r="E2072" t="inlineStr">
        <is>
          <t>Revenue estimate FY2027</t>
        </is>
      </c>
      <c r="F2072" s="83">
        <f>BDP("NVDA UW Equity","BEST_SALES","BEST_FPERIOD_OVERRIDE","27Y")</f>
        <v/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27Y</t>
        </is>
      </c>
      <c r="E2073" t="inlineStr">
        <is>
          <t>EBIT estimate FY2027</t>
        </is>
      </c>
      <c r="F2073" s="83">
        <f>BDP("NVDA UW Equity","BEST_EBIT","BEST_FPERIOD_OVERRIDE","27Y")</f>
        <v/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28Y</t>
        </is>
      </c>
      <c r="E2074" t="inlineStr">
        <is>
          <t>EPS estimate FY2028</t>
        </is>
      </c>
      <c r="F2074" s="83">
        <f>BDP("NVDA UW Equity","BEST_EPS","BEST_FPERIOD_OVERRIDE","28Y")</f>
        <v/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28Y</t>
        </is>
      </c>
      <c r="E2075" t="inlineStr">
        <is>
          <t>Revenue estimate FY2028</t>
        </is>
      </c>
      <c r="F2075" s="83">
        <f>BDP("NVDA UW Equity","BEST_SALES","BEST_FPERIOD_OVERRIDE","28Y")</f>
        <v/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28Y</t>
        </is>
      </c>
      <c r="E2076" t="inlineStr">
        <is>
          <t>EBIT estimate FY2028</t>
        </is>
      </c>
      <c r="F2076" s="83">
        <f>BDP("NVDA UW Equity","BEST_EBIT","BEST_FPERIOD_OVERRIDE","28Y")</f>
        <v/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E2077" t="inlineStr">
        <is>
          <t>Last price</t>
        </is>
      </c>
      <c r="F2077" s="83">
        <f>BDP("AMD UW Equity","PX_LAST")</f>
        <v/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E2078" t="inlineStr">
        <is>
          <t>Market cap (raw)</t>
        </is>
      </c>
      <c r="F2078" s="83">
        <f>BDP("AMD UW Equity","CUR_MKT_CAP")</f>
        <v/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E2079" t="inlineStr">
        <is>
          <t>YTD price change %</t>
        </is>
      </c>
      <c r="F2079" s="83">
        <f>BDP("AMD UW Equity","CHG_PCT_YTD")</f>
        <v/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E2080" t="inlineStr">
        <is>
          <t>Net debt / EBITDA</t>
        </is>
      </c>
      <c r="F2080" s="83">
        <f>BDP("AMD UW Equity","NET_DEBT_TO_EBITDA")</f>
        <v/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E2081" t="inlineStr">
        <is>
          <t>ROIC (LTM)</t>
        </is>
      </c>
      <c r="F2081" s="83">
        <f>BDP("AMD UW Equity","RETURN_ON_INV_CAPITAL")</f>
        <v/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E2082" t="inlineStr">
        <is>
          <t>LTM operating income</t>
        </is>
      </c>
      <c r="F2082" s="83">
        <f>BDP("AMD UW Equity","TRAIL_12M_OPER_INC")</f>
        <v/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E2083" t="inlineStr">
        <is>
          <t>LTM EBITDA</t>
        </is>
      </c>
      <c r="F2083" s="83">
        <f>BDP("AMD UW Equity","TRAIL_12M_EBITDA")</f>
        <v/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E2084" t="inlineStr">
        <is>
          <t>Total debt</t>
        </is>
      </c>
      <c r="F2084" s="83">
        <f>BDP("AMD UW Equity","SHORT_AND_LONG_TERM_DEBT")</f>
        <v/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E2085" t="inlineStr">
        <is>
          <t>Total equity</t>
        </is>
      </c>
      <c r="F2085" s="83">
        <f>BDP("AMD UW Equity","TOTAL_EQUITY")</f>
        <v/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E2086" t="inlineStr">
        <is>
          <t>Cash &amp; equivalents</t>
        </is>
      </c>
      <c r="F2086" s="83">
        <f>BDP("AMD UW Equity","BS_CASH_NEAR_CASH_ITEM")</f>
        <v/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24Y</t>
        </is>
      </c>
      <c r="E2087" t="inlineStr">
        <is>
          <t>EPS estimate FY2024</t>
        </is>
      </c>
      <c r="F2087" s="83">
        <f>BDP("AMD UW Equity","BEST_EPS","BEST_FPERIOD_OVERRIDE","24Y")</f>
        <v/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24Y</t>
        </is>
      </c>
      <c r="E2088" t="inlineStr">
        <is>
          <t>Revenue estimate FY2024</t>
        </is>
      </c>
      <c r="F2088" s="83">
        <f>BDP("AMD UW Equity","BEST_SALES","BEST_FPERIOD_OVERRIDE","24Y")</f>
        <v/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24Y</t>
        </is>
      </c>
      <c r="E2089" t="inlineStr">
        <is>
          <t>EBIT estimate FY2024</t>
        </is>
      </c>
      <c r="F2089" s="83">
        <f>BDP("AMD UW Equity","BEST_EBIT","BEST_FPERIOD_OVERRIDE","24Y")</f>
        <v/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25Y</t>
        </is>
      </c>
      <c r="E2090" t="inlineStr">
        <is>
          <t>EPS estimate FY2025</t>
        </is>
      </c>
      <c r="F2090" s="83">
        <f>BDP("AMD UW Equity","BEST_EPS","BEST_FPERIOD_OVERRIDE","25Y")</f>
        <v/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25Y</t>
        </is>
      </c>
      <c r="E2091" t="inlineStr">
        <is>
          <t>Revenue estimate FY2025</t>
        </is>
      </c>
      <c r="F2091" s="83">
        <f>BDP("AMD UW Equity","BEST_SALES","BEST_FPERIOD_OVERRIDE","25Y")</f>
        <v/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25Y</t>
        </is>
      </c>
      <c r="E2092" t="inlineStr">
        <is>
          <t>EBIT estimate FY2025</t>
        </is>
      </c>
      <c r="F2092" s="83">
        <f>BDP("AMD UW Equity","BEST_EBIT","BEST_FPERIOD_OVERRIDE","25Y")</f>
        <v/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26Y</t>
        </is>
      </c>
      <c r="E2093" t="inlineStr">
        <is>
          <t>EPS estimate FY2026</t>
        </is>
      </c>
      <c r="F2093" s="83">
        <f>BDP("AMD UW Equity","BEST_EPS","BEST_FPERIOD_OVERRIDE","26Y")</f>
        <v/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26Y</t>
        </is>
      </c>
      <c r="E2094" t="inlineStr">
        <is>
          <t>Revenue estimate FY2026</t>
        </is>
      </c>
      <c r="F2094" s="83">
        <f>BDP("AMD UW Equity","BEST_SALES","BEST_FPERIOD_OVERRIDE","26Y")</f>
        <v/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26Y</t>
        </is>
      </c>
      <c r="E2095" t="inlineStr">
        <is>
          <t>EBIT estimate FY2026</t>
        </is>
      </c>
      <c r="F2095" s="83">
        <f>BDP("AMD UW Equity","BEST_EBIT","BEST_FPERIOD_OVERRIDE","26Y")</f>
        <v/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27Y</t>
        </is>
      </c>
      <c r="E2096" t="inlineStr">
        <is>
          <t>EPS estimate FY2027</t>
        </is>
      </c>
      <c r="F2096" s="83">
        <f>BDP("AMD UW Equity","BEST_EPS","BEST_FPERIOD_OVERRIDE","27Y")</f>
        <v/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27Y</t>
        </is>
      </c>
      <c r="E2097" t="inlineStr">
        <is>
          <t>Revenue estimate FY2027</t>
        </is>
      </c>
      <c r="F2097" s="83">
        <f>BDP("AMD UW Equity","BEST_SALES","BEST_FPERIOD_OVERRIDE","27Y")</f>
        <v/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27Y</t>
        </is>
      </c>
      <c r="E2098" t="inlineStr">
        <is>
          <t>EBIT estimate FY2027</t>
        </is>
      </c>
      <c r="F2098" s="83">
        <f>BDP("AMD UW Equity","BEST_EBIT","BEST_FPERIOD_OVERRIDE","27Y")</f>
        <v/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28Y</t>
        </is>
      </c>
      <c r="E2099" t="inlineStr">
        <is>
          <t>EPS estimate FY2028</t>
        </is>
      </c>
      <c r="F2099" s="83">
        <f>BDP("AMD UW Equity","BEST_EPS","BEST_FPERIOD_OVERRIDE","28Y")</f>
        <v/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28Y</t>
        </is>
      </c>
      <c r="E2100" t="inlineStr">
        <is>
          <t>Revenue estimate FY2028</t>
        </is>
      </c>
      <c r="F2100" s="83">
        <f>BDP("AMD UW Equity","BEST_SALES","BEST_FPERIOD_OVERRIDE","28Y")</f>
        <v/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28Y</t>
        </is>
      </c>
      <c r="E2101" t="inlineStr">
        <is>
          <t>EBIT estimate FY2028</t>
        </is>
      </c>
      <c r="F2101" s="83">
        <f>BDP("AMD UW Equity","BEST_EBIT","BEST_FPERIOD_OVERRIDE","28Y")</f>
        <v/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E2102" t="inlineStr">
        <is>
          <t>Last price</t>
        </is>
      </c>
      <c r="F2102" s="83">
        <f>BDP("QCOM UW Equity","PX_LAST")</f>
        <v/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E2103" t="inlineStr">
        <is>
          <t>Market cap (raw)</t>
        </is>
      </c>
      <c r="F2103" s="83">
        <f>BDP("QCOM UW Equity","CUR_MKT_CAP")</f>
        <v/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E2104" t="inlineStr">
        <is>
          <t>YTD price change %</t>
        </is>
      </c>
      <c r="F2104" s="83">
        <f>BDP("QCOM UW Equity","CHG_PCT_YTD")</f>
        <v/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E2105" t="inlineStr">
        <is>
          <t>Net debt / EBITDA</t>
        </is>
      </c>
      <c r="F2105" s="83">
        <f>BDP("QCOM UW Equity","NET_DEBT_TO_EBITDA")</f>
        <v/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E2106" t="inlineStr">
        <is>
          <t>ROIC (LTM)</t>
        </is>
      </c>
      <c r="F2106" s="83">
        <f>BDP("QCOM UW Equity","RETURN_ON_INV_CAPITAL")</f>
        <v/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E2107" t="inlineStr">
        <is>
          <t>LTM operating income</t>
        </is>
      </c>
      <c r="F2107" s="83">
        <f>BDP("QCOM UW Equity","TRAIL_12M_OPER_INC")</f>
        <v/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E2108" t="inlineStr">
        <is>
          <t>LTM EBITDA</t>
        </is>
      </c>
      <c r="F2108" s="83">
        <f>BDP("QCOM UW Equity","TRAIL_12M_EBITDA")</f>
        <v/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E2109" t="inlineStr">
        <is>
          <t>Total debt</t>
        </is>
      </c>
      <c r="F2109" s="83">
        <f>BDP("QCOM UW Equity","SHORT_AND_LONG_TERM_DEBT")</f>
        <v/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E2110" t="inlineStr">
        <is>
          <t>Total equity</t>
        </is>
      </c>
      <c r="F2110" s="83">
        <f>BDP("QCOM UW Equity","TOTAL_EQUITY")</f>
        <v/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E2111" t="inlineStr">
        <is>
          <t>Cash &amp; equivalents</t>
        </is>
      </c>
      <c r="F2111" s="83">
        <f>BDP("QCOM UW Equity","BS_CASH_NEAR_CASH_ITEM")</f>
        <v/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24Y</t>
        </is>
      </c>
      <c r="E2112" t="inlineStr">
        <is>
          <t>EPS estimate FY2024</t>
        </is>
      </c>
      <c r="F2112" s="83">
        <f>BDP("QCOM UW Equity","BEST_EPS","BEST_FPERIOD_OVERRIDE","24Y")</f>
        <v/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24Y</t>
        </is>
      </c>
      <c r="E2113" t="inlineStr">
        <is>
          <t>Revenue estimate FY2024</t>
        </is>
      </c>
      <c r="F2113" s="83">
        <f>BDP("QCOM UW Equity","BEST_SALES","BEST_FPERIOD_OVERRIDE","24Y")</f>
        <v/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24Y</t>
        </is>
      </c>
      <c r="E2114" t="inlineStr">
        <is>
          <t>EBIT estimate FY2024</t>
        </is>
      </c>
      <c r="F2114" s="83">
        <f>BDP("QCOM UW Equity","BEST_EBIT","BEST_FPERIOD_OVERRIDE","24Y")</f>
        <v/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25Y</t>
        </is>
      </c>
      <c r="E2115" t="inlineStr">
        <is>
          <t>EPS estimate FY2025</t>
        </is>
      </c>
      <c r="F2115" s="83">
        <f>BDP("QCOM UW Equity","BEST_EPS","BEST_FPERIOD_OVERRIDE","25Y")</f>
        <v/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25Y</t>
        </is>
      </c>
      <c r="E2116" t="inlineStr">
        <is>
          <t>Revenue estimate FY2025</t>
        </is>
      </c>
      <c r="F2116" s="83">
        <f>BDP("QCOM UW Equity","BEST_SALES","BEST_FPERIOD_OVERRIDE","25Y")</f>
        <v/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25Y</t>
        </is>
      </c>
      <c r="E2117" t="inlineStr">
        <is>
          <t>EBIT estimate FY2025</t>
        </is>
      </c>
      <c r="F2117" s="83">
        <f>BDP("QCOM UW Equity","BEST_EBIT","BEST_FPERIOD_OVERRIDE","25Y")</f>
        <v/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26Y</t>
        </is>
      </c>
      <c r="E2118" t="inlineStr">
        <is>
          <t>EPS estimate FY2026</t>
        </is>
      </c>
      <c r="F2118" s="83">
        <f>BDP("QCOM UW Equity","BEST_EPS","BEST_FPERIOD_OVERRIDE","26Y")</f>
        <v/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26Y</t>
        </is>
      </c>
      <c r="E2119" t="inlineStr">
        <is>
          <t>Revenue estimate FY2026</t>
        </is>
      </c>
      <c r="F2119" s="83">
        <f>BDP("QCOM UW Equity","BEST_SALES","BEST_FPERIOD_OVERRIDE","26Y")</f>
        <v/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26Y</t>
        </is>
      </c>
      <c r="E2120" t="inlineStr">
        <is>
          <t>EBIT estimate FY2026</t>
        </is>
      </c>
      <c r="F2120" s="83">
        <f>BDP("QCOM UW Equity","BEST_EBIT","BEST_FPERIOD_OVERRIDE","26Y")</f>
        <v/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27Y</t>
        </is>
      </c>
      <c r="E2121" t="inlineStr">
        <is>
          <t>EPS estimate FY2027</t>
        </is>
      </c>
      <c r="F2121" s="83">
        <f>BDP("QCOM UW Equity","BEST_EPS","BEST_FPERIOD_OVERRIDE","27Y")</f>
        <v/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27Y</t>
        </is>
      </c>
      <c r="E2122" t="inlineStr">
        <is>
          <t>Revenue estimate FY2027</t>
        </is>
      </c>
      <c r="F2122" s="83">
        <f>BDP("QCOM UW Equity","BEST_SALES","BEST_FPERIOD_OVERRIDE","27Y")</f>
        <v/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27Y</t>
        </is>
      </c>
      <c r="E2123" t="inlineStr">
        <is>
          <t>EBIT estimate FY2027</t>
        </is>
      </c>
      <c r="F2123" s="83">
        <f>BDP("QCOM UW Equity","BEST_EBIT","BEST_FPERIOD_OVERRIDE","27Y")</f>
        <v/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28Y</t>
        </is>
      </c>
      <c r="E2124" t="inlineStr">
        <is>
          <t>EPS estimate FY2028</t>
        </is>
      </c>
      <c r="F2124" s="83">
        <f>BDP("QCOM UW Equity","BEST_EPS","BEST_FPERIOD_OVERRIDE","28Y")</f>
        <v/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28Y</t>
        </is>
      </c>
      <c r="E2125" t="inlineStr">
        <is>
          <t>Revenue estimate FY2028</t>
        </is>
      </c>
      <c r="F2125" s="83">
        <f>BDP("QCOM UW Equity","BEST_SALES","BEST_FPERIOD_OVERRIDE","28Y")</f>
        <v/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28Y</t>
        </is>
      </c>
      <c r="E2126" t="inlineStr">
        <is>
          <t>EBIT estimate FY2028</t>
        </is>
      </c>
      <c r="F2126" s="83">
        <f>BDP("QCOM UW Equity","BEST_EBIT","BEST_FPERIOD_OVERRIDE","28Y")</f>
        <v/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E2127" t="inlineStr">
        <is>
          <t>Last price</t>
        </is>
      </c>
      <c r="F2127" s="83">
        <f>BDP("ARM UW Equity","PX_LAST")</f>
        <v/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E2128" t="inlineStr">
        <is>
          <t>Market cap (raw)</t>
        </is>
      </c>
      <c r="F2128" s="83">
        <f>BDP("ARM UW Equity","CUR_MKT_CAP")</f>
        <v/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E2129" t="inlineStr">
        <is>
          <t>YTD price change %</t>
        </is>
      </c>
      <c r="F2129" s="83">
        <f>BDP("ARM UW Equity","CHG_PCT_YTD")</f>
        <v/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E2130" t="inlineStr">
        <is>
          <t>Net debt / EBITDA</t>
        </is>
      </c>
      <c r="F2130" s="83">
        <f>BDP("ARM UW Equity","NET_DEBT_TO_EBITDA")</f>
        <v/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E2131" t="inlineStr">
        <is>
          <t>ROIC (LTM)</t>
        </is>
      </c>
      <c r="F2131" s="83">
        <f>BDP("ARM UW Equity","RETURN_ON_INV_CAPITAL")</f>
        <v/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E2132" t="inlineStr">
        <is>
          <t>LTM operating income</t>
        </is>
      </c>
      <c r="F2132" s="83">
        <f>BDP("ARM UW Equity","TRAIL_12M_OPER_INC")</f>
        <v/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E2133" t="inlineStr">
        <is>
          <t>LTM EBITDA</t>
        </is>
      </c>
      <c r="F2133" s="83">
        <f>BDP("ARM UW Equity","TRAIL_12M_EBITDA")</f>
        <v/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E2134" t="inlineStr">
        <is>
          <t>Total debt</t>
        </is>
      </c>
      <c r="F2134" s="83">
        <f>BDP("ARM UW Equity","SHORT_AND_LONG_TERM_DEBT")</f>
        <v/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E2135" t="inlineStr">
        <is>
          <t>Total equity</t>
        </is>
      </c>
      <c r="F2135" s="83">
        <f>BDP("ARM UW Equity","TOTAL_EQUITY")</f>
        <v/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E2136" t="inlineStr">
        <is>
          <t>Cash &amp; equivalents</t>
        </is>
      </c>
      <c r="F2136" s="83">
        <f>BDP("ARM UW Equity","BS_CASH_NEAR_CASH_ITEM")</f>
        <v/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24Y</t>
        </is>
      </c>
      <c r="E2137" t="inlineStr">
        <is>
          <t>EPS estimate FY2024</t>
        </is>
      </c>
      <c r="F2137" s="83">
        <f>BDP("ARM UW Equity","BEST_EPS","BEST_FPERIOD_OVERRIDE","24Y")</f>
        <v/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24Y</t>
        </is>
      </c>
      <c r="E2138" t="inlineStr">
        <is>
          <t>Revenue estimate FY2024</t>
        </is>
      </c>
      <c r="F2138" s="83">
        <f>BDP("ARM UW Equity","BEST_SALES","BEST_FPERIOD_OVERRIDE","24Y")</f>
        <v/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24Y</t>
        </is>
      </c>
      <c r="E2139" t="inlineStr">
        <is>
          <t>EBIT estimate FY2024</t>
        </is>
      </c>
      <c r="F2139" s="83">
        <f>BDP("ARM UW Equity","BEST_EBIT","BEST_FPERIOD_OVERRIDE","24Y")</f>
        <v/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25Y</t>
        </is>
      </c>
      <c r="E2140" t="inlineStr">
        <is>
          <t>EPS estimate FY2025</t>
        </is>
      </c>
      <c r="F2140" s="83">
        <f>BDP("ARM UW Equity","BEST_EPS","BEST_FPERIOD_OVERRIDE","25Y")</f>
        <v/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25Y</t>
        </is>
      </c>
      <c r="E2141" t="inlineStr">
        <is>
          <t>Revenue estimate FY2025</t>
        </is>
      </c>
      <c r="F2141" s="83">
        <f>BDP("ARM UW Equity","BEST_SALES","BEST_FPERIOD_OVERRIDE","25Y")</f>
        <v/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25Y</t>
        </is>
      </c>
      <c r="E2142" t="inlineStr">
        <is>
          <t>EBIT estimate FY2025</t>
        </is>
      </c>
      <c r="F2142" s="83">
        <f>BDP("ARM UW Equity","BEST_EBIT","BEST_FPERIOD_OVERRIDE","25Y")</f>
        <v/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26Y</t>
        </is>
      </c>
      <c r="E2143" t="inlineStr">
        <is>
          <t>EPS estimate FY2026</t>
        </is>
      </c>
      <c r="F2143" s="83">
        <f>BDP("ARM UW Equity","BEST_EPS","BEST_FPERIOD_OVERRIDE","26Y")</f>
        <v/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26Y</t>
        </is>
      </c>
      <c r="E2144" t="inlineStr">
        <is>
          <t>Revenue estimate FY2026</t>
        </is>
      </c>
      <c r="F2144" s="83">
        <f>BDP("ARM UW Equity","BEST_SALES","BEST_FPERIOD_OVERRIDE","26Y")</f>
        <v/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26Y</t>
        </is>
      </c>
      <c r="E2145" t="inlineStr">
        <is>
          <t>EBIT estimate FY2026</t>
        </is>
      </c>
      <c r="F2145" s="83">
        <f>BDP("ARM UW Equity","BEST_EBIT","BEST_FPERIOD_OVERRIDE","26Y")</f>
        <v/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27Y</t>
        </is>
      </c>
      <c r="E2146" t="inlineStr">
        <is>
          <t>EPS estimate FY2027</t>
        </is>
      </c>
      <c r="F2146" s="83">
        <f>BDP("ARM UW Equity","BEST_EPS","BEST_FPERIOD_OVERRIDE","27Y")</f>
        <v/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27Y</t>
        </is>
      </c>
      <c r="E2147" t="inlineStr">
        <is>
          <t>Revenue estimate FY2027</t>
        </is>
      </c>
      <c r="F2147" s="83">
        <f>BDP("ARM UW Equity","BEST_SALES","BEST_FPERIOD_OVERRIDE","27Y")</f>
        <v/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27Y</t>
        </is>
      </c>
      <c r="E2148" t="inlineStr">
        <is>
          <t>EBIT estimate FY2027</t>
        </is>
      </c>
      <c r="F2148" s="83">
        <f>BDP("ARM UW Equity","BEST_EBIT","BEST_FPERIOD_OVERRIDE","27Y")</f>
        <v/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28Y</t>
        </is>
      </c>
      <c r="E2149" t="inlineStr">
        <is>
          <t>EPS estimate FY2028</t>
        </is>
      </c>
      <c r="F2149" s="83">
        <f>BDP("ARM UW Equity","BEST_EPS","BEST_FPERIOD_OVERRIDE","28Y")</f>
        <v/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28Y</t>
        </is>
      </c>
      <c r="E2150" t="inlineStr">
        <is>
          <t>Revenue estimate FY2028</t>
        </is>
      </c>
      <c r="F2150" s="83">
        <f>BDP("ARM UW Equity","BEST_SALES","BEST_FPERIOD_OVERRIDE","28Y")</f>
        <v/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28Y</t>
        </is>
      </c>
      <c r="E2151" t="inlineStr">
        <is>
          <t>EBIT estimate FY2028</t>
        </is>
      </c>
      <c r="F2151" s="83">
        <f>BDP("ARM UW Equity","BEST_EBIT","BEST_FPERIOD_OVERRIDE","28Y")</f>
        <v/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E2152" t="inlineStr">
        <is>
          <t>Last price</t>
        </is>
      </c>
      <c r="F2152" s="83">
        <f>BDP("INTC UW Equity","PX_LAST")</f>
        <v/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E2153" t="inlineStr">
        <is>
          <t>Market cap (raw)</t>
        </is>
      </c>
      <c r="F2153" s="83">
        <f>BDP("INTC UW Equity","CUR_MKT_CAP")</f>
        <v/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E2154" t="inlineStr">
        <is>
          <t>YTD price change %</t>
        </is>
      </c>
      <c r="F2154" s="83">
        <f>BDP("INTC UW Equity","CHG_PCT_YTD")</f>
        <v/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E2155" t="inlineStr">
        <is>
          <t>Net debt / EBITDA</t>
        </is>
      </c>
      <c r="F2155" s="83">
        <f>BDP("INTC UW Equity","NET_DEBT_TO_EBITDA")</f>
        <v/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E2156" t="inlineStr">
        <is>
          <t>ROIC (LTM)</t>
        </is>
      </c>
      <c r="F2156" s="83">
        <f>BDP("INTC UW Equity","RETURN_ON_INV_CAPITAL")</f>
        <v/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E2157" t="inlineStr">
        <is>
          <t>LTM operating income</t>
        </is>
      </c>
      <c r="F2157" s="83">
        <f>BDP("INTC UW Equity","TRAIL_12M_OPER_INC")</f>
        <v/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E2158" t="inlineStr">
        <is>
          <t>LTM EBITDA</t>
        </is>
      </c>
      <c r="F2158" s="83">
        <f>BDP("INTC UW Equity","TRAIL_12M_EBITDA")</f>
        <v/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E2159" t="inlineStr">
        <is>
          <t>Total debt</t>
        </is>
      </c>
      <c r="F2159" s="83">
        <f>BDP("INTC UW Equity","SHORT_AND_LONG_TERM_DEBT")</f>
        <v/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E2160" t="inlineStr">
        <is>
          <t>Total equity</t>
        </is>
      </c>
      <c r="F2160" s="83">
        <f>BDP("INTC UW Equity","TOTAL_EQUITY")</f>
        <v/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E2161" t="inlineStr">
        <is>
          <t>Cash &amp; equivalents</t>
        </is>
      </c>
      <c r="F2161" s="83">
        <f>BDP("INTC UW Equity","BS_CASH_NEAR_CASH_ITEM")</f>
        <v/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24Y</t>
        </is>
      </c>
      <c r="E2162" t="inlineStr">
        <is>
          <t>EPS estimate FY2024</t>
        </is>
      </c>
      <c r="F2162" s="83">
        <f>BDP("INTC UW Equity","BEST_EPS","BEST_FPERIOD_OVERRIDE","24Y")</f>
        <v/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24Y</t>
        </is>
      </c>
      <c r="E2163" t="inlineStr">
        <is>
          <t>Revenue estimate FY2024</t>
        </is>
      </c>
      <c r="F2163" s="83">
        <f>BDP("INTC UW Equity","BEST_SALES","BEST_FPERIOD_OVERRIDE","24Y")</f>
        <v/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24Y</t>
        </is>
      </c>
      <c r="E2164" t="inlineStr">
        <is>
          <t>EBIT estimate FY2024</t>
        </is>
      </c>
      <c r="F2164" s="83">
        <f>BDP("INTC UW Equity","BEST_EBIT","BEST_FPERIOD_OVERRIDE","24Y")</f>
        <v/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25Y</t>
        </is>
      </c>
      <c r="E2165" t="inlineStr">
        <is>
          <t>EPS estimate FY2025</t>
        </is>
      </c>
      <c r="F2165" s="83">
        <f>BDP("INTC UW Equity","BEST_EPS","BEST_FPERIOD_OVERRIDE","25Y")</f>
        <v/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25Y</t>
        </is>
      </c>
      <c r="E2166" t="inlineStr">
        <is>
          <t>Revenue estimate FY2025</t>
        </is>
      </c>
      <c r="F2166" s="83">
        <f>BDP("INTC UW Equity","BEST_SALES","BEST_FPERIOD_OVERRIDE","25Y")</f>
        <v/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25Y</t>
        </is>
      </c>
      <c r="E2167" t="inlineStr">
        <is>
          <t>EBIT estimate FY2025</t>
        </is>
      </c>
      <c r="F2167" s="83">
        <f>BDP("INTC UW Equity","BEST_EBIT","BEST_FPERIOD_OVERRIDE","25Y")</f>
        <v/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26Y</t>
        </is>
      </c>
      <c r="E2168" t="inlineStr">
        <is>
          <t>EPS estimate FY2026</t>
        </is>
      </c>
      <c r="F2168" s="83">
        <f>BDP("INTC UW Equity","BEST_EPS","BEST_FPERIOD_OVERRIDE","26Y")</f>
        <v/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26Y</t>
        </is>
      </c>
      <c r="E2169" t="inlineStr">
        <is>
          <t>Revenue estimate FY2026</t>
        </is>
      </c>
      <c r="F2169" s="83">
        <f>BDP("INTC UW Equity","BEST_SALES","BEST_FPERIOD_OVERRIDE","26Y")</f>
        <v/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26Y</t>
        </is>
      </c>
      <c r="E2170" t="inlineStr">
        <is>
          <t>EBIT estimate FY2026</t>
        </is>
      </c>
      <c r="F2170" s="83">
        <f>BDP("INTC UW Equity","BEST_EBIT","BEST_FPERIOD_OVERRIDE","26Y")</f>
        <v/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27Y</t>
        </is>
      </c>
      <c r="E2171" t="inlineStr">
        <is>
          <t>EPS estimate FY2027</t>
        </is>
      </c>
      <c r="F2171" s="83">
        <f>BDP("INTC UW Equity","BEST_EPS","BEST_FPERIOD_OVERRIDE","27Y")</f>
        <v/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27Y</t>
        </is>
      </c>
      <c r="E2172" t="inlineStr">
        <is>
          <t>Revenue estimate FY2027</t>
        </is>
      </c>
      <c r="F2172" s="83">
        <f>BDP("INTC UW Equity","BEST_SALES","BEST_FPERIOD_OVERRIDE","27Y")</f>
        <v/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27Y</t>
        </is>
      </c>
      <c r="E2173" t="inlineStr">
        <is>
          <t>EBIT estimate FY2027</t>
        </is>
      </c>
      <c r="F2173" s="83">
        <f>BDP("INTC UW Equity","BEST_EBIT","BEST_FPERIOD_OVERRIDE","27Y")</f>
        <v/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28Y</t>
        </is>
      </c>
      <c r="E2174" t="inlineStr">
        <is>
          <t>EPS estimate FY2028</t>
        </is>
      </c>
      <c r="F2174" s="83">
        <f>BDP("INTC UW Equity","BEST_EPS","BEST_FPERIOD_OVERRIDE","28Y")</f>
        <v/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28Y</t>
        </is>
      </c>
      <c r="E2175" t="inlineStr">
        <is>
          <t>Revenue estimate FY2028</t>
        </is>
      </c>
      <c r="F2175" s="83">
        <f>BDP("INTC UW Equity","BEST_SALES","BEST_FPERIOD_OVERRIDE","28Y")</f>
        <v/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28Y</t>
        </is>
      </c>
      <c r="E2176" t="inlineStr">
        <is>
          <t>EBIT estimate FY2028</t>
        </is>
      </c>
      <c r="F2176" s="83">
        <f>BDP("INTC UW Equity","BEST_EBIT","BEST_FPERIOD_OVERRIDE","28Y")</f>
        <v/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E2177" t="inlineStr">
        <is>
          <t>Last price</t>
        </is>
      </c>
      <c r="F2177" s="83">
        <f>BDP("TSM UN Equity","PX_LAST")</f>
        <v/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E2178" t="inlineStr">
        <is>
          <t>Market cap (raw)</t>
        </is>
      </c>
      <c r="F2178" s="83">
        <f>BDP("TSM UN Equity","CUR_MKT_CAP")</f>
        <v/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E2179" t="inlineStr">
        <is>
          <t>YTD price change %</t>
        </is>
      </c>
      <c r="F2179" s="83">
        <f>BDP("TSM UN Equity","CHG_PCT_YTD")</f>
        <v/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E2180" t="inlineStr">
        <is>
          <t>Net debt / EBITDA</t>
        </is>
      </c>
      <c r="F2180" s="83">
        <f>BDP("TSM UN Equity","NET_DEBT_TO_EBITDA")</f>
        <v/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E2181" t="inlineStr">
        <is>
          <t>ROIC (LTM)</t>
        </is>
      </c>
      <c r="F2181" s="83">
        <f>BDP("TSM UN Equity","RETURN_ON_INV_CAPITAL")</f>
        <v/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E2182" t="inlineStr">
        <is>
          <t>LTM operating income</t>
        </is>
      </c>
      <c r="F2182" s="83">
        <f>BDP("TSM UN Equity","TRAIL_12M_OPER_INC")</f>
        <v/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E2183" t="inlineStr">
        <is>
          <t>LTM EBITDA</t>
        </is>
      </c>
      <c r="F2183" s="83">
        <f>BDP("TSM UN Equity","TRAIL_12M_EBITDA")</f>
        <v/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E2184" t="inlineStr">
        <is>
          <t>Total debt</t>
        </is>
      </c>
      <c r="F2184" s="83">
        <f>BDP("TSM UN Equity","SHORT_AND_LONG_TERM_DEBT")</f>
        <v/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E2185" t="inlineStr">
        <is>
          <t>Total equity</t>
        </is>
      </c>
      <c r="F2185" s="83">
        <f>BDP("TSM UN Equity","TOTAL_EQUITY")</f>
        <v/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E2186" t="inlineStr">
        <is>
          <t>Cash &amp; equivalents</t>
        </is>
      </c>
      <c r="F2186" s="83">
        <f>BDP("TSM UN Equity","BS_CASH_NEAR_CASH_ITEM")</f>
        <v/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24Y</t>
        </is>
      </c>
      <c r="E2187" t="inlineStr">
        <is>
          <t>EPS estimate FY2024</t>
        </is>
      </c>
      <c r="F2187" s="83">
        <f>BDP("TSM UN Equity","BEST_EPS","BEST_FPERIOD_OVERRIDE","24Y")</f>
        <v/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24Y</t>
        </is>
      </c>
      <c r="E2188" t="inlineStr">
        <is>
          <t>Revenue estimate FY2024</t>
        </is>
      </c>
      <c r="F2188" s="83">
        <f>BDP("TSM UN Equity","BEST_SALES","BEST_FPERIOD_OVERRIDE","24Y")</f>
        <v/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24Y</t>
        </is>
      </c>
      <c r="E2189" t="inlineStr">
        <is>
          <t>EBIT estimate FY2024</t>
        </is>
      </c>
      <c r="F2189" s="83">
        <f>BDP("TSM UN Equity","BEST_EBIT","BEST_FPERIOD_OVERRIDE","24Y")</f>
        <v/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25Y</t>
        </is>
      </c>
      <c r="E2190" t="inlineStr">
        <is>
          <t>EPS estimate FY2025</t>
        </is>
      </c>
      <c r="F2190" s="83">
        <f>BDP("TSM UN Equity","BEST_EPS","BEST_FPERIOD_OVERRIDE","25Y")</f>
        <v/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25Y</t>
        </is>
      </c>
      <c r="E2191" t="inlineStr">
        <is>
          <t>Revenue estimate FY2025</t>
        </is>
      </c>
      <c r="F2191" s="83">
        <f>BDP("TSM UN Equity","BEST_SALES","BEST_FPERIOD_OVERRIDE","25Y")</f>
        <v/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25Y</t>
        </is>
      </c>
      <c r="E2192" t="inlineStr">
        <is>
          <t>EBIT estimate FY2025</t>
        </is>
      </c>
      <c r="F2192" s="83">
        <f>BDP("TSM UN Equity","BEST_EBIT","BEST_FPERIOD_OVERRIDE","25Y")</f>
        <v/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26Y</t>
        </is>
      </c>
      <c r="E2193" t="inlineStr">
        <is>
          <t>EPS estimate FY2026</t>
        </is>
      </c>
      <c r="F2193" s="83">
        <f>BDP("TSM UN Equity","BEST_EPS","BEST_FPERIOD_OVERRIDE","26Y")</f>
        <v/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26Y</t>
        </is>
      </c>
      <c r="E2194" t="inlineStr">
        <is>
          <t>Revenue estimate FY2026</t>
        </is>
      </c>
      <c r="F2194" s="83">
        <f>BDP("TSM UN Equity","BEST_SALES","BEST_FPERIOD_OVERRIDE","26Y")</f>
        <v/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26Y</t>
        </is>
      </c>
      <c r="E2195" t="inlineStr">
        <is>
          <t>EBIT estimate FY2026</t>
        </is>
      </c>
      <c r="F2195" s="83">
        <f>BDP("TSM UN Equity","BEST_EBIT","BEST_FPERIOD_OVERRIDE","26Y")</f>
        <v/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27Y</t>
        </is>
      </c>
      <c r="E2196" t="inlineStr">
        <is>
          <t>EPS estimate FY2027</t>
        </is>
      </c>
      <c r="F2196" s="83">
        <f>BDP("TSM UN Equity","BEST_EPS","BEST_FPERIOD_OVERRIDE","27Y")</f>
        <v/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27Y</t>
        </is>
      </c>
      <c r="E2197" t="inlineStr">
        <is>
          <t>Revenue estimate FY2027</t>
        </is>
      </c>
      <c r="F2197" s="83">
        <f>BDP("TSM UN Equity","BEST_SALES","BEST_FPERIOD_OVERRIDE","27Y")</f>
        <v/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27Y</t>
        </is>
      </c>
      <c r="E2198" t="inlineStr">
        <is>
          <t>EBIT estimate FY2027</t>
        </is>
      </c>
      <c r="F2198" s="83">
        <f>BDP("TSM UN Equity","BEST_EBIT","BEST_FPERIOD_OVERRIDE","27Y")</f>
        <v/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28Y</t>
        </is>
      </c>
      <c r="E2199" t="inlineStr">
        <is>
          <t>EPS estimate FY2028</t>
        </is>
      </c>
      <c r="F2199" s="83">
        <f>BDP("TSM UN Equity","BEST_EPS","BEST_FPERIOD_OVERRIDE","28Y")</f>
        <v/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28Y</t>
        </is>
      </c>
      <c r="E2200" t="inlineStr">
        <is>
          <t>Revenue estimate FY2028</t>
        </is>
      </c>
      <c r="F2200" s="83">
        <f>BDP("TSM UN Equity","BEST_SALES","BEST_FPERIOD_OVERRIDE","28Y")</f>
        <v/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28Y</t>
        </is>
      </c>
      <c r="E2201" t="inlineStr">
        <is>
          <t>EBIT estimate FY2028</t>
        </is>
      </c>
      <c r="F2201" s="83">
        <f>BDP("TSM UN Equity","BEST_EBIT","BEST_FPERIOD_OVERRIDE","28Y")</f>
        <v/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E2202" t="inlineStr">
        <is>
          <t>Last price</t>
        </is>
      </c>
      <c r="F2202" s="83">
        <f>BDP("GFS UW Equity","PX_LAST")</f>
        <v/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E2203" t="inlineStr">
        <is>
          <t>Market cap (raw)</t>
        </is>
      </c>
      <c r="F2203" s="83">
        <f>BDP("GFS UW Equity","CUR_MKT_CAP")</f>
        <v/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E2204" t="inlineStr">
        <is>
          <t>YTD price change %</t>
        </is>
      </c>
      <c r="F2204" s="83">
        <f>BDP("GFS UW Equity","CHG_PCT_YTD")</f>
        <v/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E2205" t="inlineStr">
        <is>
          <t>Net debt / EBITDA</t>
        </is>
      </c>
      <c r="F2205" s="83">
        <f>BDP("GFS UW Equity","NET_DEBT_TO_EBITDA")</f>
        <v/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E2206" t="inlineStr">
        <is>
          <t>ROIC (LTM)</t>
        </is>
      </c>
      <c r="F2206" s="83">
        <f>BDP("GFS UW Equity","RETURN_ON_INV_CAPITAL")</f>
        <v/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E2207" t="inlineStr">
        <is>
          <t>LTM operating income</t>
        </is>
      </c>
      <c r="F2207" s="83">
        <f>BDP("GFS UW Equity","TRAIL_12M_OPER_INC")</f>
        <v/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E2208" t="inlineStr">
        <is>
          <t>LTM EBITDA</t>
        </is>
      </c>
      <c r="F2208" s="83">
        <f>BDP("GFS UW Equity","TRAIL_12M_EBITDA")</f>
        <v/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E2209" t="inlineStr">
        <is>
          <t>Total debt</t>
        </is>
      </c>
      <c r="F2209" s="83">
        <f>BDP("GFS UW Equity","SHORT_AND_LONG_TERM_DEBT")</f>
        <v/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E2210" t="inlineStr">
        <is>
          <t>Total equity</t>
        </is>
      </c>
      <c r="F2210" s="83">
        <f>BDP("GFS UW Equity","TOTAL_EQUITY")</f>
        <v/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E2211" t="inlineStr">
        <is>
          <t>Cash &amp; equivalents</t>
        </is>
      </c>
      <c r="F2211" s="83">
        <f>BDP("GFS UW Equity","BS_CASH_NEAR_CASH_ITEM")</f>
        <v/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24Y</t>
        </is>
      </c>
      <c r="E2212" t="inlineStr">
        <is>
          <t>EPS estimate FY2024</t>
        </is>
      </c>
      <c r="F2212" s="83">
        <f>BDP("GFS UW Equity","BEST_EPS","BEST_FPERIOD_OVERRIDE","24Y")</f>
        <v/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24Y</t>
        </is>
      </c>
      <c r="E2213" t="inlineStr">
        <is>
          <t>Revenue estimate FY2024</t>
        </is>
      </c>
      <c r="F2213" s="83">
        <f>BDP("GFS UW Equity","BEST_SALES","BEST_FPERIOD_OVERRIDE","24Y")</f>
        <v/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24Y</t>
        </is>
      </c>
      <c r="E2214" t="inlineStr">
        <is>
          <t>EBIT estimate FY2024</t>
        </is>
      </c>
      <c r="F2214" s="83">
        <f>BDP("GFS UW Equity","BEST_EBIT","BEST_FPERIOD_OVERRIDE","24Y")</f>
        <v/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25Y</t>
        </is>
      </c>
      <c r="E2215" t="inlineStr">
        <is>
          <t>EPS estimate FY2025</t>
        </is>
      </c>
      <c r="F2215" s="83">
        <f>BDP("GFS UW Equity","BEST_EPS","BEST_FPERIOD_OVERRIDE","25Y")</f>
        <v/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25Y</t>
        </is>
      </c>
      <c r="E2216" t="inlineStr">
        <is>
          <t>Revenue estimate FY2025</t>
        </is>
      </c>
      <c r="F2216" s="83">
        <f>BDP("GFS UW Equity","BEST_SALES","BEST_FPERIOD_OVERRIDE","25Y")</f>
        <v/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25Y</t>
        </is>
      </c>
      <c r="E2217" t="inlineStr">
        <is>
          <t>EBIT estimate FY2025</t>
        </is>
      </c>
      <c r="F2217" s="83">
        <f>BDP("GFS UW Equity","BEST_EBIT","BEST_FPERIOD_OVERRIDE","25Y")</f>
        <v/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26Y</t>
        </is>
      </c>
      <c r="E2218" t="inlineStr">
        <is>
          <t>EPS estimate FY2026</t>
        </is>
      </c>
      <c r="F2218" s="83">
        <f>BDP("GFS UW Equity","BEST_EPS","BEST_FPERIOD_OVERRIDE","26Y")</f>
        <v/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26Y</t>
        </is>
      </c>
      <c r="E2219" t="inlineStr">
        <is>
          <t>Revenue estimate FY2026</t>
        </is>
      </c>
      <c r="F2219" s="83">
        <f>BDP("GFS UW Equity","BEST_SALES","BEST_FPERIOD_OVERRIDE","26Y")</f>
        <v/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26Y</t>
        </is>
      </c>
      <c r="E2220" t="inlineStr">
        <is>
          <t>EBIT estimate FY2026</t>
        </is>
      </c>
      <c r="F2220" s="83">
        <f>BDP("GFS UW Equity","BEST_EBIT","BEST_FPERIOD_OVERRIDE","26Y")</f>
        <v/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27Y</t>
        </is>
      </c>
      <c r="E2221" t="inlineStr">
        <is>
          <t>EPS estimate FY2027</t>
        </is>
      </c>
      <c r="F2221" s="83">
        <f>BDP("GFS UW Equity","BEST_EPS","BEST_FPERIOD_OVERRIDE","27Y")</f>
        <v/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27Y</t>
        </is>
      </c>
      <c r="E2222" t="inlineStr">
        <is>
          <t>Revenue estimate FY2027</t>
        </is>
      </c>
      <c r="F2222" s="83">
        <f>BDP("GFS UW Equity","BEST_SALES","BEST_FPERIOD_OVERRIDE","27Y")</f>
        <v/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27Y</t>
        </is>
      </c>
      <c r="E2223" t="inlineStr">
        <is>
          <t>EBIT estimate FY2027</t>
        </is>
      </c>
      <c r="F2223" s="83">
        <f>BDP("GFS UW Equity","BEST_EBIT","BEST_FPERIOD_OVERRIDE","27Y")</f>
        <v/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28Y</t>
        </is>
      </c>
      <c r="E2224" t="inlineStr">
        <is>
          <t>EPS estimate FY2028</t>
        </is>
      </c>
      <c r="F2224" s="83">
        <f>BDP("GFS UW Equity","BEST_EPS","BEST_FPERIOD_OVERRIDE","28Y")</f>
        <v/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28Y</t>
        </is>
      </c>
      <c r="E2225" t="inlineStr">
        <is>
          <t>Revenue estimate FY2028</t>
        </is>
      </c>
      <c r="F2225" s="83">
        <f>BDP("GFS UW Equity","BEST_SALES","BEST_FPERIOD_OVERRIDE","28Y")</f>
        <v/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28Y</t>
        </is>
      </c>
      <c r="E2226" t="inlineStr">
        <is>
          <t>EBIT estimate FY2028</t>
        </is>
      </c>
      <c r="F2226" s="83">
        <f>BDP("GFS UW Equity","BEST_EBIT","BEST_FPERIOD_OVERRIDE","28Y")</f>
        <v/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E2227" t="inlineStr">
        <is>
          <t>Last price</t>
        </is>
      </c>
      <c r="F2227" s="83">
        <f>BDP("ASML UW Equity","PX_LAST")</f>
        <v/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E2228" t="inlineStr">
        <is>
          <t>Market cap (raw)</t>
        </is>
      </c>
      <c r="F2228" s="83">
        <f>BDP("ASML UW Equity","CUR_MKT_CAP")</f>
        <v/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E2229" t="inlineStr">
        <is>
          <t>YTD price change %</t>
        </is>
      </c>
      <c r="F2229" s="83">
        <f>BDP("ASML UW Equity","CHG_PCT_YTD")</f>
        <v/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E2230" t="inlineStr">
        <is>
          <t>Net debt / EBITDA</t>
        </is>
      </c>
      <c r="F2230" s="83">
        <f>BDP("ASML UW Equity","NET_DEBT_TO_EBITDA")</f>
        <v/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E2231" t="inlineStr">
        <is>
          <t>ROIC (LTM)</t>
        </is>
      </c>
      <c r="F2231" s="83">
        <f>BDP("ASML UW Equity","RETURN_ON_INV_CAPITAL")</f>
        <v/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E2232" t="inlineStr">
        <is>
          <t>LTM operating income</t>
        </is>
      </c>
      <c r="F2232" s="83">
        <f>BDP("ASML UW Equity","TRAIL_12M_OPER_INC")</f>
        <v/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E2233" t="inlineStr">
        <is>
          <t>LTM EBITDA</t>
        </is>
      </c>
      <c r="F2233" s="83">
        <f>BDP("ASML UW Equity","TRAIL_12M_EBITDA")</f>
        <v/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E2234" t="inlineStr">
        <is>
          <t>Total debt</t>
        </is>
      </c>
      <c r="F2234" s="83">
        <f>BDP("ASML UW Equity","SHORT_AND_LONG_TERM_DEBT")</f>
        <v/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E2235" t="inlineStr">
        <is>
          <t>Total equity</t>
        </is>
      </c>
      <c r="F2235" s="83">
        <f>BDP("ASML UW Equity","TOTAL_EQUITY")</f>
        <v/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E2236" t="inlineStr">
        <is>
          <t>Cash &amp; equivalents</t>
        </is>
      </c>
      <c r="F2236" s="83">
        <f>BDP("ASML UW Equity","BS_CASH_NEAR_CASH_ITEM")</f>
        <v/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24Y</t>
        </is>
      </c>
      <c r="E2237" t="inlineStr">
        <is>
          <t>EPS estimate FY2024</t>
        </is>
      </c>
      <c r="F2237" s="83">
        <f>BDP("ASML UW Equity","BEST_EPS","BEST_FPERIOD_OVERRIDE","24Y")</f>
        <v/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24Y</t>
        </is>
      </c>
      <c r="E2238" t="inlineStr">
        <is>
          <t>Revenue estimate FY2024</t>
        </is>
      </c>
      <c r="F2238" s="83">
        <f>BDP("ASML UW Equity","BEST_SALES","BEST_FPERIOD_OVERRIDE","24Y")</f>
        <v/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24Y</t>
        </is>
      </c>
      <c r="E2239" t="inlineStr">
        <is>
          <t>EBIT estimate FY2024</t>
        </is>
      </c>
      <c r="F2239" s="83">
        <f>BDP("ASML UW Equity","BEST_EBIT","BEST_FPERIOD_OVERRIDE","24Y")</f>
        <v/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25Y</t>
        </is>
      </c>
      <c r="E2240" t="inlineStr">
        <is>
          <t>EPS estimate FY2025</t>
        </is>
      </c>
      <c r="F2240" s="83">
        <f>BDP("ASML UW Equity","BEST_EPS","BEST_FPERIOD_OVERRIDE","25Y")</f>
        <v/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25Y</t>
        </is>
      </c>
      <c r="E2241" t="inlineStr">
        <is>
          <t>Revenue estimate FY2025</t>
        </is>
      </c>
      <c r="F2241" s="83">
        <f>BDP("ASML UW Equity","BEST_SALES","BEST_FPERIOD_OVERRIDE","25Y")</f>
        <v/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25Y</t>
        </is>
      </c>
      <c r="E2242" t="inlineStr">
        <is>
          <t>EBIT estimate FY2025</t>
        </is>
      </c>
      <c r="F2242" s="83">
        <f>BDP("ASML UW Equity","BEST_EBIT","BEST_FPERIOD_OVERRIDE","25Y")</f>
        <v/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26Y</t>
        </is>
      </c>
      <c r="E2243" t="inlineStr">
        <is>
          <t>EPS estimate FY2026</t>
        </is>
      </c>
      <c r="F2243" s="83">
        <f>BDP("ASML UW Equity","BEST_EPS","BEST_FPERIOD_OVERRIDE","26Y")</f>
        <v/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26Y</t>
        </is>
      </c>
      <c r="E2244" t="inlineStr">
        <is>
          <t>Revenue estimate FY2026</t>
        </is>
      </c>
      <c r="F2244" s="83">
        <f>BDP("ASML UW Equity","BEST_SALES","BEST_FPERIOD_OVERRIDE","26Y")</f>
        <v/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26Y</t>
        </is>
      </c>
      <c r="E2245" t="inlineStr">
        <is>
          <t>EBIT estimate FY2026</t>
        </is>
      </c>
      <c r="F2245" s="83">
        <f>BDP("ASML UW Equity","BEST_EBIT","BEST_FPERIOD_OVERRIDE","26Y")</f>
        <v/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27Y</t>
        </is>
      </c>
      <c r="E2246" t="inlineStr">
        <is>
          <t>EPS estimate FY2027</t>
        </is>
      </c>
      <c r="F2246" s="83">
        <f>BDP("ASML UW Equity","BEST_EPS","BEST_FPERIOD_OVERRIDE","27Y")</f>
        <v/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27Y</t>
        </is>
      </c>
      <c r="E2247" t="inlineStr">
        <is>
          <t>Revenue estimate FY2027</t>
        </is>
      </c>
      <c r="F2247" s="83">
        <f>BDP("ASML UW Equity","BEST_SALES","BEST_FPERIOD_OVERRIDE","27Y")</f>
        <v/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27Y</t>
        </is>
      </c>
      <c r="E2248" t="inlineStr">
        <is>
          <t>EBIT estimate FY2027</t>
        </is>
      </c>
      <c r="F2248" s="83">
        <f>BDP("ASML UW Equity","BEST_EBIT","BEST_FPERIOD_OVERRIDE","27Y")</f>
        <v/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28Y</t>
        </is>
      </c>
      <c r="E2249" t="inlineStr">
        <is>
          <t>EPS estimate FY2028</t>
        </is>
      </c>
      <c r="F2249" s="83">
        <f>BDP("ASML UW Equity","BEST_EPS","BEST_FPERIOD_OVERRIDE","28Y")</f>
        <v/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28Y</t>
        </is>
      </c>
      <c r="E2250" t="inlineStr">
        <is>
          <t>Revenue estimate FY2028</t>
        </is>
      </c>
      <c r="F2250" s="83">
        <f>BDP("ASML UW Equity","BEST_SALES","BEST_FPERIOD_OVERRIDE","28Y")</f>
        <v/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28Y</t>
        </is>
      </c>
      <c r="E2251" t="inlineStr">
        <is>
          <t>EBIT estimate FY2028</t>
        </is>
      </c>
      <c r="F2251" s="83">
        <f>BDP("ASML UW Equity","BEST_EBIT","BEST_FPERIOD_OVERRIDE","28Y")</f>
        <v/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E2252" t="inlineStr">
        <is>
          <t>Last price</t>
        </is>
      </c>
      <c r="F2252" s="83">
        <f>BDP("AMAT UW Equity","PX_LAST")</f>
        <v/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E2253" t="inlineStr">
        <is>
          <t>Market cap (raw)</t>
        </is>
      </c>
      <c r="F2253" s="83">
        <f>BDP("AMAT UW Equity","CUR_MKT_CAP")</f>
        <v/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E2254" t="inlineStr">
        <is>
          <t>YTD price change %</t>
        </is>
      </c>
      <c r="F2254" s="83">
        <f>BDP("AMAT UW Equity","CHG_PCT_YTD")</f>
        <v/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E2255" t="inlineStr">
        <is>
          <t>Net debt / EBITDA</t>
        </is>
      </c>
      <c r="F2255" s="83">
        <f>BDP("AMAT UW Equity","NET_DEBT_TO_EBITDA")</f>
        <v/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E2256" t="inlineStr">
        <is>
          <t>ROIC (LTM)</t>
        </is>
      </c>
      <c r="F2256" s="83">
        <f>BDP("AMAT UW Equity","RETURN_ON_INV_CAPITAL")</f>
        <v/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E2257" t="inlineStr">
        <is>
          <t>LTM operating income</t>
        </is>
      </c>
      <c r="F2257" s="83">
        <f>BDP("AMAT UW Equity","TRAIL_12M_OPER_INC")</f>
        <v/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E2258" t="inlineStr">
        <is>
          <t>LTM EBITDA</t>
        </is>
      </c>
      <c r="F2258" s="83">
        <f>BDP("AMAT UW Equity","TRAIL_12M_EBITDA")</f>
        <v/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E2259" t="inlineStr">
        <is>
          <t>Total debt</t>
        </is>
      </c>
      <c r="F2259" s="83">
        <f>BDP("AMAT UW Equity","SHORT_AND_LONG_TERM_DEBT")</f>
        <v/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E2260" t="inlineStr">
        <is>
          <t>Total equity</t>
        </is>
      </c>
      <c r="F2260" s="83">
        <f>BDP("AMAT UW Equity","TOTAL_EQUITY")</f>
        <v/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E2261" t="inlineStr">
        <is>
          <t>Cash &amp; equivalents</t>
        </is>
      </c>
      <c r="F2261" s="83">
        <f>BDP("AMAT UW Equity","BS_CASH_NEAR_CASH_ITEM")</f>
        <v/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24Y</t>
        </is>
      </c>
      <c r="E2262" t="inlineStr">
        <is>
          <t>EPS estimate FY2024</t>
        </is>
      </c>
      <c r="F2262" s="83">
        <f>BDP("AMAT UW Equity","BEST_EPS","BEST_FPERIOD_OVERRIDE","24Y")</f>
        <v/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24Y</t>
        </is>
      </c>
      <c r="E2263" t="inlineStr">
        <is>
          <t>Revenue estimate FY2024</t>
        </is>
      </c>
      <c r="F2263" s="83">
        <f>BDP("AMAT UW Equity","BEST_SALES","BEST_FPERIOD_OVERRIDE","24Y")</f>
        <v/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24Y</t>
        </is>
      </c>
      <c r="E2264" t="inlineStr">
        <is>
          <t>EBIT estimate FY2024</t>
        </is>
      </c>
      <c r="F2264" s="83">
        <f>BDP("AMAT UW Equity","BEST_EBIT","BEST_FPERIOD_OVERRIDE","24Y")</f>
        <v/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25Y</t>
        </is>
      </c>
      <c r="E2265" t="inlineStr">
        <is>
          <t>EPS estimate FY2025</t>
        </is>
      </c>
      <c r="F2265" s="83">
        <f>BDP("AMAT UW Equity","BEST_EPS","BEST_FPERIOD_OVERRIDE","25Y")</f>
        <v/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25Y</t>
        </is>
      </c>
      <c r="E2266" t="inlineStr">
        <is>
          <t>Revenue estimate FY2025</t>
        </is>
      </c>
      <c r="F2266" s="83">
        <f>BDP("AMAT UW Equity","BEST_SALES","BEST_FPERIOD_OVERRIDE","25Y")</f>
        <v/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25Y</t>
        </is>
      </c>
      <c r="E2267" t="inlineStr">
        <is>
          <t>EBIT estimate FY2025</t>
        </is>
      </c>
      <c r="F2267" s="83">
        <f>BDP("AMAT UW Equity","BEST_EBIT","BEST_FPERIOD_OVERRIDE","25Y")</f>
        <v/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26Y</t>
        </is>
      </c>
      <c r="E2268" t="inlineStr">
        <is>
          <t>EPS estimate FY2026</t>
        </is>
      </c>
      <c r="F2268" s="83">
        <f>BDP("AMAT UW Equity","BEST_EPS","BEST_FPERIOD_OVERRIDE","26Y")</f>
        <v/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26Y</t>
        </is>
      </c>
      <c r="E2269" t="inlineStr">
        <is>
          <t>Revenue estimate FY2026</t>
        </is>
      </c>
      <c r="F2269" s="83">
        <f>BDP("AMAT UW Equity","BEST_SALES","BEST_FPERIOD_OVERRIDE","26Y")</f>
        <v/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26Y</t>
        </is>
      </c>
      <c r="E2270" t="inlineStr">
        <is>
          <t>EBIT estimate FY2026</t>
        </is>
      </c>
      <c r="F2270" s="83">
        <f>BDP("AMAT UW Equity","BEST_EBIT","BEST_FPERIOD_OVERRIDE","26Y")</f>
        <v/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27Y</t>
        </is>
      </c>
      <c r="E2271" t="inlineStr">
        <is>
          <t>EPS estimate FY2027</t>
        </is>
      </c>
      <c r="F2271" s="83">
        <f>BDP("AMAT UW Equity","BEST_EPS","BEST_FPERIOD_OVERRIDE","27Y")</f>
        <v/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27Y</t>
        </is>
      </c>
      <c r="E2272" t="inlineStr">
        <is>
          <t>Revenue estimate FY2027</t>
        </is>
      </c>
      <c r="F2272" s="83">
        <f>BDP("AMAT UW Equity","BEST_SALES","BEST_FPERIOD_OVERRIDE","27Y")</f>
        <v/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27Y</t>
        </is>
      </c>
      <c r="E2273" t="inlineStr">
        <is>
          <t>EBIT estimate FY2027</t>
        </is>
      </c>
      <c r="F2273" s="83">
        <f>BDP("AMAT UW Equity","BEST_EBIT","BEST_FPERIOD_OVERRIDE","27Y")</f>
        <v/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28Y</t>
        </is>
      </c>
      <c r="E2274" t="inlineStr">
        <is>
          <t>EPS estimate FY2028</t>
        </is>
      </c>
      <c r="F2274" s="83">
        <f>BDP("AMAT UW Equity","BEST_EPS","BEST_FPERIOD_OVERRIDE","28Y")</f>
        <v/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28Y</t>
        </is>
      </c>
      <c r="E2275" t="inlineStr">
        <is>
          <t>Revenue estimate FY2028</t>
        </is>
      </c>
      <c r="F2275" s="83">
        <f>BDP("AMAT UW Equity","BEST_SALES","BEST_FPERIOD_OVERRIDE","28Y")</f>
        <v/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28Y</t>
        </is>
      </c>
      <c r="E2276" t="inlineStr">
        <is>
          <t>EBIT estimate FY2028</t>
        </is>
      </c>
      <c r="F2276" s="83">
        <f>BDP("AMAT UW Equity","BEST_EBIT","BEST_FPERIOD_OVERRIDE","28Y")</f>
        <v/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E2277" t="inlineStr">
        <is>
          <t>Last price</t>
        </is>
      </c>
      <c r="F2277" s="83">
        <f>BDP("KLAC UW Equity","PX_LAST")</f>
        <v/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E2278" t="inlineStr">
        <is>
          <t>Market cap (raw)</t>
        </is>
      </c>
      <c r="F2278" s="83">
        <f>BDP("KLAC UW Equity","CUR_MKT_CAP")</f>
        <v/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E2279" t="inlineStr">
        <is>
          <t>YTD price change %</t>
        </is>
      </c>
      <c r="F2279" s="83">
        <f>BDP("KLAC UW Equity","CHG_PCT_YTD")</f>
        <v/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E2280" t="inlineStr">
        <is>
          <t>Net debt / EBITDA</t>
        </is>
      </c>
      <c r="F2280" s="83">
        <f>BDP("KLAC UW Equity","NET_DEBT_TO_EBITDA")</f>
        <v/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E2281" t="inlineStr">
        <is>
          <t>ROIC (LTM)</t>
        </is>
      </c>
      <c r="F2281" s="83">
        <f>BDP("KLAC UW Equity","RETURN_ON_INV_CAPITAL")</f>
        <v/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E2282" t="inlineStr">
        <is>
          <t>LTM operating income</t>
        </is>
      </c>
      <c r="F2282" s="83">
        <f>BDP("KLAC UW Equity","TRAIL_12M_OPER_INC")</f>
        <v/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E2283" t="inlineStr">
        <is>
          <t>LTM EBITDA</t>
        </is>
      </c>
      <c r="F2283" s="83">
        <f>BDP("KLAC UW Equity","TRAIL_12M_EBITDA")</f>
        <v/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E2284" t="inlineStr">
        <is>
          <t>Total debt</t>
        </is>
      </c>
      <c r="F2284" s="83">
        <f>BDP("KLAC UW Equity","SHORT_AND_LONG_TERM_DEBT")</f>
        <v/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E2285" t="inlineStr">
        <is>
          <t>Total equity</t>
        </is>
      </c>
      <c r="F2285" s="83">
        <f>BDP("KLAC UW Equity","TOTAL_EQUITY")</f>
        <v/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E2286" t="inlineStr">
        <is>
          <t>Cash &amp; equivalents</t>
        </is>
      </c>
      <c r="F2286" s="83">
        <f>BDP("KLAC UW Equity","BS_CASH_NEAR_CASH_ITEM")</f>
        <v/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24Y</t>
        </is>
      </c>
      <c r="E2287" t="inlineStr">
        <is>
          <t>EPS estimate FY2024</t>
        </is>
      </c>
      <c r="F2287" s="83">
        <f>BDP("KLAC UW Equity","BEST_EPS","BEST_FPERIOD_OVERRIDE","24Y")</f>
        <v/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24Y</t>
        </is>
      </c>
      <c r="E2288" t="inlineStr">
        <is>
          <t>Revenue estimate FY2024</t>
        </is>
      </c>
      <c r="F2288" s="83">
        <f>BDP("KLAC UW Equity","BEST_SALES","BEST_FPERIOD_OVERRIDE","24Y")</f>
        <v/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24Y</t>
        </is>
      </c>
      <c r="E2289" t="inlineStr">
        <is>
          <t>EBIT estimate FY2024</t>
        </is>
      </c>
      <c r="F2289" s="83">
        <f>BDP("KLAC UW Equity","BEST_EBIT","BEST_FPERIOD_OVERRIDE","24Y")</f>
        <v/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25Y</t>
        </is>
      </c>
      <c r="E2290" t="inlineStr">
        <is>
          <t>EPS estimate FY2025</t>
        </is>
      </c>
      <c r="F2290" s="83">
        <f>BDP("KLAC UW Equity","BEST_EPS","BEST_FPERIOD_OVERRIDE","25Y")</f>
        <v/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25Y</t>
        </is>
      </c>
      <c r="E2291" t="inlineStr">
        <is>
          <t>Revenue estimate FY2025</t>
        </is>
      </c>
      <c r="F2291" s="83">
        <f>BDP("KLAC UW Equity","BEST_SALES","BEST_FPERIOD_OVERRIDE","25Y")</f>
        <v/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25Y</t>
        </is>
      </c>
      <c r="E2292" t="inlineStr">
        <is>
          <t>EBIT estimate FY2025</t>
        </is>
      </c>
      <c r="F2292" s="83">
        <f>BDP("KLAC UW Equity","BEST_EBIT","BEST_FPERIOD_OVERRIDE","25Y")</f>
        <v/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26Y</t>
        </is>
      </c>
      <c r="E2293" t="inlineStr">
        <is>
          <t>EPS estimate FY2026</t>
        </is>
      </c>
      <c r="F2293" s="83">
        <f>BDP("KLAC UW Equity","BEST_EPS","BEST_FPERIOD_OVERRIDE","26Y")</f>
        <v/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26Y</t>
        </is>
      </c>
      <c r="E2294" t="inlineStr">
        <is>
          <t>Revenue estimate FY2026</t>
        </is>
      </c>
      <c r="F2294" s="83">
        <f>BDP("KLAC UW Equity","BEST_SALES","BEST_FPERIOD_OVERRIDE","26Y")</f>
        <v/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26Y</t>
        </is>
      </c>
      <c r="E2295" t="inlineStr">
        <is>
          <t>EBIT estimate FY2026</t>
        </is>
      </c>
      <c r="F2295" s="83">
        <f>BDP("KLAC UW Equity","BEST_EBIT","BEST_FPERIOD_OVERRIDE","26Y")</f>
        <v/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27Y</t>
        </is>
      </c>
      <c r="E2296" t="inlineStr">
        <is>
          <t>EPS estimate FY2027</t>
        </is>
      </c>
      <c r="F2296" s="83">
        <f>BDP("KLAC UW Equity","BEST_EPS","BEST_FPERIOD_OVERRIDE","27Y")</f>
        <v/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27Y</t>
        </is>
      </c>
      <c r="E2297" t="inlineStr">
        <is>
          <t>Revenue estimate FY2027</t>
        </is>
      </c>
      <c r="F2297" s="83">
        <f>BDP("KLAC UW Equity","BEST_SALES","BEST_FPERIOD_OVERRIDE","27Y")</f>
        <v/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27Y</t>
        </is>
      </c>
      <c r="E2298" t="inlineStr">
        <is>
          <t>EBIT estimate FY2027</t>
        </is>
      </c>
      <c r="F2298" s="83">
        <f>BDP("KLAC UW Equity","BEST_EBIT","BEST_FPERIOD_OVERRIDE","27Y")</f>
        <v/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28Y</t>
        </is>
      </c>
      <c r="E2299" t="inlineStr">
        <is>
          <t>EPS estimate FY2028</t>
        </is>
      </c>
      <c r="F2299" s="83">
        <f>BDP("KLAC UW Equity","BEST_EPS","BEST_FPERIOD_OVERRIDE","28Y")</f>
        <v/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28Y</t>
        </is>
      </c>
      <c r="E2300" t="inlineStr">
        <is>
          <t>Revenue estimate FY2028</t>
        </is>
      </c>
      <c r="F2300" s="83">
        <f>BDP("KLAC UW Equity","BEST_SALES","BEST_FPERIOD_OVERRIDE","28Y")</f>
        <v/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28Y</t>
        </is>
      </c>
      <c r="E2301" t="inlineStr">
        <is>
          <t>EBIT estimate FY2028</t>
        </is>
      </c>
      <c r="F2301" s="83">
        <f>BDP("KLAC UW Equity","BEST_EBIT","BEST_FPERIOD_OVERRIDE","28Y")</f>
        <v/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E2302" t="inlineStr">
        <is>
          <t>Last price</t>
        </is>
      </c>
      <c r="F2302" s="83">
        <f>BDP("LRCX UW Equity","PX_LAST")</f>
        <v/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E2303" t="inlineStr">
        <is>
          <t>Market cap (raw)</t>
        </is>
      </c>
      <c r="F2303" s="83">
        <f>BDP("LRCX UW Equity","CUR_MKT_CAP")</f>
        <v/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E2304" t="inlineStr">
        <is>
          <t>YTD price change %</t>
        </is>
      </c>
      <c r="F2304" s="83">
        <f>BDP("LRCX UW Equity","CHG_PCT_YTD")</f>
        <v/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E2305" t="inlineStr">
        <is>
          <t>Net debt / EBITDA</t>
        </is>
      </c>
      <c r="F2305" s="83">
        <f>BDP("LRCX UW Equity","NET_DEBT_TO_EBITDA")</f>
        <v/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E2306" t="inlineStr">
        <is>
          <t>ROIC (LTM)</t>
        </is>
      </c>
      <c r="F2306" s="83">
        <f>BDP("LRCX UW Equity","RETURN_ON_INV_CAPITAL")</f>
        <v/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E2307" t="inlineStr">
        <is>
          <t>LTM operating income</t>
        </is>
      </c>
      <c r="F2307" s="83">
        <f>BDP("LRCX UW Equity","TRAIL_12M_OPER_INC")</f>
        <v/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E2308" t="inlineStr">
        <is>
          <t>LTM EBITDA</t>
        </is>
      </c>
      <c r="F2308" s="83">
        <f>BDP("LRCX UW Equity","TRAIL_12M_EBITDA")</f>
        <v/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E2309" t="inlineStr">
        <is>
          <t>Total debt</t>
        </is>
      </c>
      <c r="F2309" s="83">
        <f>BDP("LRCX UW Equity","SHORT_AND_LONG_TERM_DEBT")</f>
        <v/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E2310" t="inlineStr">
        <is>
          <t>Total equity</t>
        </is>
      </c>
      <c r="F2310" s="83">
        <f>BDP("LRCX UW Equity","TOTAL_EQUITY")</f>
        <v/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E2311" t="inlineStr">
        <is>
          <t>Cash &amp; equivalents</t>
        </is>
      </c>
      <c r="F2311" s="83">
        <f>BDP("LRCX UW Equity","BS_CASH_NEAR_CASH_ITEM")</f>
        <v/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24Y</t>
        </is>
      </c>
      <c r="E2312" t="inlineStr">
        <is>
          <t>EPS estimate FY2024</t>
        </is>
      </c>
      <c r="F2312" s="83">
        <f>BDP("LRCX UW Equity","BEST_EPS","BEST_FPERIOD_OVERRIDE","24Y")</f>
        <v/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24Y</t>
        </is>
      </c>
      <c r="E2313" t="inlineStr">
        <is>
          <t>Revenue estimate FY2024</t>
        </is>
      </c>
      <c r="F2313" s="83">
        <f>BDP("LRCX UW Equity","BEST_SALES","BEST_FPERIOD_OVERRIDE","24Y")</f>
        <v/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24Y</t>
        </is>
      </c>
      <c r="E2314" t="inlineStr">
        <is>
          <t>EBIT estimate FY2024</t>
        </is>
      </c>
      <c r="F2314" s="83">
        <f>BDP("LRCX UW Equity","BEST_EBIT","BEST_FPERIOD_OVERRIDE","24Y")</f>
        <v/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25Y</t>
        </is>
      </c>
      <c r="E2315" t="inlineStr">
        <is>
          <t>EPS estimate FY2025</t>
        </is>
      </c>
      <c r="F2315" s="83">
        <f>BDP("LRCX UW Equity","BEST_EPS","BEST_FPERIOD_OVERRIDE","25Y")</f>
        <v/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25Y</t>
        </is>
      </c>
      <c r="E2316" t="inlineStr">
        <is>
          <t>Revenue estimate FY2025</t>
        </is>
      </c>
      <c r="F2316" s="83">
        <f>BDP("LRCX UW Equity","BEST_SALES","BEST_FPERIOD_OVERRIDE","25Y")</f>
        <v/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25Y</t>
        </is>
      </c>
      <c r="E2317" t="inlineStr">
        <is>
          <t>EBIT estimate FY2025</t>
        </is>
      </c>
      <c r="F2317" s="83">
        <f>BDP("LRCX UW Equity","BEST_EBIT","BEST_FPERIOD_OVERRIDE","25Y")</f>
        <v/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26Y</t>
        </is>
      </c>
      <c r="E2318" t="inlineStr">
        <is>
          <t>EPS estimate FY2026</t>
        </is>
      </c>
      <c r="F2318" s="83">
        <f>BDP("LRCX UW Equity","BEST_EPS","BEST_FPERIOD_OVERRIDE","26Y")</f>
        <v/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26Y</t>
        </is>
      </c>
      <c r="E2319" t="inlineStr">
        <is>
          <t>Revenue estimate FY2026</t>
        </is>
      </c>
      <c r="F2319" s="83">
        <f>BDP("LRCX UW Equity","BEST_SALES","BEST_FPERIOD_OVERRIDE","26Y")</f>
        <v/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26Y</t>
        </is>
      </c>
      <c r="E2320" t="inlineStr">
        <is>
          <t>EBIT estimate FY2026</t>
        </is>
      </c>
      <c r="F2320" s="83">
        <f>BDP("LRCX UW Equity","BEST_EBIT","BEST_FPERIOD_OVERRIDE","26Y")</f>
        <v/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27Y</t>
        </is>
      </c>
      <c r="E2321" t="inlineStr">
        <is>
          <t>EPS estimate FY2027</t>
        </is>
      </c>
      <c r="F2321" s="83">
        <f>BDP("LRCX UW Equity","BEST_EPS","BEST_FPERIOD_OVERRIDE","27Y")</f>
        <v/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27Y</t>
        </is>
      </c>
      <c r="E2322" t="inlineStr">
        <is>
          <t>Revenue estimate FY2027</t>
        </is>
      </c>
      <c r="F2322" s="83">
        <f>BDP("LRCX UW Equity","BEST_SALES","BEST_FPERIOD_OVERRIDE","27Y")</f>
        <v/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27Y</t>
        </is>
      </c>
      <c r="E2323" t="inlineStr">
        <is>
          <t>EBIT estimate FY2027</t>
        </is>
      </c>
      <c r="F2323" s="83">
        <f>BDP("LRCX UW Equity","BEST_EBIT","BEST_FPERIOD_OVERRIDE","27Y")</f>
        <v/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28Y</t>
        </is>
      </c>
      <c r="E2324" t="inlineStr">
        <is>
          <t>EPS estimate FY2028</t>
        </is>
      </c>
      <c r="F2324" s="83">
        <f>BDP("LRCX UW Equity","BEST_EPS","BEST_FPERIOD_OVERRIDE","28Y")</f>
        <v/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28Y</t>
        </is>
      </c>
      <c r="E2325" t="inlineStr">
        <is>
          <t>Revenue estimate FY2028</t>
        </is>
      </c>
      <c r="F2325" s="83">
        <f>BDP("LRCX UW Equity","BEST_SALES","BEST_FPERIOD_OVERRIDE","28Y")</f>
        <v/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28Y</t>
        </is>
      </c>
      <c r="E2326" t="inlineStr">
        <is>
          <t>EBIT estimate FY2028</t>
        </is>
      </c>
      <c r="F2326" s="83">
        <f>BDP("LRCX UW Equity","BEST_EBIT","BEST_FPERIOD_OVERRIDE","28Y")</f>
        <v/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E2327" t="inlineStr">
        <is>
          <t>Last price</t>
        </is>
      </c>
      <c r="F2327" s="83">
        <f>BDP("ONTO UN Equity","PX_LAST")</f>
        <v/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E2328" t="inlineStr">
        <is>
          <t>Market cap (raw)</t>
        </is>
      </c>
      <c r="F2328" s="83">
        <f>BDP("ONTO UN Equity","CUR_MKT_CAP")</f>
        <v/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E2329" t="inlineStr">
        <is>
          <t>YTD price change %</t>
        </is>
      </c>
      <c r="F2329" s="83">
        <f>BDP("ONTO UN Equity","CHG_PCT_YTD")</f>
        <v/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E2330" t="inlineStr">
        <is>
          <t>Net debt / EBITDA</t>
        </is>
      </c>
      <c r="F2330" s="83">
        <f>BDP("ONTO UN Equity","NET_DEBT_TO_EBITDA")</f>
        <v/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E2331" t="inlineStr">
        <is>
          <t>ROIC (LTM)</t>
        </is>
      </c>
      <c r="F2331" s="83">
        <f>BDP("ONTO UN Equity","RETURN_ON_INV_CAPITAL")</f>
        <v/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E2332" t="inlineStr">
        <is>
          <t>LTM operating income</t>
        </is>
      </c>
      <c r="F2332" s="83">
        <f>BDP("ONTO UN Equity","TRAIL_12M_OPER_INC")</f>
        <v/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E2333" t="inlineStr">
        <is>
          <t>LTM EBITDA</t>
        </is>
      </c>
      <c r="F2333" s="83">
        <f>BDP("ONTO UN Equity","TRAIL_12M_EBITDA")</f>
        <v/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E2334" t="inlineStr">
        <is>
          <t>Total debt</t>
        </is>
      </c>
      <c r="F2334" s="83">
        <f>BDP("ONTO UN Equity","SHORT_AND_LONG_TERM_DEBT")</f>
        <v/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E2335" t="inlineStr">
        <is>
          <t>Total equity</t>
        </is>
      </c>
      <c r="F2335" s="83">
        <f>BDP("ONTO UN Equity","TOTAL_EQUITY")</f>
        <v/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E2336" t="inlineStr">
        <is>
          <t>Cash &amp; equivalents</t>
        </is>
      </c>
      <c r="F2336" s="83">
        <f>BDP("ONTO UN Equity","BS_CASH_NEAR_CASH_ITEM")</f>
        <v/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24Y</t>
        </is>
      </c>
      <c r="E2337" t="inlineStr">
        <is>
          <t>EPS estimate FY2024</t>
        </is>
      </c>
      <c r="F2337" s="83">
        <f>BDP("ONTO UN Equity","BEST_EPS","BEST_FPERIOD_OVERRIDE","24Y")</f>
        <v/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24Y</t>
        </is>
      </c>
      <c r="E2338" t="inlineStr">
        <is>
          <t>Revenue estimate FY2024</t>
        </is>
      </c>
      <c r="F2338" s="83">
        <f>BDP("ONTO UN Equity","BEST_SALES","BEST_FPERIOD_OVERRIDE","24Y")</f>
        <v/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24Y</t>
        </is>
      </c>
      <c r="E2339" t="inlineStr">
        <is>
          <t>EBIT estimate FY2024</t>
        </is>
      </c>
      <c r="F2339" s="83">
        <f>BDP("ONTO UN Equity","BEST_EBIT","BEST_FPERIOD_OVERRIDE","24Y")</f>
        <v/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25Y</t>
        </is>
      </c>
      <c r="E2340" t="inlineStr">
        <is>
          <t>EPS estimate FY2025</t>
        </is>
      </c>
      <c r="F2340" s="83">
        <f>BDP("ONTO UN Equity","BEST_EPS","BEST_FPERIOD_OVERRIDE","25Y")</f>
        <v/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25Y</t>
        </is>
      </c>
      <c r="E2341" t="inlineStr">
        <is>
          <t>Revenue estimate FY2025</t>
        </is>
      </c>
      <c r="F2341" s="83">
        <f>BDP("ONTO UN Equity","BEST_SALES","BEST_FPERIOD_OVERRIDE","25Y")</f>
        <v/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25Y</t>
        </is>
      </c>
      <c r="E2342" t="inlineStr">
        <is>
          <t>EBIT estimate FY2025</t>
        </is>
      </c>
      <c r="F2342" s="83">
        <f>BDP("ONTO UN Equity","BEST_EBIT","BEST_FPERIOD_OVERRIDE","25Y")</f>
        <v/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26Y</t>
        </is>
      </c>
      <c r="E2343" t="inlineStr">
        <is>
          <t>EPS estimate FY2026</t>
        </is>
      </c>
      <c r="F2343" s="83">
        <f>BDP("ONTO UN Equity","BEST_EPS","BEST_FPERIOD_OVERRIDE","26Y")</f>
        <v/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26Y</t>
        </is>
      </c>
      <c r="E2344" t="inlineStr">
        <is>
          <t>Revenue estimate FY2026</t>
        </is>
      </c>
      <c r="F2344" s="83">
        <f>BDP("ONTO UN Equity","BEST_SALES","BEST_FPERIOD_OVERRIDE","26Y")</f>
        <v/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26Y</t>
        </is>
      </c>
      <c r="E2345" t="inlineStr">
        <is>
          <t>EBIT estimate FY2026</t>
        </is>
      </c>
      <c r="F2345" s="83">
        <f>BDP("ONTO UN Equity","BEST_EBIT","BEST_FPERIOD_OVERRIDE","26Y")</f>
        <v/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27Y</t>
        </is>
      </c>
      <c r="E2346" t="inlineStr">
        <is>
          <t>EPS estimate FY2027</t>
        </is>
      </c>
      <c r="F2346" s="83">
        <f>BDP("ONTO UN Equity","BEST_EPS","BEST_FPERIOD_OVERRIDE","27Y")</f>
        <v/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27Y</t>
        </is>
      </c>
      <c r="E2347" t="inlineStr">
        <is>
          <t>Revenue estimate FY2027</t>
        </is>
      </c>
      <c r="F2347" s="83">
        <f>BDP("ONTO UN Equity","BEST_SALES","BEST_FPERIOD_OVERRIDE","27Y")</f>
        <v/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27Y</t>
        </is>
      </c>
      <c r="E2348" t="inlineStr">
        <is>
          <t>EBIT estimate FY2027</t>
        </is>
      </c>
      <c r="F2348" s="83">
        <f>BDP("ONTO UN Equity","BEST_EBIT","BEST_FPERIOD_OVERRIDE","27Y")</f>
        <v/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28Y</t>
        </is>
      </c>
      <c r="E2349" t="inlineStr">
        <is>
          <t>EPS estimate FY2028</t>
        </is>
      </c>
      <c r="F2349" s="83">
        <f>BDP("ONTO UN Equity","BEST_EPS","BEST_FPERIOD_OVERRIDE","28Y")</f>
        <v/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28Y</t>
        </is>
      </c>
      <c r="E2350" t="inlineStr">
        <is>
          <t>Revenue estimate FY2028</t>
        </is>
      </c>
      <c r="F2350" s="83">
        <f>BDP("ONTO UN Equity","BEST_SALES","BEST_FPERIOD_OVERRIDE","28Y")</f>
        <v/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28Y</t>
        </is>
      </c>
      <c r="E2351" t="inlineStr">
        <is>
          <t>EBIT estimate FY2028</t>
        </is>
      </c>
      <c r="F2351" s="83">
        <f>BDP("ONTO UN Equity","BEST_EBIT","BEST_FPERIOD_OVERRIDE","28Y")</f>
        <v/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E2352" t="inlineStr">
        <is>
          <t>Last price</t>
        </is>
      </c>
      <c r="F2352" s="83">
        <f>BDP("TXN UW Equity","PX_LAST")</f>
        <v/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E2353" t="inlineStr">
        <is>
          <t>Market cap (raw)</t>
        </is>
      </c>
      <c r="F2353" s="83">
        <f>BDP("TXN UW Equity","CUR_MKT_CAP")</f>
        <v/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E2354" t="inlineStr">
        <is>
          <t>YTD price change %</t>
        </is>
      </c>
      <c r="F2354" s="83">
        <f>BDP("TXN UW Equity","CHG_PCT_YTD")</f>
        <v/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E2355" t="inlineStr">
        <is>
          <t>Net debt / EBITDA</t>
        </is>
      </c>
      <c r="F2355" s="83">
        <f>BDP("TXN UW Equity","NET_DEBT_TO_EBITDA")</f>
        <v/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E2356" t="inlineStr">
        <is>
          <t>ROIC (LTM)</t>
        </is>
      </c>
      <c r="F2356" s="83">
        <f>BDP("TXN UW Equity","RETURN_ON_INV_CAPITAL")</f>
        <v/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E2357" t="inlineStr">
        <is>
          <t>LTM operating income</t>
        </is>
      </c>
      <c r="F2357" s="83">
        <f>BDP("TXN UW Equity","TRAIL_12M_OPER_INC")</f>
        <v/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E2358" t="inlineStr">
        <is>
          <t>LTM EBITDA</t>
        </is>
      </c>
      <c r="F2358" s="83">
        <f>BDP("TXN UW Equity","TRAIL_12M_EBITDA")</f>
        <v/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E2359" t="inlineStr">
        <is>
          <t>Total debt</t>
        </is>
      </c>
      <c r="F2359" s="83">
        <f>BDP("TXN UW Equity","SHORT_AND_LONG_TERM_DEBT")</f>
        <v/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E2360" t="inlineStr">
        <is>
          <t>Total equity</t>
        </is>
      </c>
      <c r="F2360" s="83">
        <f>BDP("TXN UW Equity","TOTAL_EQUITY")</f>
        <v/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E2361" t="inlineStr">
        <is>
          <t>Cash &amp; equivalents</t>
        </is>
      </c>
      <c r="F2361" s="83">
        <f>BDP("TXN UW Equity","BS_CASH_NEAR_CASH_ITEM")</f>
        <v/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24Y</t>
        </is>
      </c>
      <c r="E2362" t="inlineStr">
        <is>
          <t>EPS estimate FY2024</t>
        </is>
      </c>
      <c r="F2362" s="83">
        <f>BDP("TXN UW Equity","BEST_EPS","BEST_FPERIOD_OVERRIDE","24Y")</f>
        <v/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24Y</t>
        </is>
      </c>
      <c r="E2363" t="inlineStr">
        <is>
          <t>Revenue estimate FY2024</t>
        </is>
      </c>
      <c r="F2363" s="83">
        <f>BDP("TXN UW Equity","BEST_SALES","BEST_FPERIOD_OVERRIDE","24Y")</f>
        <v/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24Y</t>
        </is>
      </c>
      <c r="E2364" t="inlineStr">
        <is>
          <t>EBIT estimate FY2024</t>
        </is>
      </c>
      <c r="F2364" s="83">
        <f>BDP("TXN UW Equity","BEST_EBIT","BEST_FPERIOD_OVERRIDE","24Y")</f>
        <v/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25Y</t>
        </is>
      </c>
      <c r="E2365" t="inlineStr">
        <is>
          <t>EPS estimate FY2025</t>
        </is>
      </c>
      <c r="F2365" s="83">
        <f>BDP("TXN UW Equity","BEST_EPS","BEST_FPERIOD_OVERRIDE","25Y")</f>
        <v/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25Y</t>
        </is>
      </c>
      <c r="E2366" t="inlineStr">
        <is>
          <t>Revenue estimate FY2025</t>
        </is>
      </c>
      <c r="F2366" s="83">
        <f>BDP("TXN UW Equity","BEST_SALES","BEST_FPERIOD_OVERRIDE","25Y")</f>
        <v/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25Y</t>
        </is>
      </c>
      <c r="E2367" t="inlineStr">
        <is>
          <t>EBIT estimate FY2025</t>
        </is>
      </c>
      <c r="F2367" s="83">
        <f>BDP("TXN UW Equity","BEST_EBIT","BEST_FPERIOD_OVERRIDE","25Y")</f>
        <v/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26Y</t>
        </is>
      </c>
      <c r="E2368" t="inlineStr">
        <is>
          <t>EPS estimate FY2026</t>
        </is>
      </c>
      <c r="F2368" s="83">
        <f>BDP("TXN UW Equity","BEST_EPS","BEST_FPERIOD_OVERRIDE","26Y")</f>
        <v/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26Y</t>
        </is>
      </c>
      <c r="E2369" t="inlineStr">
        <is>
          <t>Revenue estimate FY2026</t>
        </is>
      </c>
      <c r="F2369" s="83">
        <f>BDP("TXN UW Equity","BEST_SALES","BEST_FPERIOD_OVERRIDE","26Y")</f>
        <v/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26Y</t>
        </is>
      </c>
      <c r="E2370" t="inlineStr">
        <is>
          <t>EBIT estimate FY2026</t>
        </is>
      </c>
      <c r="F2370" s="83">
        <f>BDP("TXN UW Equity","BEST_EBIT","BEST_FPERIOD_OVERRIDE","26Y")</f>
        <v/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27Y</t>
        </is>
      </c>
      <c r="E2371" t="inlineStr">
        <is>
          <t>EPS estimate FY2027</t>
        </is>
      </c>
      <c r="F2371" s="83">
        <f>BDP("TXN UW Equity","BEST_EPS","BEST_FPERIOD_OVERRIDE","27Y")</f>
        <v/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27Y</t>
        </is>
      </c>
      <c r="E2372" t="inlineStr">
        <is>
          <t>Revenue estimate FY2027</t>
        </is>
      </c>
      <c r="F2372" s="83">
        <f>BDP("TXN UW Equity","BEST_SALES","BEST_FPERIOD_OVERRIDE","27Y")</f>
        <v/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27Y</t>
        </is>
      </c>
      <c r="E2373" t="inlineStr">
        <is>
          <t>EBIT estimate FY2027</t>
        </is>
      </c>
      <c r="F2373" s="83">
        <f>BDP("TXN UW Equity","BEST_EBIT","BEST_FPERIOD_OVERRIDE","27Y")</f>
        <v/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28Y</t>
        </is>
      </c>
      <c r="E2374" t="inlineStr">
        <is>
          <t>EPS estimate FY2028</t>
        </is>
      </c>
      <c r="F2374" s="83">
        <f>BDP("TXN UW Equity","BEST_EPS","BEST_FPERIOD_OVERRIDE","28Y")</f>
        <v/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28Y</t>
        </is>
      </c>
      <c r="E2375" t="inlineStr">
        <is>
          <t>Revenue estimate FY2028</t>
        </is>
      </c>
      <c r="F2375" s="83">
        <f>BDP("TXN UW Equity","BEST_SALES","BEST_FPERIOD_OVERRIDE","28Y")</f>
        <v/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28Y</t>
        </is>
      </c>
      <c r="E2376" t="inlineStr">
        <is>
          <t>EBIT estimate FY2028</t>
        </is>
      </c>
      <c r="F2376" s="83">
        <f>BDP("TXN UW Equity","BEST_EBIT","BEST_FPERIOD_OVERRIDE","28Y")</f>
        <v/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E2377" t="inlineStr">
        <is>
          <t>Last price</t>
        </is>
      </c>
      <c r="F2377" s="83">
        <f>BDP("ADI UW Equity","PX_LAST")</f>
        <v/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E2378" t="inlineStr">
        <is>
          <t>Market cap (raw)</t>
        </is>
      </c>
      <c r="F2378" s="83">
        <f>BDP("ADI UW Equity","CUR_MKT_CAP")</f>
        <v/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E2379" t="inlineStr">
        <is>
          <t>YTD price change %</t>
        </is>
      </c>
      <c r="F2379" s="83">
        <f>BDP("ADI UW Equity","CHG_PCT_YTD")</f>
        <v/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E2380" t="inlineStr">
        <is>
          <t>Net debt / EBITDA</t>
        </is>
      </c>
      <c r="F2380" s="83">
        <f>BDP("ADI UW Equity","NET_DEBT_TO_EBITDA")</f>
        <v/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E2381" t="inlineStr">
        <is>
          <t>ROIC (LTM)</t>
        </is>
      </c>
      <c r="F2381" s="83">
        <f>BDP("ADI UW Equity","RETURN_ON_INV_CAPITAL")</f>
        <v/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E2382" t="inlineStr">
        <is>
          <t>LTM operating income</t>
        </is>
      </c>
      <c r="F2382" s="83">
        <f>BDP("ADI UW Equity","TRAIL_12M_OPER_INC")</f>
        <v/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E2383" t="inlineStr">
        <is>
          <t>LTM EBITDA</t>
        </is>
      </c>
      <c r="F2383" s="83">
        <f>BDP("ADI UW Equity","TRAIL_12M_EBITDA")</f>
        <v/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E2384" t="inlineStr">
        <is>
          <t>Total debt</t>
        </is>
      </c>
      <c r="F2384" s="83">
        <f>BDP("ADI UW Equity","SHORT_AND_LONG_TERM_DEBT")</f>
        <v/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E2385" t="inlineStr">
        <is>
          <t>Total equity</t>
        </is>
      </c>
      <c r="F2385" s="83">
        <f>BDP("ADI UW Equity","TOTAL_EQUITY")</f>
        <v/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E2386" t="inlineStr">
        <is>
          <t>Cash &amp; equivalents</t>
        </is>
      </c>
      <c r="F2386" s="83">
        <f>BDP("ADI UW Equity","BS_CASH_NEAR_CASH_ITEM")</f>
        <v/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24Y</t>
        </is>
      </c>
      <c r="E2387" t="inlineStr">
        <is>
          <t>EPS estimate FY2024</t>
        </is>
      </c>
      <c r="F2387" s="83">
        <f>BDP("ADI UW Equity","BEST_EPS","BEST_FPERIOD_OVERRIDE","24Y")</f>
        <v/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24Y</t>
        </is>
      </c>
      <c r="E2388" t="inlineStr">
        <is>
          <t>Revenue estimate FY2024</t>
        </is>
      </c>
      <c r="F2388" s="83">
        <f>BDP("ADI UW Equity","BEST_SALES","BEST_FPERIOD_OVERRIDE","24Y")</f>
        <v/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24Y</t>
        </is>
      </c>
      <c r="E2389" t="inlineStr">
        <is>
          <t>EBIT estimate FY2024</t>
        </is>
      </c>
      <c r="F2389" s="83">
        <f>BDP("ADI UW Equity","BEST_EBIT","BEST_FPERIOD_OVERRIDE","24Y")</f>
        <v/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25Y</t>
        </is>
      </c>
      <c r="E2390" t="inlineStr">
        <is>
          <t>EPS estimate FY2025</t>
        </is>
      </c>
      <c r="F2390" s="83">
        <f>BDP("ADI UW Equity","BEST_EPS","BEST_FPERIOD_OVERRIDE","25Y")</f>
        <v/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25Y</t>
        </is>
      </c>
      <c r="E2391" t="inlineStr">
        <is>
          <t>Revenue estimate FY2025</t>
        </is>
      </c>
      <c r="F2391" s="83">
        <f>BDP("ADI UW Equity","BEST_SALES","BEST_FPERIOD_OVERRIDE","25Y")</f>
        <v/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25Y</t>
        </is>
      </c>
      <c r="E2392" t="inlineStr">
        <is>
          <t>EBIT estimate FY2025</t>
        </is>
      </c>
      <c r="F2392" s="83">
        <f>BDP("ADI UW Equity","BEST_EBIT","BEST_FPERIOD_OVERRIDE","25Y")</f>
        <v/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26Y</t>
        </is>
      </c>
      <c r="E2393" t="inlineStr">
        <is>
          <t>EPS estimate FY2026</t>
        </is>
      </c>
      <c r="F2393" s="83">
        <f>BDP("ADI UW Equity","BEST_EPS","BEST_FPERIOD_OVERRIDE","26Y")</f>
        <v/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26Y</t>
        </is>
      </c>
      <c r="E2394" t="inlineStr">
        <is>
          <t>Revenue estimate FY2026</t>
        </is>
      </c>
      <c r="F2394" s="83">
        <f>BDP("ADI UW Equity","BEST_SALES","BEST_FPERIOD_OVERRIDE","26Y")</f>
        <v/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26Y</t>
        </is>
      </c>
      <c r="E2395" t="inlineStr">
        <is>
          <t>EBIT estimate FY2026</t>
        </is>
      </c>
      <c r="F2395" s="83">
        <f>BDP("ADI UW Equity","BEST_EBIT","BEST_FPERIOD_OVERRIDE","26Y")</f>
        <v/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27Y</t>
        </is>
      </c>
      <c r="E2396" t="inlineStr">
        <is>
          <t>EPS estimate FY2027</t>
        </is>
      </c>
      <c r="F2396" s="83">
        <f>BDP("ADI UW Equity","BEST_EPS","BEST_FPERIOD_OVERRIDE","27Y")</f>
        <v/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27Y</t>
        </is>
      </c>
      <c r="E2397" t="inlineStr">
        <is>
          <t>Revenue estimate FY2027</t>
        </is>
      </c>
      <c r="F2397" s="83">
        <f>BDP("ADI UW Equity","BEST_SALES","BEST_FPERIOD_OVERRIDE","27Y")</f>
        <v/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27Y</t>
        </is>
      </c>
      <c r="E2398" t="inlineStr">
        <is>
          <t>EBIT estimate FY2027</t>
        </is>
      </c>
      <c r="F2398" s="83">
        <f>BDP("ADI UW Equity","BEST_EBIT","BEST_FPERIOD_OVERRIDE","27Y")</f>
        <v/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28Y</t>
        </is>
      </c>
      <c r="E2399" t="inlineStr">
        <is>
          <t>EPS estimate FY2028</t>
        </is>
      </c>
      <c r="F2399" s="83">
        <f>BDP("ADI UW Equity","BEST_EPS","BEST_FPERIOD_OVERRIDE","28Y")</f>
        <v/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28Y</t>
        </is>
      </c>
      <c r="E2400" t="inlineStr">
        <is>
          <t>Revenue estimate FY2028</t>
        </is>
      </c>
      <c r="F2400" s="83">
        <f>BDP("ADI UW Equity","BEST_SALES","BEST_FPERIOD_OVERRIDE","28Y")</f>
        <v/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28Y</t>
        </is>
      </c>
      <c r="E2401" t="inlineStr">
        <is>
          <t>EBIT estimate FY2028</t>
        </is>
      </c>
      <c r="F2401" s="83">
        <f>BDP("ADI UW Equity","BEST_EBIT","BEST_FPERIOD_OVERRIDE","28Y")</f>
        <v/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E2402" t="inlineStr">
        <is>
          <t>Last price</t>
        </is>
      </c>
      <c r="F2402" s="83">
        <f>BDP("MPWR UW Equity","PX_LAST")</f>
        <v/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E2403" t="inlineStr">
        <is>
          <t>Market cap (raw)</t>
        </is>
      </c>
      <c r="F2403" s="83">
        <f>BDP("MPWR UW Equity","CUR_MKT_CAP")</f>
        <v/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E2404" t="inlineStr">
        <is>
          <t>YTD price change %</t>
        </is>
      </c>
      <c r="F2404" s="83">
        <f>BDP("MPWR UW Equity","CHG_PCT_YTD")</f>
        <v/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E2405" t="inlineStr">
        <is>
          <t>Net debt / EBITDA</t>
        </is>
      </c>
      <c r="F2405" s="83">
        <f>BDP("MPWR UW Equity","NET_DEBT_TO_EBITDA")</f>
        <v/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E2406" t="inlineStr">
        <is>
          <t>ROIC (LTM)</t>
        </is>
      </c>
      <c r="F2406" s="83">
        <f>BDP("MPWR UW Equity","RETURN_ON_INV_CAPITAL")</f>
        <v/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E2407" t="inlineStr">
        <is>
          <t>LTM operating income</t>
        </is>
      </c>
      <c r="F2407" s="83">
        <f>BDP("MPWR UW Equity","TRAIL_12M_OPER_INC")</f>
        <v/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E2408" t="inlineStr">
        <is>
          <t>LTM EBITDA</t>
        </is>
      </c>
      <c r="F2408" s="83">
        <f>BDP("MPWR UW Equity","TRAIL_12M_EBITDA")</f>
        <v/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E2409" t="inlineStr">
        <is>
          <t>Total debt</t>
        </is>
      </c>
      <c r="F2409" s="83">
        <f>BDP("MPWR UW Equity","SHORT_AND_LONG_TERM_DEBT")</f>
        <v/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E2410" t="inlineStr">
        <is>
          <t>Total equity</t>
        </is>
      </c>
      <c r="F2410" s="83">
        <f>BDP("MPWR UW Equity","TOTAL_EQUITY")</f>
        <v/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E2411" t="inlineStr">
        <is>
          <t>Cash &amp; equivalents</t>
        </is>
      </c>
      <c r="F2411" s="83">
        <f>BDP("MPWR UW Equity","BS_CASH_NEAR_CASH_ITEM")</f>
        <v/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24Y</t>
        </is>
      </c>
      <c r="E2412" t="inlineStr">
        <is>
          <t>EPS estimate FY2024</t>
        </is>
      </c>
      <c r="F2412" s="83">
        <f>BDP("MPWR UW Equity","BEST_EPS","BEST_FPERIOD_OVERRIDE","24Y")</f>
        <v/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24Y</t>
        </is>
      </c>
      <c r="E2413" t="inlineStr">
        <is>
          <t>Revenue estimate FY2024</t>
        </is>
      </c>
      <c r="F2413" s="83">
        <f>BDP("MPWR UW Equity","BEST_SALES","BEST_FPERIOD_OVERRIDE","24Y")</f>
        <v/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24Y</t>
        </is>
      </c>
      <c r="E2414" t="inlineStr">
        <is>
          <t>EBIT estimate FY2024</t>
        </is>
      </c>
      <c r="F2414" s="83">
        <f>BDP("MPWR UW Equity","BEST_EBIT","BEST_FPERIOD_OVERRIDE","24Y")</f>
        <v/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25Y</t>
        </is>
      </c>
      <c r="E2415" t="inlineStr">
        <is>
          <t>EPS estimate FY2025</t>
        </is>
      </c>
      <c r="F2415" s="83">
        <f>BDP("MPWR UW Equity","BEST_EPS","BEST_FPERIOD_OVERRIDE","25Y")</f>
        <v/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25Y</t>
        </is>
      </c>
      <c r="E2416" t="inlineStr">
        <is>
          <t>Revenue estimate FY2025</t>
        </is>
      </c>
      <c r="F2416" s="83">
        <f>BDP("MPWR UW Equity","BEST_SALES","BEST_FPERIOD_OVERRIDE","25Y")</f>
        <v/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25Y</t>
        </is>
      </c>
      <c r="E2417" t="inlineStr">
        <is>
          <t>EBIT estimate FY2025</t>
        </is>
      </c>
      <c r="F2417" s="83">
        <f>BDP("MPWR UW Equity","BEST_EBIT","BEST_FPERIOD_OVERRIDE","25Y")</f>
        <v/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26Y</t>
        </is>
      </c>
      <c r="E2418" t="inlineStr">
        <is>
          <t>EPS estimate FY2026</t>
        </is>
      </c>
      <c r="F2418" s="83">
        <f>BDP("MPWR UW Equity","BEST_EPS","BEST_FPERIOD_OVERRIDE","26Y")</f>
        <v/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26Y</t>
        </is>
      </c>
      <c r="E2419" t="inlineStr">
        <is>
          <t>Revenue estimate FY2026</t>
        </is>
      </c>
      <c r="F2419" s="83">
        <f>BDP("MPWR UW Equity","BEST_SALES","BEST_FPERIOD_OVERRIDE","26Y")</f>
        <v/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26Y</t>
        </is>
      </c>
      <c r="E2420" t="inlineStr">
        <is>
          <t>EBIT estimate FY2026</t>
        </is>
      </c>
      <c r="F2420" s="83">
        <f>BDP("MPWR UW Equity","BEST_EBIT","BEST_FPERIOD_OVERRIDE","26Y")</f>
        <v/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27Y</t>
        </is>
      </c>
      <c r="E2421" t="inlineStr">
        <is>
          <t>EPS estimate FY2027</t>
        </is>
      </c>
      <c r="F2421" s="83">
        <f>BDP("MPWR UW Equity","BEST_EPS","BEST_FPERIOD_OVERRIDE","27Y")</f>
        <v/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27Y</t>
        </is>
      </c>
      <c r="E2422" t="inlineStr">
        <is>
          <t>Revenue estimate FY2027</t>
        </is>
      </c>
      <c r="F2422" s="83">
        <f>BDP("MPWR UW Equity","BEST_SALES","BEST_FPERIOD_OVERRIDE","27Y")</f>
        <v/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27Y</t>
        </is>
      </c>
      <c r="E2423" t="inlineStr">
        <is>
          <t>EBIT estimate FY2027</t>
        </is>
      </c>
      <c r="F2423" s="83">
        <f>BDP("MPWR UW Equity","BEST_EBIT","BEST_FPERIOD_OVERRIDE","27Y")</f>
        <v/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28Y</t>
        </is>
      </c>
      <c r="E2424" t="inlineStr">
        <is>
          <t>EPS estimate FY2028</t>
        </is>
      </c>
      <c r="F2424" s="83">
        <f>BDP("MPWR UW Equity","BEST_EPS","BEST_FPERIOD_OVERRIDE","28Y")</f>
        <v/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28Y</t>
        </is>
      </c>
      <c r="E2425" t="inlineStr">
        <is>
          <t>Revenue estimate FY2028</t>
        </is>
      </c>
      <c r="F2425" s="83">
        <f>BDP("MPWR UW Equity","BEST_SALES","BEST_FPERIOD_OVERRIDE","28Y")</f>
        <v/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28Y</t>
        </is>
      </c>
      <c r="E2426" t="inlineStr">
        <is>
          <t>EBIT estimate FY2028</t>
        </is>
      </c>
      <c r="F2426" s="83">
        <f>BDP("MPWR UW Equity","BEST_EBIT","BEST_FPERIOD_OVERRIDE","28Y")</f>
        <v/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E2427" t="inlineStr">
        <is>
          <t>Last price</t>
        </is>
      </c>
      <c r="F2427" s="83">
        <f>BDP("MU UW Equity","PX_LAST")</f>
        <v/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E2428" t="inlineStr">
        <is>
          <t>Market cap (raw)</t>
        </is>
      </c>
      <c r="F2428" s="83">
        <f>BDP("MU UW Equity","CUR_MKT_CAP")</f>
        <v/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E2429" t="inlineStr">
        <is>
          <t>YTD price change %</t>
        </is>
      </c>
      <c r="F2429" s="83">
        <f>BDP("MU UW Equity","CHG_PCT_YTD")</f>
        <v/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E2430" t="inlineStr">
        <is>
          <t>Net debt / EBITDA</t>
        </is>
      </c>
      <c r="F2430" s="83">
        <f>BDP("MU UW Equity","NET_DEBT_TO_EBITDA")</f>
        <v/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E2431" t="inlineStr">
        <is>
          <t>ROIC (LTM)</t>
        </is>
      </c>
      <c r="F2431" s="83">
        <f>BDP("MU UW Equity","RETURN_ON_INV_CAPITAL")</f>
        <v/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E2432" t="inlineStr">
        <is>
          <t>LTM operating income</t>
        </is>
      </c>
      <c r="F2432" s="83">
        <f>BDP("MU UW Equity","TRAIL_12M_OPER_INC")</f>
        <v/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E2433" t="inlineStr">
        <is>
          <t>LTM EBITDA</t>
        </is>
      </c>
      <c r="F2433" s="83">
        <f>BDP("MU UW Equity","TRAIL_12M_EBITDA")</f>
        <v/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E2434" t="inlineStr">
        <is>
          <t>Total debt</t>
        </is>
      </c>
      <c r="F2434" s="83">
        <f>BDP("MU UW Equity","SHORT_AND_LONG_TERM_DEBT")</f>
        <v/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E2435" t="inlineStr">
        <is>
          <t>Total equity</t>
        </is>
      </c>
      <c r="F2435" s="83">
        <f>BDP("MU UW Equity","TOTAL_EQUITY")</f>
        <v/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E2436" t="inlineStr">
        <is>
          <t>Cash &amp; equivalents</t>
        </is>
      </c>
      <c r="F2436" s="83">
        <f>BDP("MU UW Equity","BS_CASH_NEAR_CASH_ITEM")</f>
        <v/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24Y</t>
        </is>
      </c>
      <c r="E2437" t="inlineStr">
        <is>
          <t>EPS estimate FY2024</t>
        </is>
      </c>
      <c r="F2437" s="83">
        <f>BDP("MU UW Equity","BEST_EPS","BEST_FPERIOD_OVERRIDE","24Y")</f>
        <v/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24Y</t>
        </is>
      </c>
      <c r="E2438" t="inlineStr">
        <is>
          <t>Revenue estimate FY2024</t>
        </is>
      </c>
      <c r="F2438" s="83">
        <f>BDP("MU UW Equity","BEST_SALES","BEST_FPERIOD_OVERRIDE","24Y")</f>
        <v/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24Y</t>
        </is>
      </c>
      <c r="E2439" t="inlineStr">
        <is>
          <t>EBIT estimate FY2024</t>
        </is>
      </c>
      <c r="F2439" s="83">
        <f>BDP("MU UW Equity","BEST_EBIT","BEST_FPERIOD_OVERRIDE","24Y")</f>
        <v/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25Y</t>
        </is>
      </c>
      <c r="E2440" t="inlineStr">
        <is>
          <t>EPS estimate FY2025</t>
        </is>
      </c>
      <c r="F2440" s="83">
        <f>BDP("MU UW Equity","BEST_EPS","BEST_FPERIOD_OVERRIDE","25Y")</f>
        <v/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25Y</t>
        </is>
      </c>
      <c r="E2441" t="inlineStr">
        <is>
          <t>Revenue estimate FY2025</t>
        </is>
      </c>
      <c r="F2441" s="83">
        <f>BDP("MU UW Equity","BEST_SALES","BEST_FPERIOD_OVERRIDE","25Y")</f>
        <v/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25Y</t>
        </is>
      </c>
      <c r="E2442" t="inlineStr">
        <is>
          <t>EBIT estimate FY2025</t>
        </is>
      </c>
      <c r="F2442" s="83">
        <f>BDP("MU UW Equity","BEST_EBIT","BEST_FPERIOD_OVERRIDE","25Y")</f>
        <v/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26Y</t>
        </is>
      </c>
      <c r="E2443" t="inlineStr">
        <is>
          <t>EPS estimate FY2026</t>
        </is>
      </c>
      <c r="F2443" s="83">
        <f>BDP("MU UW Equity","BEST_EPS","BEST_FPERIOD_OVERRIDE","26Y")</f>
        <v/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26Y</t>
        </is>
      </c>
      <c r="E2444" t="inlineStr">
        <is>
          <t>Revenue estimate FY2026</t>
        </is>
      </c>
      <c r="F2444" s="83">
        <f>BDP("MU UW Equity","BEST_SALES","BEST_FPERIOD_OVERRIDE","26Y")</f>
        <v/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26Y</t>
        </is>
      </c>
      <c r="E2445" t="inlineStr">
        <is>
          <t>EBIT estimate FY2026</t>
        </is>
      </c>
      <c r="F2445" s="83">
        <f>BDP("MU UW Equity","BEST_EBIT","BEST_FPERIOD_OVERRIDE","26Y")</f>
        <v/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27Y</t>
        </is>
      </c>
      <c r="E2446" t="inlineStr">
        <is>
          <t>EPS estimate FY2027</t>
        </is>
      </c>
      <c r="F2446" s="83">
        <f>BDP("MU UW Equity","BEST_EPS","BEST_FPERIOD_OVERRIDE","27Y")</f>
        <v/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27Y</t>
        </is>
      </c>
      <c r="E2447" t="inlineStr">
        <is>
          <t>Revenue estimate FY2027</t>
        </is>
      </c>
      <c r="F2447" s="83">
        <f>BDP("MU UW Equity","BEST_SALES","BEST_FPERIOD_OVERRIDE","27Y")</f>
        <v/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27Y</t>
        </is>
      </c>
      <c r="E2448" t="inlineStr">
        <is>
          <t>EBIT estimate FY2027</t>
        </is>
      </c>
      <c r="F2448" s="83">
        <f>BDP("MU UW Equity","BEST_EBIT","BEST_FPERIOD_OVERRIDE","27Y")</f>
        <v/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28Y</t>
        </is>
      </c>
      <c r="E2449" t="inlineStr">
        <is>
          <t>EPS estimate FY2028</t>
        </is>
      </c>
      <c r="F2449" s="83">
        <f>BDP("MU UW Equity","BEST_EPS","BEST_FPERIOD_OVERRIDE","28Y")</f>
        <v/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28Y</t>
        </is>
      </c>
      <c r="E2450" t="inlineStr">
        <is>
          <t>Revenue estimate FY2028</t>
        </is>
      </c>
      <c r="F2450" s="83">
        <f>BDP("MU UW Equity","BEST_SALES","BEST_FPERIOD_OVERRIDE","28Y")</f>
        <v/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28Y</t>
        </is>
      </c>
      <c r="E2451" t="inlineStr">
        <is>
          <t>EBIT estimate FY2028</t>
        </is>
      </c>
      <c r="F2451" s="83">
        <f>BDP("MU UW Equity","BEST_EBIT","BEST_FPERIOD_OVERRIDE","28Y")</f>
        <v/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E2452" t="inlineStr">
        <is>
          <t>Last price</t>
        </is>
      </c>
      <c r="F2452" s="83">
        <f>BDP("NXPI UW Equity","PX_LAST")</f>
        <v/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E2453" t="inlineStr">
        <is>
          <t>Market cap (raw)</t>
        </is>
      </c>
      <c r="F2453" s="83">
        <f>BDP("NXPI UW Equity","CUR_MKT_CAP")</f>
        <v/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E2454" t="inlineStr">
        <is>
          <t>YTD price change %</t>
        </is>
      </c>
      <c r="F2454" s="83">
        <f>BDP("NXPI UW Equity","CHG_PCT_YTD")</f>
        <v/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E2455" t="inlineStr">
        <is>
          <t>Net debt / EBITDA</t>
        </is>
      </c>
      <c r="F2455" s="83">
        <f>BDP("NXPI UW Equity","NET_DEBT_TO_EBITDA")</f>
        <v/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E2456" t="inlineStr">
        <is>
          <t>ROIC (LTM)</t>
        </is>
      </c>
      <c r="F2456" s="83">
        <f>BDP("NXPI UW Equity","RETURN_ON_INV_CAPITAL")</f>
        <v/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E2457" t="inlineStr">
        <is>
          <t>LTM operating income</t>
        </is>
      </c>
      <c r="F2457" s="83">
        <f>BDP("NXPI UW Equity","TRAIL_12M_OPER_INC")</f>
        <v/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E2458" t="inlineStr">
        <is>
          <t>LTM EBITDA</t>
        </is>
      </c>
      <c r="F2458" s="83">
        <f>BDP("NXPI UW Equity","TRAIL_12M_EBITDA")</f>
        <v/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E2459" t="inlineStr">
        <is>
          <t>Total debt</t>
        </is>
      </c>
      <c r="F2459" s="83">
        <f>BDP("NXPI UW Equity","SHORT_AND_LONG_TERM_DEBT")</f>
        <v/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E2460" t="inlineStr">
        <is>
          <t>Total equity</t>
        </is>
      </c>
      <c r="F2460" s="83">
        <f>BDP("NXPI UW Equity","TOTAL_EQUITY")</f>
        <v/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E2461" t="inlineStr">
        <is>
          <t>Cash &amp; equivalents</t>
        </is>
      </c>
      <c r="F2461" s="83">
        <f>BDP("NXPI UW Equity","BS_CASH_NEAR_CASH_ITEM")</f>
        <v/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24Y</t>
        </is>
      </c>
      <c r="E2462" t="inlineStr">
        <is>
          <t>EPS estimate FY2024</t>
        </is>
      </c>
      <c r="F2462" s="83">
        <f>BDP("NXPI UW Equity","BEST_EPS","BEST_FPERIOD_OVERRIDE","24Y")</f>
        <v/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24Y</t>
        </is>
      </c>
      <c r="E2463" t="inlineStr">
        <is>
          <t>Revenue estimate FY2024</t>
        </is>
      </c>
      <c r="F2463" s="83">
        <f>BDP("NXPI UW Equity","BEST_SALES","BEST_FPERIOD_OVERRIDE","24Y")</f>
        <v/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24Y</t>
        </is>
      </c>
      <c r="E2464" t="inlineStr">
        <is>
          <t>EBIT estimate FY2024</t>
        </is>
      </c>
      <c r="F2464" s="83">
        <f>BDP("NXPI UW Equity","BEST_EBIT","BEST_FPERIOD_OVERRIDE","24Y")</f>
        <v/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25Y</t>
        </is>
      </c>
      <c r="E2465" t="inlineStr">
        <is>
          <t>EPS estimate FY2025</t>
        </is>
      </c>
      <c r="F2465" s="83">
        <f>BDP("NXPI UW Equity","BEST_EPS","BEST_FPERIOD_OVERRIDE","25Y")</f>
        <v/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25Y</t>
        </is>
      </c>
      <c r="E2466" t="inlineStr">
        <is>
          <t>Revenue estimate FY2025</t>
        </is>
      </c>
      <c r="F2466" s="83">
        <f>BDP("NXPI UW Equity","BEST_SALES","BEST_FPERIOD_OVERRIDE","25Y")</f>
        <v/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25Y</t>
        </is>
      </c>
      <c r="E2467" t="inlineStr">
        <is>
          <t>EBIT estimate FY2025</t>
        </is>
      </c>
      <c r="F2467" s="83">
        <f>BDP("NXPI UW Equity","BEST_EBIT","BEST_FPERIOD_OVERRIDE","25Y")</f>
        <v/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26Y</t>
        </is>
      </c>
      <c r="E2468" t="inlineStr">
        <is>
          <t>EPS estimate FY2026</t>
        </is>
      </c>
      <c r="F2468" s="83">
        <f>BDP("NXPI UW Equity","BEST_EPS","BEST_FPERIOD_OVERRIDE","26Y")</f>
        <v/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26Y</t>
        </is>
      </c>
      <c r="E2469" t="inlineStr">
        <is>
          <t>Revenue estimate FY2026</t>
        </is>
      </c>
      <c r="F2469" s="83">
        <f>BDP("NXPI UW Equity","BEST_SALES","BEST_FPERIOD_OVERRIDE","26Y")</f>
        <v/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26Y</t>
        </is>
      </c>
      <c r="E2470" t="inlineStr">
        <is>
          <t>EBIT estimate FY2026</t>
        </is>
      </c>
      <c r="F2470" s="83">
        <f>BDP("NXPI UW Equity","BEST_EBIT","BEST_FPERIOD_OVERRIDE","26Y")</f>
        <v/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27Y</t>
        </is>
      </c>
      <c r="E2471" t="inlineStr">
        <is>
          <t>EPS estimate FY2027</t>
        </is>
      </c>
      <c r="F2471" s="83">
        <f>BDP("NXPI UW Equity","BEST_EPS","BEST_FPERIOD_OVERRIDE","27Y")</f>
        <v/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27Y</t>
        </is>
      </c>
      <c r="E2472" t="inlineStr">
        <is>
          <t>Revenue estimate FY2027</t>
        </is>
      </c>
      <c r="F2472" s="83">
        <f>BDP("NXPI UW Equity","BEST_SALES","BEST_FPERIOD_OVERRIDE","27Y")</f>
        <v/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27Y</t>
        </is>
      </c>
      <c r="E2473" t="inlineStr">
        <is>
          <t>EBIT estimate FY2027</t>
        </is>
      </c>
      <c r="F2473" s="83">
        <f>BDP("NXPI UW Equity","BEST_EBIT","BEST_FPERIOD_OVERRIDE","27Y")</f>
        <v/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28Y</t>
        </is>
      </c>
      <c r="E2474" t="inlineStr">
        <is>
          <t>EPS estimate FY2028</t>
        </is>
      </c>
      <c r="F2474" s="83">
        <f>BDP("NXPI UW Equity","BEST_EPS","BEST_FPERIOD_OVERRIDE","28Y")</f>
        <v/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28Y</t>
        </is>
      </c>
      <c r="E2475" t="inlineStr">
        <is>
          <t>Revenue estimate FY2028</t>
        </is>
      </c>
      <c r="F2475" s="83">
        <f>BDP("NXPI UW Equity","BEST_SALES","BEST_FPERIOD_OVERRIDE","28Y")</f>
        <v/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28Y</t>
        </is>
      </c>
      <c r="E2476" t="inlineStr">
        <is>
          <t>EBIT estimate FY2028</t>
        </is>
      </c>
      <c r="F2476" s="83">
        <f>BDP("NXPI UW Equity","BEST_EBIT","BEST_FPERIOD_OVERRIDE","28Y")</f>
        <v/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E2477" t="inlineStr">
        <is>
          <t>Last price</t>
        </is>
      </c>
      <c r="F2477" s="83">
        <f>BDP("ON UW Equity","PX_LAST")</f>
        <v/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E2478" t="inlineStr">
        <is>
          <t>Market cap (raw)</t>
        </is>
      </c>
      <c r="F2478" s="83">
        <f>BDP("ON UW Equity","CUR_MKT_CAP")</f>
        <v/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E2479" t="inlineStr">
        <is>
          <t>YTD price change %</t>
        </is>
      </c>
      <c r="F2479" s="83">
        <f>BDP("ON UW Equity","CHG_PCT_YTD")</f>
        <v/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E2480" t="inlineStr">
        <is>
          <t>Net debt / EBITDA</t>
        </is>
      </c>
      <c r="F2480" s="83">
        <f>BDP("ON UW Equity","NET_DEBT_TO_EBITDA")</f>
        <v/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E2481" t="inlineStr">
        <is>
          <t>ROIC (LTM)</t>
        </is>
      </c>
      <c r="F2481" s="83">
        <f>BDP("ON UW Equity","RETURN_ON_INV_CAPITAL")</f>
        <v/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E2482" t="inlineStr">
        <is>
          <t>LTM operating income</t>
        </is>
      </c>
      <c r="F2482" s="83">
        <f>BDP("ON UW Equity","TRAIL_12M_OPER_INC")</f>
        <v/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E2483" t="inlineStr">
        <is>
          <t>LTM EBITDA</t>
        </is>
      </c>
      <c r="F2483" s="83">
        <f>BDP("ON UW Equity","TRAIL_12M_EBITDA")</f>
        <v/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E2484" t="inlineStr">
        <is>
          <t>Total debt</t>
        </is>
      </c>
      <c r="F2484" s="83">
        <f>BDP("ON UW Equity","SHORT_AND_LONG_TERM_DEBT")</f>
        <v/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E2485" t="inlineStr">
        <is>
          <t>Total equity</t>
        </is>
      </c>
      <c r="F2485" s="83">
        <f>BDP("ON UW Equity","TOTAL_EQUITY")</f>
        <v/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E2486" t="inlineStr">
        <is>
          <t>Cash &amp; equivalents</t>
        </is>
      </c>
      <c r="F2486" s="83">
        <f>BDP("ON UW Equity","BS_CASH_NEAR_CASH_ITEM")</f>
        <v/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24Y</t>
        </is>
      </c>
      <c r="E2487" t="inlineStr">
        <is>
          <t>EPS estimate FY2024</t>
        </is>
      </c>
      <c r="F2487" s="83">
        <f>BDP("ON UW Equity","BEST_EPS","BEST_FPERIOD_OVERRIDE","24Y")</f>
        <v/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24Y</t>
        </is>
      </c>
      <c r="E2488" t="inlineStr">
        <is>
          <t>Revenue estimate FY2024</t>
        </is>
      </c>
      <c r="F2488" s="83">
        <f>BDP("ON UW Equity","BEST_SALES","BEST_FPERIOD_OVERRIDE","24Y")</f>
        <v/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24Y</t>
        </is>
      </c>
      <c r="E2489" t="inlineStr">
        <is>
          <t>EBIT estimate FY2024</t>
        </is>
      </c>
      <c r="F2489" s="83">
        <f>BDP("ON UW Equity","BEST_EBIT","BEST_FPERIOD_OVERRIDE","24Y")</f>
        <v/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25Y</t>
        </is>
      </c>
      <c r="E2490" t="inlineStr">
        <is>
          <t>EPS estimate FY2025</t>
        </is>
      </c>
      <c r="F2490" s="83">
        <f>BDP("ON UW Equity","BEST_EPS","BEST_FPERIOD_OVERRIDE","25Y")</f>
        <v/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25Y</t>
        </is>
      </c>
      <c r="E2491" t="inlineStr">
        <is>
          <t>Revenue estimate FY2025</t>
        </is>
      </c>
      <c r="F2491" s="83">
        <f>BDP("ON UW Equity","BEST_SALES","BEST_FPERIOD_OVERRIDE","25Y")</f>
        <v/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25Y</t>
        </is>
      </c>
      <c r="E2492" t="inlineStr">
        <is>
          <t>EBIT estimate FY2025</t>
        </is>
      </c>
      <c r="F2492" s="83">
        <f>BDP("ON UW Equity","BEST_EBIT","BEST_FPERIOD_OVERRIDE","25Y")</f>
        <v/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26Y</t>
        </is>
      </c>
      <c r="E2493" t="inlineStr">
        <is>
          <t>EPS estimate FY2026</t>
        </is>
      </c>
      <c r="F2493" s="83">
        <f>BDP("ON UW Equity","BEST_EPS","BEST_FPERIOD_OVERRIDE","26Y")</f>
        <v/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26Y</t>
        </is>
      </c>
      <c r="E2494" t="inlineStr">
        <is>
          <t>Revenue estimate FY2026</t>
        </is>
      </c>
      <c r="F2494" s="83">
        <f>BDP("ON UW Equity","BEST_SALES","BEST_FPERIOD_OVERRIDE","26Y")</f>
        <v/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26Y</t>
        </is>
      </c>
      <c r="E2495" t="inlineStr">
        <is>
          <t>EBIT estimate FY2026</t>
        </is>
      </c>
      <c r="F2495" s="83">
        <f>BDP("ON UW Equity","BEST_EBIT","BEST_FPERIOD_OVERRIDE","26Y")</f>
        <v/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27Y</t>
        </is>
      </c>
      <c r="E2496" t="inlineStr">
        <is>
          <t>EPS estimate FY2027</t>
        </is>
      </c>
      <c r="F2496" s="83">
        <f>BDP("ON UW Equity","BEST_EPS","BEST_FPERIOD_OVERRIDE","27Y")</f>
        <v/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27Y</t>
        </is>
      </c>
      <c r="E2497" t="inlineStr">
        <is>
          <t>Revenue estimate FY2027</t>
        </is>
      </c>
      <c r="F2497" s="83">
        <f>BDP("ON UW Equity","BEST_SALES","BEST_FPERIOD_OVERRIDE","27Y")</f>
        <v/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27Y</t>
        </is>
      </c>
      <c r="E2498" t="inlineStr">
        <is>
          <t>EBIT estimate FY2027</t>
        </is>
      </c>
      <c r="F2498" s="83">
        <f>BDP("ON UW Equity","BEST_EBIT","BEST_FPERIOD_OVERRIDE","27Y")</f>
        <v/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28Y</t>
        </is>
      </c>
      <c r="E2499" t="inlineStr">
        <is>
          <t>EPS estimate FY2028</t>
        </is>
      </c>
      <c r="F2499" s="83">
        <f>BDP("ON UW Equity","BEST_EPS","BEST_FPERIOD_OVERRIDE","28Y")</f>
        <v/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28Y</t>
        </is>
      </c>
      <c r="E2500" t="inlineStr">
        <is>
          <t>Revenue estimate FY2028</t>
        </is>
      </c>
      <c r="F2500" s="83">
        <f>BDP("ON UW Equity","BEST_SALES","BEST_FPERIOD_OVERRIDE","28Y")</f>
        <v/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28Y</t>
        </is>
      </c>
      <c r="E2501" t="inlineStr">
        <is>
          <t>EBIT estimate FY2028</t>
        </is>
      </c>
      <c r="F2501" s="83">
        <f>BDP("ON UW Equity","BEST_EBIT","BEST_FPERIOD_OVERRIDE","28Y")</f>
        <v/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E2502" t="inlineStr">
        <is>
          <t>Last price</t>
        </is>
      </c>
      <c r="F2502" s="83">
        <f>BDP("QRVO UW Equity","PX_LAST")</f>
        <v/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E2503" t="inlineStr">
        <is>
          <t>Market cap (raw)</t>
        </is>
      </c>
      <c r="F2503" s="83">
        <f>BDP("QRVO UW Equity","CUR_MKT_CAP")</f>
        <v/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E2504" t="inlineStr">
        <is>
          <t>YTD price change %</t>
        </is>
      </c>
      <c r="F2504" s="83">
        <f>BDP("QRVO UW Equity","CHG_PCT_YTD")</f>
        <v/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E2505" t="inlineStr">
        <is>
          <t>Net debt / EBITDA</t>
        </is>
      </c>
      <c r="F2505" s="83">
        <f>BDP("QRVO UW Equity","NET_DEBT_TO_EBITDA")</f>
        <v/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E2506" t="inlineStr">
        <is>
          <t>ROIC (LTM)</t>
        </is>
      </c>
      <c r="F2506" s="83">
        <f>BDP("QRVO UW Equity","RETURN_ON_INV_CAPITAL")</f>
        <v/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E2507" t="inlineStr">
        <is>
          <t>LTM operating income</t>
        </is>
      </c>
      <c r="F2507" s="83">
        <f>BDP("QRVO UW Equity","TRAIL_12M_OPER_INC")</f>
        <v/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E2508" t="inlineStr">
        <is>
          <t>LTM EBITDA</t>
        </is>
      </c>
      <c r="F2508" s="83">
        <f>BDP("QRVO UW Equity","TRAIL_12M_EBITDA")</f>
        <v/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E2509" t="inlineStr">
        <is>
          <t>Total debt</t>
        </is>
      </c>
      <c r="F2509" s="83">
        <f>BDP("QRVO UW Equity","SHORT_AND_LONG_TERM_DEBT")</f>
        <v/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E2510" t="inlineStr">
        <is>
          <t>Total equity</t>
        </is>
      </c>
      <c r="F2510" s="83">
        <f>BDP("QRVO UW Equity","TOTAL_EQUITY")</f>
        <v/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E2511" t="inlineStr">
        <is>
          <t>Cash &amp; equivalents</t>
        </is>
      </c>
      <c r="F2511" s="83">
        <f>BDP("QRVO UW Equity","BS_CASH_NEAR_CASH_ITEM")</f>
        <v/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24Y</t>
        </is>
      </c>
      <c r="E2512" t="inlineStr">
        <is>
          <t>EPS estimate FY2024</t>
        </is>
      </c>
      <c r="F2512" s="83">
        <f>BDP("QRVO UW Equity","BEST_EPS","BEST_FPERIOD_OVERRIDE","24Y")</f>
        <v/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24Y</t>
        </is>
      </c>
      <c r="E2513" t="inlineStr">
        <is>
          <t>Revenue estimate FY2024</t>
        </is>
      </c>
      <c r="F2513" s="83">
        <f>BDP("QRVO UW Equity","BEST_SALES","BEST_FPERIOD_OVERRIDE","24Y")</f>
        <v/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24Y</t>
        </is>
      </c>
      <c r="E2514" t="inlineStr">
        <is>
          <t>EBIT estimate FY2024</t>
        </is>
      </c>
      <c r="F2514" s="83">
        <f>BDP("QRVO UW Equity","BEST_EBIT","BEST_FPERIOD_OVERRIDE","24Y")</f>
        <v/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25Y</t>
        </is>
      </c>
      <c r="E2515" t="inlineStr">
        <is>
          <t>EPS estimate FY2025</t>
        </is>
      </c>
      <c r="F2515" s="83">
        <f>BDP("QRVO UW Equity","BEST_EPS","BEST_FPERIOD_OVERRIDE","25Y")</f>
        <v/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25Y</t>
        </is>
      </c>
      <c r="E2516" t="inlineStr">
        <is>
          <t>Revenue estimate FY2025</t>
        </is>
      </c>
      <c r="F2516" s="83">
        <f>BDP("QRVO UW Equity","BEST_SALES","BEST_FPERIOD_OVERRIDE","25Y")</f>
        <v/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25Y</t>
        </is>
      </c>
      <c r="E2517" t="inlineStr">
        <is>
          <t>EBIT estimate FY2025</t>
        </is>
      </c>
      <c r="F2517" s="83">
        <f>BDP("QRVO UW Equity","BEST_EBIT","BEST_FPERIOD_OVERRIDE","25Y")</f>
        <v/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26Y</t>
        </is>
      </c>
      <c r="E2518" t="inlineStr">
        <is>
          <t>EPS estimate FY2026</t>
        </is>
      </c>
      <c r="F2518" s="83">
        <f>BDP("QRVO UW Equity","BEST_EPS","BEST_FPERIOD_OVERRIDE","26Y")</f>
        <v/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26Y</t>
        </is>
      </c>
      <c r="E2519" t="inlineStr">
        <is>
          <t>Revenue estimate FY2026</t>
        </is>
      </c>
      <c r="F2519" s="83">
        <f>BDP("QRVO UW Equity","BEST_SALES","BEST_FPERIOD_OVERRIDE","26Y")</f>
        <v/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26Y</t>
        </is>
      </c>
      <c r="E2520" t="inlineStr">
        <is>
          <t>EBIT estimate FY2026</t>
        </is>
      </c>
      <c r="F2520" s="83">
        <f>BDP("QRVO UW Equity","BEST_EBIT","BEST_FPERIOD_OVERRIDE","26Y")</f>
        <v/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27Y</t>
        </is>
      </c>
      <c r="E2521" t="inlineStr">
        <is>
          <t>EPS estimate FY2027</t>
        </is>
      </c>
      <c r="F2521" s="83">
        <f>BDP("QRVO UW Equity","BEST_EPS","BEST_FPERIOD_OVERRIDE","27Y")</f>
        <v/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27Y</t>
        </is>
      </c>
      <c r="E2522" t="inlineStr">
        <is>
          <t>Revenue estimate FY2027</t>
        </is>
      </c>
      <c r="F2522" s="83">
        <f>BDP("QRVO UW Equity","BEST_SALES","BEST_FPERIOD_OVERRIDE","27Y")</f>
        <v/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27Y</t>
        </is>
      </c>
      <c r="E2523" t="inlineStr">
        <is>
          <t>EBIT estimate FY2027</t>
        </is>
      </c>
      <c r="F2523" s="83">
        <f>BDP("QRVO UW Equity","BEST_EBIT","BEST_FPERIOD_OVERRIDE","27Y")</f>
        <v/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28Y</t>
        </is>
      </c>
      <c r="E2524" t="inlineStr">
        <is>
          <t>EPS estimate FY2028</t>
        </is>
      </c>
      <c r="F2524" s="83">
        <f>BDP("QRVO UW Equity","BEST_EPS","BEST_FPERIOD_OVERRIDE","28Y")</f>
        <v/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28Y</t>
        </is>
      </c>
      <c r="E2525" t="inlineStr">
        <is>
          <t>Revenue estimate FY2028</t>
        </is>
      </c>
      <c r="F2525" s="83">
        <f>BDP("QRVO UW Equity","BEST_SALES","BEST_FPERIOD_OVERRIDE","28Y")</f>
        <v/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28Y</t>
        </is>
      </c>
      <c r="E2526" t="inlineStr">
        <is>
          <t>EBIT estimate FY2028</t>
        </is>
      </c>
      <c r="F2526" s="83">
        <f>BDP("QRVO UW Equity","BEST_EBIT","BEST_FPERIOD_OVERRIDE","28Y")</f>
        <v/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E2527" t="inlineStr">
        <is>
          <t>Last price</t>
        </is>
      </c>
      <c r="F2527" s="83">
        <f>BDP("SWKS UW Equity","PX_LAST")</f>
        <v/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E2528" t="inlineStr">
        <is>
          <t>Market cap (raw)</t>
        </is>
      </c>
      <c r="F2528" s="83">
        <f>BDP("SWKS UW Equity","CUR_MKT_CAP")</f>
        <v/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E2529" t="inlineStr">
        <is>
          <t>YTD price change %</t>
        </is>
      </c>
      <c r="F2529" s="83">
        <f>BDP("SWKS UW Equity","CHG_PCT_YTD")</f>
        <v/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E2530" t="inlineStr">
        <is>
          <t>Net debt / EBITDA</t>
        </is>
      </c>
      <c r="F2530" s="83">
        <f>BDP("SWKS UW Equity","NET_DEBT_TO_EBITDA")</f>
        <v/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E2531" t="inlineStr">
        <is>
          <t>ROIC (LTM)</t>
        </is>
      </c>
      <c r="F2531" s="83">
        <f>BDP("SWKS UW Equity","RETURN_ON_INV_CAPITAL")</f>
        <v/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E2532" t="inlineStr">
        <is>
          <t>LTM operating income</t>
        </is>
      </c>
      <c r="F2532" s="83">
        <f>BDP("SWKS UW Equity","TRAIL_12M_OPER_INC")</f>
        <v/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E2533" t="inlineStr">
        <is>
          <t>LTM EBITDA</t>
        </is>
      </c>
      <c r="F2533" s="83">
        <f>BDP("SWKS UW Equity","TRAIL_12M_EBITDA")</f>
        <v/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E2534" t="inlineStr">
        <is>
          <t>Total debt</t>
        </is>
      </c>
      <c r="F2534" s="83">
        <f>BDP("SWKS UW Equity","SHORT_AND_LONG_TERM_DEBT")</f>
        <v/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E2535" t="inlineStr">
        <is>
          <t>Total equity</t>
        </is>
      </c>
      <c r="F2535" s="83">
        <f>BDP("SWKS UW Equity","TOTAL_EQUITY")</f>
        <v/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E2536" t="inlineStr">
        <is>
          <t>Cash &amp; equivalents</t>
        </is>
      </c>
      <c r="F2536" s="83">
        <f>BDP("SWKS UW Equity","BS_CASH_NEAR_CASH_ITEM")</f>
        <v/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24Y</t>
        </is>
      </c>
      <c r="E2537" t="inlineStr">
        <is>
          <t>EPS estimate FY2024</t>
        </is>
      </c>
      <c r="F2537" s="83">
        <f>BDP("SWKS UW Equity","BEST_EPS","BEST_FPERIOD_OVERRIDE","24Y")</f>
        <v/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24Y</t>
        </is>
      </c>
      <c r="E2538" t="inlineStr">
        <is>
          <t>Revenue estimate FY2024</t>
        </is>
      </c>
      <c r="F2538" s="83">
        <f>BDP("SWKS UW Equity","BEST_SALES","BEST_FPERIOD_OVERRIDE","24Y")</f>
        <v/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24Y</t>
        </is>
      </c>
      <c r="E2539" t="inlineStr">
        <is>
          <t>EBIT estimate FY2024</t>
        </is>
      </c>
      <c r="F2539" s="83">
        <f>BDP("SWKS UW Equity","BEST_EBIT","BEST_FPERIOD_OVERRIDE","24Y")</f>
        <v/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25Y</t>
        </is>
      </c>
      <c r="E2540" t="inlineStr">
        <is>
          <t>EPS estimate FY2025</t>
        </is>
      </c>
      <c r="F2540" s="83">
        <f>BDP("SWKS UW Equity","BEST_EPS","BEST_FPERIOD_OVERRIDE","25Y")</f>
        <v/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25Y</t>
        </is>
      </c>
      <c r="E2541" t="inlineStr">
        <is>
          <t>Revenue estimate FY2025</t>
        </is>
      </c>
      <c r="F2541" s="83">
        <f>BDP("SWKS UW Equity","BEST_SALES","BEST_FPERIOD_OVERRIDE","25Y")</f>
        <v/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25Y</t>
        </is>
      </c>
      <c r="E2542" t="inlineStr">
        <is>
          <t>EBIT estimate FY2025</t>
        </is>
      </c>
      <c r="F2542" s="83">
        <f>BDP("SWKS UW Equity","BEST_EBIT","BEST_FPERIOD_OVERRIDE","25Y")</f>
        <v/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26Y</t>
        </is>
      </c>
      <c r="E2543" t="inlineStr">
        <is>
          <t>EPS estimate FY2026</t>
        </is>
      </c>
      <c r="F2543" s="83">
        <f>BDP("SWKS UW Equity","BEST_EPS","BEST_FPERIOD_OVERRIDE","26Y")</f>
        <v/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26Y</t>
        </is>
      </c>
      <c r="E2544" t="inlineStr">
        <is>
          <t>Revenue estimate FY2026</t>
        </is>
      </c>
      <c r="F2544" s="83">
        <f>BDP("SWKS UW Equity","BEST_SALES","BEST_FPERIOD_OVERRIDE","26Y")</f>
        <v/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26Y</t>
        </is>
      </c>
      <c r="E2545" t="inlineStr">
        <is>
          <t>EBIT estimate FY2026</t>
        </is>
      </c>
      <c r="F2545" s="83">
        <f>BDP("SWKS UW Equity","BEST_EBIT","BEST_FPERIOD_OVERRIDE","26Y")</f>
        <v/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27Y</t>
        </is>
      </c>
      <c r="E2546" t="inlineStr">
        <is>
          <t>EPS estimate FY2027</t>
        </is>
      </c>
      <c r="F2546" s="83">
        <f>BDP("SWKS UW Equity","BEST_EPS","BEST_FPERIOD_OVERRIDE","27Y")</f>
        <v/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27Y</t>
        </is>
      </c>
      <c r="E2547" t="inlineStr">
        <is>
          <t>Revenue estimate FY2027</t>
        </is>
      </c>
      <c r="F2547" s="83">
        <f>BDP("SWKS UW Equity","BEST_SALES","BEST_FPERIOD_OVERRIDE","27Y")</f>
        <v/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27Y</t>
        </is>
      </c>
      <c r="E2548" t="inlineStr">
        <is>
          <t>EBIT estimate FY2027</t>
        </is>
      </c>
      <c r="F2548" s="83">
        <f>BDP("SWKS UW Equity","BEST_EBIT","BEST_FPERIOD_OVERRIDE","27Y")</f>
        <v/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28Y</t>
        </is>
      </c>
      <c r="E2549" t="inlineStr">
        <is>
          <t>EPS estimate FY2028</t>
        </is>
      </c>
      <c r="F2549" s="83">
        <f>BDP("SWKS UW Equity","BEST_EPS","BEST_FPERIOD_OVERRIDE","28Y")</f>
        <v/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28Y</t>
        </is>
      </c>
      <c r="E2550" t="inlineStr">
        <is>
          <t>Revenue estimate FY2028</t>
        </is>
      </c>
      <c r="F2550" s="83">
        <f>BDP("SWKS UW Equity","BEST_SALES","BEST_FPERIOD_OVERRIDE","28Y")</f>
        <v/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28Y</t>
        </is>
      </c>
      <c r="E2551" t="inlineStr">
        <is>
          <t>EBIT estimate FY2028</t>
        </is>
      </c>
      <c r="F2551" s="83">
        <f>BDP("SWKS UW Equity","BEST_EBIT","BEST_FPERIOD_OVERRIDE","28Y")</f>
        <v/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E2552" t="inlineStr">
        <is>
          <t>Last price</t>
        </is>
      </c>
      <c r="F2552" s="83">
        <f>BDP("MTSI UW Equity","PX_LAST")</f>
        <v/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E2553" t="inlineStr">
        <is>
          <t>Market cap (raw)</t>
        </is>
      </c>
      <c r="F2553" s="83">
        <f>BDP("MTSI UW Equity","CUR_MKT_CAP")</f>
        <v/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E2554" t="inlineStr">
        <is>
          <t>YTD price change %</t>
        </is>
      </c>
      <c r="F2554" s="83">
        <f>BDP("MTSI UW Equity","CHG_PCT_YTD")</f>
        <v/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E2555" t="inlineStr">
        <is>
          <t>Net debt / EBITDA</t>
        </is>
      </c>
      <c r="F2555" s="83">
        <f>BDP("MTSI UW Equity","NET_DEBT_TO_EBITDA")</f>
        <v/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E2556" t="inlineStr">
        <is>
          <t>ROIC (LTM)</t>
        </is>
      </c>
      <c r="F2556" s="83">
        <f>BDP("MTSI UW Equity","RETURN_ON_INV_CAPITAL")</f>
        <v/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E2557" t="inlineStr">
        <is>
          <t>LTM operating income</t>
        </is>
      </c>
      <c r="F2557" s="83">
        <f>BDP("MTSI UW Equity","TRAIL_12M_OPER_INC")</f>
        <v/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E2558" t="inlineStr">
        <is>
          <t>LTM EBITDA</t>
        </is>
      </c>
      <c r="F2558" s="83">
        <f>BDP("MTSI UW Equity","TRAIL_12M_EBITDA")</f>
        <v/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E2559" t="inlineStr">
        <is>
          <t>Total debt</t>
        </is>
      </c>
      <c r="F2559" s="83">
        <f>BDP("MTSI UW Equity","SHORT_AND_LONG_TERM_DEBT")</f>
        <v/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E2560" t="inlineStr">
        <is>
          <t>Total equity</t>
        </is>
      </c>
      <c r="F2560" s="83">
        <f>BDP("MTSI UW Equity","TOTAL_EQUITY")</f>
        <v/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E2561" t="inlineStr">
        <is>
          <t>Cash &amp; equivalents</t>
        </is>
      </c>
      <c r="F2561" s="83">
        <f>BDP("MTSI UW Equity","BS_CASH_NEAR_CASH_ITEM")</f>
        <v/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24Y</t>
        </is>
      </c>
      <c r="E2562" t="inlineStr">
        <is>
          <t>EPS estimate FY2024</t>
        </is>
      </c>
      <c r="F2562" s="83">
        <f>BDP("MTSI UW Equity","BEST_EPS","BEST_FPERIOD_OVERRIDE","24Y")</f>
        <v/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24Y</t>
        </is>
      </c>
      <c r="E2563" t="inlineStr">
        <is>
          <t>Revenue estimate FY2024</t>
        </is>
      </c>
      <c r="F2563" s="83">
        <f>BDP("MTSI UW Equity","BEST_SALES","BEST_FPERIOD_OVERRIDE","24Y")</f>
        <v/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24Y</t>
        </is>
      </c>
      <c r="E2564" t="inlineStr">
        <is>
          <t>EBIT estimate FY2024</t>
        </is>
      </c>
      <c r="F2564" s="83">
        <f>BDP("MTSI UW Equity","BEST_EBIT","BEST_FPERIOD_OVERRIDE","24Y")</f>
        <v/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25Y</t>
        </is>
      </c>
      <c r="E2565" t="inlineStr">
        <is>
          <t>EPS estimate FY2025</t>
        </is>
      </c>
      <c r="F2565" s="83">
        <f>BDP("MTSI UW Equity","BEST_EPS","BEST_FPERIOD_OVERRIDE","25Y")</f>
        <v/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25Y</t>
        </is>
      </c>
      <c r="E2566" t="inlineStr">
        <is>
          <t>Revenue estimate FY2025</t>
        </is>
      </c>
      <c r="F2566" s="83">
        <f>BDP("MTSI UW Equity","BEST_SALES","BEST_FPERIOD_OVERRIDE","25Y")</f>
        <v/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25Y</t>
        </is>
      </c>
      <c r="E2567" t="inlineStr">
        <is>
          <t>EBIT estimate FY2025</t>
        </is>
      </c>
      <c r="F2567" s="83">
        <f>BDP("MTSI UW Equity","BEST_EBIT","BEST_FPERIOD_OVERRIDE","25Y")</f>
        <v/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26Y</t>
        </is>
      </c>
      <c r="E2568" t="inlineStr">
        <is>
          <t>EPS estimate FY2026</t>
        </is>
      </c>
      <c r="F2568" s="83">
        <f>BDP("MTSI UW Equity","BEST_EPS","BEST_FPERIOD_OVERRIDE","26Y")</f>
        <v/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26Y</t>
        </is>
      </c>
      <c r="E2569" t="inlineStr">
        <is>
          <t>Revenue estimate FY2026</t>
        </is>
      </c>
      <c r="F2569" s="83">
        <f>BDP("MTSI UW Equity","BEST_SALES","BEST_FPERIOD_OVERRIDE","26Y")</f>
        <v/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26Y</t>
        </is>
      </c>
      <c r="E2570" t="inlineStr">
        <is>
          <t>EBIT estimate FY2026</t>
        </is>
      </c>
      <c r="F2570" s="83">
        <f>BDP("MTSI UW Equity","BEST_EBIT","BEST_FPERIOD_OVERRIDE","26Y")</f>
        <v/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27Y</t>
        </is>
      </c>
      <c r="E2571" t="inlineStr">
        <is>
          <t>EPS estimate FY2027</t>
        </is>
      </c>
      <c r="F2571" s="83">
        <f>BDP("MTSI UW Equity","BEST_EPS","BEST_FPERIOD_OVERRIDE","27Y")</f>
        <v/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27Y</t>
        </is>
      </c>
      <c r="E2572" t="inlineStr">
        <is>
          <t>Revenue estimate FY2027</t>
        </is>
      </c>
      <c r="F2572" s="83">
        <f>BDP("MTSI UW Equity","BEST_SALES","BEST_FPERIOD_OVERRIDE","27Y")</f>
        <v/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27Y</t>
        </is>
      </c>
      <c r="E2573" t="inlineStr">
        <is>
          <t>EBIT estimate FY2027</t>
        </is>
      </c>
      <c r="F2573" s="83">
        <f>BDP("MTSI UW Equity","BEST_EBIT","BEST_FPERIOD_OVERRIDE","27Y")</f>
        <v/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28Y</t>
        </is>
      </c>
      <c r="E2574" t="inlineStr">
        <is>
          <t>EPS estimate FY2028</t>
        </is>
      </c>
      <c r="F2574" s="83">
        <f>BDP("MTSI UW Equity","BEST_EPS","BEST_FPERIOD_OVERRIDE","28Y")</f>
        <v/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28Y</t>
        </is>
      </c>
      <c r="E2575" t="inlineStr">
        <is>
          <t>Revenue estimate FY2028</t>
        </is>
      </c>
      <c r="F2575" s="83">
        <f>BDP("MTSI UW Equity","BEST_SALES","BEST_FPERIOD_OVERRIDE","28Y")</f>
        <v/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28Y</t>
        </is>
      </c>
      <c r="E2576" t="inlineStr">
        <is>
          <t>EBIT estimate FY2028</t>
        </is>
      </c>
      <c r="F2576" s="83">
        <f>BDP("MTSI UW Equity","BEST_EBIT","BEST_FPERIOD_OVERRIDE","28Y")</f>
        <v/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E2577" t="inlineStr">
        <is>
          <t>Last price</t>
        </is>
      </c>
      <c r="F2577" s="83">
        <f>BDP("COHR UN Equity","PX_LAST")</f>
        <v/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E2578" t="inlineStr">
        <is>
          <t>Market cap (raw)</t>
        </is>
      </c>
      <c r="F2578" s="83">
        <f>BDP("COHR UN Equity","CUR_MKT_CAP")</f>
        <v/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E2579" t="inlineStr">
        <is>
          <t>YTD price change %</t>
        </is>
      </c>
      <c r="F2579" s="83">
        <f>BDP("COHR UN Equity","CHG_PCT_YTD")</f>
        <v/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E2580" t="inlineStr">
        <is>
          <t>Net debt / EBITDA</t>
        </is>
      </c>
      <c r="F2580" s="83">
        <f>BDP("COHR UN Equity","NET_DEBT_TO_EBITDA")</f>
        <v/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E2581" t="inlineStr">
        <is>
          <t>ROIC (LTM)</t>
        </is>
      </c>
      <c r="F2581" s="83">
        <f>BDP("COHR UN Equity","RETURN_ON_INV_CAPITAL")</f>
        <v/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E2582" t="inlineStr">
        <is>
          <t>LTM operating income</t>
        </is>
      </c>
      <c r="F2582" s="83">
        <f>BDP("COHR UN Equity","TRAIL_12M_OPER_INC")</f>
        <v/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E2583" t="inlineStr">
        <is>
          <t>LTM EBITDA</t>
        </is>
      </c>
      <c r="F2583" s="83">
        <f>BDP("COHR UN Equity","TRAIL_12M_EBITDA")</f>
        <v/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E2584" t="inlineStr">
        <is>
          <t>Total debt</t>
        </is>
      </c>
      <c r="F2584" s="83">
        <f>BDP("COHR UN Equity","SHORT_AND_LONG_TERM_DEBT")</f>
        <v/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E2585" t="inlineStr">
        <is>
          <t>Total equity</t>
        </is>
      </c>
      <c r="F2585" s="83">
        <f>BDP("COHR UN Equity","TOTAL_EQUITY")</f>
        <v/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E2586" t="inlineStr">
        <is>
          <t>Cash &amp; equivalents</t>
        </is>
      </c>
      <c r="F2586" s="83">
        <f>BDP("COHR UN Equity","BS_CASH_NEAR_CASH_ITEM")</f>
        <v/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24Y</t>
        </is>
      </c>
      <c r="E2587" t="inlineStr">
        <is>
          <t>EPS estimate FY2024</t>
        </is>
      </c>
      <c r="F2587" s="83">
        <f>BDP("COHR UN Equity","BEST_EPS","BEST_FPERIOD_OVERRIDE","24Y")</f>
        <v/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24Y</t>
        </is>
      </c>
      <c r="E2588" t="inlineStr">
        <is>
          <t>Revenue estimate FY2024</t>
        </is>
      </c>
      <c r="F2588" s="83">
        <f>BDP("COHR UN Equity","BEST_SALES","BEST_FPERIOD_OVERRIDE","24Y")</f>
        <v/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24Y</t>
        </is>
      </c>
      <c r="E2589" t="inlineStr">
        <is>
          <t>EBIT estimate FY2024</t>
        </is>
      </c>
      <c r="F2589" s="83">
        <f>BDP("COHR UN Equity","BEST_EBIT","BEST_FPERIOD_OVERRIDE","24Y")</f>
        <v/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25Y</t>
        </is>
      </c>
      <c r="E2590" t="inlineStr">
        <is>
          <t>EPS estimate FY2025</t>
        </is>
      </c>
      <c r="F2590" s="83">
        <f>BDP("COHR UN Equity","BEST_EPS","BEST_FPERIOD_OVERRIDE","25Y")</f>
        <v/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25Y</t>
        </is>
      </c>
      <c r="E2591" t="inlineStr">
        <is>
          <t>Revenue estimate FY2025</t>
        </is>
      </c>
      <c r="F2591" s="83">
        <f>BDP("COHR UN Equity","BEST_SALES","BEST_FPERIOD_OVERRIDE","25Y")</f>
        <v/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25Y</t>
        </is>
      </c>
      <c r="E2592" t="inlineStr">
        <is>
          <t>EBIT estimate FY2025</t>
        </is>
      </c>
      <c r="F2592" s="83">
        <f>BDP("COHR UN Equity","BEST_EBIT","BEST_FPERIOD_OVERRIDE","25Y")</f>
        <v/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26Y</t>
        </is>
      </c>
      <c r="E2593" t="inlineStr">
        <is>
          <t>EPS estimate FY2026</t>
        </is>
      </c>
      <c r="F2593" s="83">
        <f>BDP("COHR UN Equity","BEST_EPS","BEST_FPERIOD_OVERRIDE","26Y")</f>
        <v/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26Y</t>
        </is>
      </c>
      <c r="E2594" t="inlineStr">
        <is>
          <t>Revenue estimate FY2026</t>
        </is>
      </c>
      <c r="F2594" s="83">
        <f>BDP("COHR UN Equity","BEST_SALES","BEST_FPERIOD_OVERRIDE","26Y")</f>
        <v/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26Y</t>
        </is>
      </c>
      <c r="E2595" t="inlineStr">
        <is>
          <t>EBIT estimate FY2026</t>
        </is>
      </c>
      <c r="F2595" s="83">
        <f>BDP("COHR UN Equity","BEST_EBIT","BEST_FPERIOD_OVERRIDE","26Y")</f>
        <v/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27Y</t>
        </is>
      </c>
      <c r="E2596" t="inlineStr">
        <is>
          <t>EPS estimate FY2027</t>
        </is>
      </c>
      <c r="F2596" s="83">
        <f>BDP("COHR UN Equity","BEST_EPS","BEST_FPERIOD_OVERRIDE","27Y")</f>
        <v/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27Y</t>
        </is>
      </c>
      <c r="E2597" t="inlineStr">
        <is>
          <t>Revenue estimate FY2027</t>
        </is>
      </c>
      <c r="F2597" s="83">
        <f>BDP("COHR UN Equity","BEST_SALES","BEST_FPERIOD_OVERRIDE","27Y")</f>
        <v/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27Y</t>
        </is>
      </c>
      <c r="E2598" t="inlineStr">
        <is>
          <t>EBIT estimate FY2027</t>
        </is>
      </c>
      <c r="F2598" s="83">
        <f>BDP("COHR UN Equity","BEST_EBIT","BEST_FPERIOD_OVERRIDE","27Y")</f>
        <v/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28Y</t>
        </is>
      </c>
      <c r="E2599" t="inlineStr">
        <is>
          <t>EPS estimate FY2028</t>
        </is>
      </c>
      <c r="F2599" s="83">
        <f>BDP("COHR UN Equity","BEST_EPS","BEST_FPERIOD_OVERRIDE","28Y")</f>
        <v/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28Y</t>
        </is>
      </c>
      <c r="E2600" t="inlineStr">
        <is>
          <t>Revenue estimate FY2028</t>
        </is>
      </c>
      <c r="F2600" s="83">
        <f>BDP("COHR UN Equity","BEST_SALES","BEST_FPERIOD_OVERRIDE","28Y")</f>
        <v/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28Y</t>
        </is>
      </c>
      <c r="E2601" t="inlineStr">
        <is>
          <t>EBIT estimate FY2028</t>
        </is>
      </c>
      <c r="F2601" s="83">
        <f>BDP("COHR UN Equity","BEST_EBIT","BEST_FPERIOD_OVERRIDE","28Y")</f>
        <v/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E2602" t="inlineStr">
        <is>
          <t>Last price</t>
        </is>
      </c>
      <c r="F2602" s="83">
        <f>BDP("ENTG UW Equity","PX_LAST")</f>
        <v/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E2603" t="inlineStr">
        <is>
          <t>Market cap (raw)</t>
        </is>
      </c>
      <c r="F2603" s="83">
        <f>BDP("ENTG UW Equity","CUR_MKT_CAP")</f>
        <v/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E2604" t="inlineStr">
        <is>
          <t>YTD price change %</t>
        </is>
      </c>
      <c r="F2604" s="83">
        <f>BDP("ENTG UW Equity","CHG_PCT_YTD")</f>
        <v/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E2605" t="inlineStr">
        <is>
          <t>Net debt / EBITDA</t>
        </is>
      </c>
      <c r="F2605" s="83">
        <f>BDP("ENTG UW Equity","NET_DEBT_TO_EBITDA")</f>
        <v/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E2606" t="inlineStr">
        <is>
          <t>ROIC (LTM)</t>
        </is>
      </c>
      <c r="F2606" s="83">
        <f>BDP("ENTG UW Equity","RETURN_ON_INV_CAPITAL")</f>
        <v/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E2607" t="inlineStr">
        <is>
          <t>LTM operating income</t>
        </is>
      </c>
      <c r="F2607" s="83">
        <f>BDP("ENTG UW Equity","TRAIL_12M_OPER_INC")</f>
        <v/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E2608" t="inlineStr">
        <is>
          <t>LTM EBITDA</t>
        </is>
      </c>
      <c r="F2608" s="83">
        <f>BDP("ENTG UW Equity","TRAIL_12M_EBITDA")</f>
        <v/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E2609" t="inlineStr">
        <is>
          <t>Total debt</t>
        </is>
      </c>
      <c r="F2609" s="83">
        <f>BDP("ENTG UW Equity","SHORT_AND_LONG_TERM_DEBT")</f>
        <v/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E2610" t="inlineStr">
        <is>
          <t>Total equity</t>
        </is>
      </c>
      <c r="F2610" s="83">
        <f>BDP("ENTG UW Equity","TOTAL_EQUITY")</f>
        <v/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E2611" t="inlineStr">
        <is>
          <t>Cash &amp; equivalents</t>
        </is>
      </c>
      <c r="F2611" s="83">
        <f>BDP("ENTG UW Equity","BS_CASH_NEAR_CASH_ITEM")</f>
        <v/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24Y</t>
        </is>
      </c>
      <c r="E2612" t="inlineStr">
        <is>
          <t>EPS estimate FY2024</t>
        </is>
      </c>
      <c r="F2612" s="83">
        <f>BDP("ENTG UW Equity","BEST_EPS","BEST_FPERIOD_OVERRIDE","24Y")</f>
        <v/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24Y</t>
        </is>
      </c>
      <c r="E2613" t="inlineStr">
        <is>
          <t>Revenue estimate FY2024</t>
        </is>
      </c>
      <c r="F2613" s="83">
        <f>BDP("ENTG UW Equity","BEST_SALES","BEST_FPERIOD_OVERRIDE","24Y")</f>
        <v/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24Y</t>
        </is>
      </c>
      <c r="E2614" t="inlineStr">
        <is>
          <t>EBIT estimate FY2024</t>
        </is>
      </c>
      <c r="F2614" s="83">
        <f>BDP("ENTG UW Equity","BEST_EBIT","BEST_FPERIOD_OVERRIDE","24Y")</f>
        <v/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25Y</t>
        </is>
      </c>
      <c r="E2615" t="inlineStr">
        <is>
          <t>EPS estimate FY2025</t>
        </is>
      </c>
      <c r="F2615" s="83">
        <f>BDP("ENTG UW Equity","BEST_EPS","BEST_FPERIOD_OVERRIDE","25Y")</f>
        <v/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25Y</t>
        </is>
      </c>
      <c r="E2616" t="inlineStr">
        <is>
          <t>Revenue estimate FY2025</t>
        </is>
      </c>
      <c r="F2616" s="83">
        <f>BDP("ENTG UW Equity","BEST_SALES","BEST_FPERIOD_OVERRIDE","25Y")</f>
        <v/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25Y</t>
        </is>
      </c>
      <c r="E2617" t="inlineStr">
        <is>
          <t>EBIT estimate FY2025</t>
        </is>
      </c>
      <c r="F2617" s="83">
        <f>BDP("ENTG UW Equity","BEST_EBIT","BEST_FPERIOD_OVERRIDE","25Y")</f>
        <v/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26Y</t>
        </is>
      </c>
      <c r="E2618" t="inlineStr">
        <is>
          <t>EPS estimate FY2026</t>
        </is>
      </c>
      <c r="F2618" s="83">
        <f>BDP("ENTG UW Equity","BEST_EPS","BEST_FPERIOD_OVERRIDE","26Y")</f>
        <v/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26Y</t>
        </is>
      </c>
      <c r="E2619" t="inlineStr">
        <is>
          <t>Revenue estimate FY2026</t>
        </is>
      </c>
      <c r="F2619" s="83">
        <f>BDP("ENTG UW Equity","BEST_SALES","BEST_FPERIOD_OVERRIDE","26Y")</f>
        <v/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26Y</t>
        </is>
      </c>
      <c r="E2620" t="inlineStr">
        <is>
          <t>EBIT estimate FY2026</t>
        </is>
      </c>
      <c r="F2620" s="83">
        <f>BDP("ENTG UW Equity","BEST_EBIT","BEST_FPERIOD_OVERRIDE","26Y")</f>
        <v/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27Y</t>
        </is>
      </c>
      <c r="E2621" t="inlineStr">
        <is>
          <t>EPS estimate FY2027</t>
        </is>
      </c>
      <c r="F2621" s="83">
        <f>BDP("ENTG UW Equity","BEST_EPS","BEST_FPERIOD_OVERRIDE","27Y")</f>
        <v/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27Y</t>
        </is>
      </c>
      <c r="E2622" t="inlineStr">
        <is>
          <t>Revenue estimate FY2027</t>
        </is>
      </c>
      <c r="F2622" s="83">
        <f>BDP("ENTG UW Equity","BEST_SALES","BEST_FPERIOD_OVERRIDE","27Y")</f>
        <v/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27Y</t>
        </is>
      </c>
      <c r="E2623" t="inlineStr">
        <is>
          <t>EBIT estimate FY2027</t>
        </is>
      </c>
      <c r="F2623" s="83">
        <f>BDP("ENTG UW Equity","BEST_EBIT","BEST_FPERIOD_OVERRIDE","27Y")</f>
        <v/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28Y</t>
        </is>
      </c>
      <c r="E2624" t="inlineStr">
        <is>
          <t>EPS estimate FY2028</t>
        </is>
      </c>
      <c r="F2624" s="83">
        <f>BDP("ENTG UW Equity","BEST_EPS","BEST_FPERIOD_OVERRIDE","28Y")</f>
        <v/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28Y</t>
        </is>
      </c>
      <c r="E2625" t="inlineStr">
        <is>
          <t>Revenue estimate FY2028</t>
        </is>
      </c>
      <c r="F2625" s="83">
        <f>BDP("ENTG UW Equity","BEST_SALES","BEST_FPERIOD_OVERRIDE","28Y")</f>
        <v/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28Y</t>
        </is>
      </c>
      <c r="E2626" t="inlineStr">
        <is>
          <t>EBIT estimate FY2028</t>
        </is>
      </c>
      <c r="F2626" s="83">
        <f>BDP("ENTG UW Equity","BEST_EBIT","BEST_FPERIOD_OVERRIDE","28Y")</f>
        <v/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E2627" t="inlineStr">
        <is>
          <t>Last price</t>
        </is>
      </c>
      <c r="F2627" s="83">
        <f>BDP("LSCC UW Equity","PX_LAST")</f>
        <v/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E2628" t="inlineStr">
        <is>
          <t>Market cap (raw)</t>
        </is>
      </c>
      <c r="F2628" s="83">
        <f>BDP("LSCC UW Equity","CUR_MKT_CAP")</f>
        <v/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E2629" t="inlineStr">
        <is>
          <t>YTD price change %</t>
        </is>
      </c>
      <c r="F2629" s="83">
        <f>BDP("LSCC UW Equity","CHG_PCT_YTD")</f>
        <v/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E2630" t="inlineStr">
        <is>
          <t>Net debt / EBITDA</t>
        </is>
      </c>
      <c r="F2630" s="83">
        <f>BDP("LSCC UW Equity","NET_DEBT_TO_EBITDA")</f>
        <v/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E2631" t="inlineStr">
        <is>
          <t>ROIC (LTM)</t>
        </is>
      </c>
      <c r="F2631" s="83">
        <f>BDP("LSCC UW Equity","RETURN_ON_INV_CAPITAL")</f>
        <v/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E2632" t="inlineStr">
        <is>
          <t>LTM operating income</t>
        </is>
      </c>
      <c r="F2632" s="83">
        <f>BDP("LSCC UW Equity","TRAIL_12M_OPER_INC")</f>
        <v/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E2633" t="inlineStr">
        <is>
          <t>LTM EBITDA</t>
        </is>
      </c>
      <c r="F2633" s="83">
        <f>BDP("LSCC UW Equity","TRAIL_12M_EBITDA")</f>
        <v/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E2634" t="inlineStr">
        <is>
          <t>Total debt</t>
        </is>
      </c>
      <c r="F2634" s="83">
        <f>BDP("LSCC UW Equity","SHORT_AND_LONG_TERM_DEBT")</f>
        <v/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E2635" t="inlineStr">
        <is>
          <t>Total equity</t>
        </is>
      </c>
      <c r="F2635" s="83">
        <f>BDP("LSCC UW Equity","TOTAL_EQUITY")</f>
        <v/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E2636" t="inlineStr">
        <is>
          <t>Cash &amp; equivalents</t>
        </is>
      </c>
      <c r="F2636" s="83">
        <f>BDP("LSCC UW Equity","BS_CASH_NEAR_CASH_ITEM")</f>
        <v/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24Y</t>
        </is>
      </c>
      <c r="E2637" t="inlineStr">
        <is>
          <t>EPS estimate FY2024</t>
        </is>
      </c>
      <c r="F2637" s="83">
        <f>BDP("LSCC UW Equity","BEST_EPS","BEST_FPERIOD_OVERRIDE","24Y")</f>
        <v/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24Y</t>
        </is>
      </c>
      <c r="E2638" t="inlineStr">
        <is>
          <t>Revenue estimate FY2024</t>
        </is>
      </c>
      <c r="F2638" s="83">
        <f>BDP("LSCC UW Equity","BEST_SALES","BEST_FPERIOD_OVERRIDE","24Y")</f>
        <v/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24Y</t>
        </is>
      </c>
      <c r="E2639" t="inlineStr">
        <is>
          <t>EBIT estimate FY2024</t>
        </is>
      </c>
      <c r="F2639" s="83">
        <f>BDP("LSCC UW Equity","BEST_EBIT","BEST_FPERIOD_OVERRIDE","24Y")</f>
        <v/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25Y</t>
        </is>
      </c>
      <c r="E2640" t="inlineStr">
        <is>
          <t>EPS estimate FY2025</t>
        </is>
      </c>
      <c r="F2640" s="83">
        <f>BDP("LSCC UW Equity","BEST_EPS","BEST_FPERIOD_OVERRIDE","25Y")</f>
        <v/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25Y</t>
        </is>
      </c>
      <c r="E2641" t="inlineStr">
        <is>
          <t>Revenue estimate FY2025</t>
        </is>
      </c>
      <c r="F2641" s="83">
        <f>BDP("LSCC UW Equity","BEST_SALES","BEST_FPERIOD_OVERRIDE","25Y")</f>
        <v/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25Y</t>
        </is>
      </c>
      <c r="E2642" t="inlineStr">
        <is>
          <t>EBIT estimate FY2025</t>
        </is>
      </c>
      <c r="F2642" s="83">
        <f>BDP("LSCC UW Equity","BEST_EBIT","BEST_FPERIOD_OVERRIDE","25Y")</f>
        <v/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26Y</t>
        </is>
      </c>
      <c r="E2643" t="inlineStr">
        <is>
          <t>EPS estimate FY2026</t>
        </is>
      </c>
      <c r="F2643" s="83">
        <f>BDP("LSCC UW Equity","BEST_EPS","BEST_FPERIOD_OVERRIDE","26Y")</f>
        <v/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26Y</t>
        </is>
      </c>
      <c r="E2644" t="inlineStr">
        <is>
          <t>Revenue estimate FY2026</t>
        </is>
      </c>
      <c r="F2644" s="83">
        <f>BDP("LSCC UW Equity","BEST_SALES","BEST_FPERIOD_OVERRIDE","26Y")</f>
        <v/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26Y</t>
        </is>
      </c>
      <c r="E2645" t="inlineStr">
        <is>
          <t>EBIT estimate FY2026</t>
        </is>
      </c>
      <c r="F2645" s="83">
        <f>BDP("LSCC UW Equity","BEST_EBIT","BEST_FPERIOD_OVERRIDE","26Y")</f>
        <v/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27Y</t>
        </is>
      </c>
      <c r="E2646" t="inlineStr">
        <is>
          <t>EPS estimate FY2027</t>
        </is>
      </c>
      <c r="F2646" s="83">
        <f>BDP("LSCC UW Equity","BEST_EPS","BEST_FPERIOD_OVERRIDE","27Y")</f>
        <v/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27Y</t>
        </is>
      </c>
      <c r="E2647" t="inlineStr">
        <is>
          <t>Revenue estimate FY2027</t>
        </is>
      </c>
      <c r="F2647" s="83">
        <f>BDP("LSCC UW Equity","BEST_SALES","BEST_FPERIOD_OVERRIDE","27Y")</f>
        <v/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27Y</t>
        </is>
      </c>
      <c r="E2648" t="inlineStr">
        <is>
          <t>EBIT estimate FY2027</t>
        </is>
      </c>
      <c r="F2648" s="83">
        <f>BDP("LSCC UW Equity","BEST_EBIT","BEST_FPERIOD_OVERRIDE","27Y")</f>
        <v/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28Y</t>
        </is>
      </c>
      <c r="E2649" t="inlineStr">
        <is>
          <t>EPS estimate FY2028</t>
        </is>
      </c>
      <c r="F2649" s="83">
        <f>BDP("LSCC UW Equity","BEST_EPS","BEST_FPERIOD_OVERRIDE","28Y")</f>
        <v/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28Y</t>
        </is>
      </c>
      <c r="E2650" t="inlineStr">
        <is>
          <t>Revenue estimate FY2028</t>
        </is>
      </c>
      <c r="F2650" s="83">
        <f>BDP("LSCC UW Equity","BEST_SALES","BEST_FPERIOD_OVERRIDE","28Y")</f>
        <v/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28Y</t>
        </is>
      </c>
      <c r="E2651" t="inlineStr">
        <is>
          <t>EBIT estimate FY2028</t>
        </is>
      </c>
      <c r="F2651" s="83">
        <f>BDP("LSCC UW Equity","BEST_EBIT","BEST_FPERIOD_OVERRIDE","28Y")</f>
        <v/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E2652" t="inlineStr">
        <is>
          <t>Last price</t>
        </is>
      </c>
      <c r="F2652" s="83">
        <f>BDP("MCHP UW Equity","PX_LAST")</f>
        <v/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E2653" t="inlineStr">
        <is>
          <t>Market cap (raw)</t>
        </is>
      </c>
      <c r="F2653" s="83">
        <f>BDP("MCHP UW Equity","CUR_MKT_CAP")</f>
        <v/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E2654" t="inlineStr">
        <is>
          <t>YTD price change %</t>
        </is>
      </c>
      <c r="F2654" s="83">
        <f>BDP("MCHP UW Equity","CHG_PCT_YTD")</f>
        <v/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E2655" t="inlineStr">
        <is>
          <t>Net debt / EBITDA</t>
        </is>
      </c>
      <c r="F2655" s="83">
        <f>BDP("MCHP UW Equity","NET_DEBT_TO_EBITDA")</f>
        <v/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E2656" t="inlineStr">
        <is>
          <t>ROIC (LTM)</t>
        </is>
      </c>
      <c r="F2656" s="83">
        <f>BDP("MCHP UW Equity","RETURN_ON_INV_CAPITAL")</f>
        <v/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E2657" t="inlineStr">
        <is>
          <t>LTM operating income</t>
        </is>
      </c>
      <c r="F2657" s="83">
        <f>BDP("MCHP UW Equity","TRAIL_12M_OPER_INC")</f>
        <v/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E2658" t="inlineStr">
        <is>
          <t>LTM EBITDA</t>
        </is>
      </c>
      <c r="F2658" s="83">
        <f>BDP("MCHP UW Equity","TRAIL_12M_EBITDA")</f>
        <v/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E2659" t="inlineStr">
        <is>
          <t>Total debt</t>
        </is>
      </c>
      <c r="F2659" s="83">
        <f>BDP("MCHP UW Equity","SHORT_AND_LONG_TERM_DEBT")</f>
        <v/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E2660" t="inlineStr">
        <is>
          <t>Total equity</t>
        </is>
      </c>
      <c r="F2660" s="83">
        <f>BDP("MCHP UW Equity","TOTAL_EQUITY")</f>
        <v/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E2661" t="inlineStr">
        <is>
          <t>Cash &amp; equivalents</t>
        </is>
      </c>
      <c r="F2661" s="83">
        <f>BDP("MCHP UW Equity","BS_CASH_NEAR_CASH_ITEM")</f>
        <v/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24Y</t>
        </is>
      </c>
      <c r="E2662" t="inlineStr">
        <is>
          <t>EPS estimate FY2024</t>
        </is>
      </c>
      <c r="F2662" s="83">
        <f>BDP("MCHP UW Equity","BEST_EPS","BEST_FPERIOD_OVERRIDE","24Y")</f>
        <v/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24Y</t>
        </is>
      </c>
      <c r="E2663" t="inlineStr">
        <is>
          <t>Revenue estimate FY2024</t>
        </is>
      </c>
      <c r="F2663" s="83">
        <f>BDP("MCHP UW Equity","BEST_SALES","BEST_FPERIOD_OVERRIDE","24Y")</f>
        <v/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24Y</t>
        </is>
      </c>
      <c r="E2664" t="inlineStr">
        <is>
          <t>EBIT estimate FY2024</t>
        </is>
      </c>
      <c r="F2664" s="83">
        <f>BDP("MCHP UW Equity","BEST_EBIT","BEST_FPERIOD_OVERRIDE","24Y")</f>
        <v/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25Y</t>
        </is>
      </c>
      <c r="E2665" t="inlineStr">
        <is>
          <t>EPS estimate FY2025</t>
        </is>
      </c>
      <c r="F2665" s="83">
        <f>BDP("MCHP UW Equity","BEST_EPS","BEST_FPERIOD_OVERRIDE","25Y")</f>
        <v/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25Y</t>
        </is>
      </c>
      <c r="E2666" t="inlineStr">
        <is>
          <t>Revenue estimate FY2025</t>
        </is>
      </c>
      <c r="F2666" s="83">
        <f>BDP("MCHP UW Equity","BEST_SALES","BEST_FPERIOD_OVERRIDE","25Y")</f>
        <v/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25Y</t>
        </is>
      </c>
      <c r="E2667" t="inlineStr">
        <is>
          <t>EBIT estimate FY2025</t>
        </is>
      </c>
      <c r="F2667" s="83">
        <f>BDP("MCHP UW Equity","BEST_EBIT","BEST_FPERIOD_OVERRIDE","25Y")</f>
        <v/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26Y</t>
        </is>
      </c>
      <c r="E2668" t="inlineStr">
        <is>
          <t>EPS estimate FY2026</t>
        </is>
      </c>
      <c r="F2668" s="83">
        <f>BDP("MCHP UW Equity","BEST_EPS","BEST_FPERIOD_OVERRIDE","26Y")</f>
        <v/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26Y</t>
        </is>
      </c>
      <c r="E2669" t="inlineStr">
        <is>
          <t>Revenue estimate FY2026</t>
        </is>
      </c>
      <c r="F2669" s="83">
        <f>BDP("MCHP UW Equity","BEST_SALES","BEST_FPERIOD_OVERRIDE","26Y")</f>
        <v/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26Y</t>
        </is>
      </c>
      <c r="E2670" t="inlineStr">
        <is>
          <t>EBIT estimate FY2026</t>
        </is>
      </c>
      <c r="F2670" s="83">
        <f>BDP("MCHP UW Equity","BEST_EBIT","BEST_FPERIOD_OVERRIDE","26Y")</f>
        <v/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27Y</t>
        </is>
      </c>
      <c r="E2671" t="inlineStr">
        <is>
          <t>EPS estimate FY2027</t>
        </is>
      </c>
      <c r="F2671" s="83">
        <f>BDP("MCHP UW Equity","BEST_EPS","BEST_FPERIOD_OVERRIDE","27Y")</f>
        <v/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27Y</t>
        </is>
      </c>
      <c r="E2672" t="inlineStr">
        <is>
          <t>Revenue estimate FY2027</t>
        </is>
      </c>
      <c r="F2672" s="83">
        <f>BDP("MCHP UW Equity","BEST_SALES","BEST_FPERIOD_OVERRIDE","27Y")</f>
        <v/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27Y</t>
        </is>
      </c>
      <c r="E2673" t="inlineStr">
        <is>
          <t>EBIT estimate FY2027</t>
        </is>
      </c>
      <c r="F2673" s="83">
        <f>BDP("MCHP UW Equity","BEST_EBIT","BEST_FPERIOD_OVERRIDE","27Y")</f>
        <v/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28Y</t>
        </is>
      </c>
      <c r="E2674" t="inlineStr">
        <is>
          <t>EPS estimate FY2028</t>
        </is>
      </c>
      <c r="F2674" s="83">
        <f>BDP("MCHP UW Equity","BEST_EPS","BEST_FPERIOD_OVERRIDE","28Y")</f>
        <v/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28Y</t>
        </is>
      </c>
      <c r="E2675" t="inlineStr">
        <is>
          <t>Revenue estimate FY2028</t>
        </is>
      </c>
      <c r="F2675" s="83">
        <f>BDP("MCHP UW Equity","BEST_SALES","BEST_FPERIOD_OVERRIDE","28Y")</f>
        <v/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28Y</t>
        </is>
      </c>
      <c r="E2676" t="inlineStr">
        <is>
          <t>EBIT estimate FY2028</t>
        </is>
      </c>
      <c r="F2676" s="83">
        <f>BDP("MCHP UW Equity","BEST_EBIT","BEST_FPERIOD_OVERRIDE","28Y")</f>
        <v/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E2677" t="inlineStr">
        <is>
          <t>Last price</t>
        </is>
      </c>
      <c r="F2677" s="83">
        <f>BDP("CRUS UW Equity","PX_LAST")</f>
        <v/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E2678" t="inlineStr">
        <is>
          <t>Market cap (raw)</t>
        </is>
      </c>
      <c r="F2678" s="83">
        <f>BDP("CRUS UW Equity","CUR_MKT_CAP")</f>
        <v/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E2679" t="inlineStr">
        <is>
          <t>YTD price change %</t>
        </is>
      </c>
      <c r="F2679" s="83">
        <f>BDP("CRUS UW Equity","CHG_PCT_YTD")</f>
        <v/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E2680" t="inlineStr">
        <is>
          <t>Net debt / EBITDA</t>
        </is>
      </c>
      <c r="F2680" s="83">
        <f>BDP("CRUS UW Equity","NET_DEBT_TO_EBITDA")</f>
        <v/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E2681" t="inlineStr">
        <is>
          <t>ROIC (LTM)</t>
        </is>
      </c>
      <c r="F2681" s="83">
        <f>BDP("CRUS UW Equity","RETURN_ON_INV_CAPITAL")</f>
        <v/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E2682" t="inlineStr">
        <is>
          <t>LTM operating income</t>
        </is>
      </c>
      <c r="F2682" s="83">
        <f>BDP("CRUS UW Equity","TRAIL_12M_OPER_INC")</f>
        <v/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E2683" t="inlineStr">
        <is>
          <t>LTM EBITDA</t>
        </is>
      </c>
      <c r="F2683" s="83">
        <f>BDP("CRUS UW Equity","TRAIL_12M_EBITDA")</f>
        <v/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E2684" t="inlineStr">
        <is>
          <t>Total debt</t>
        </is>
      </c>
      <c r="F2684" s="83">
        <f>BDP("CRUS UW Equity","SHORT_AND_LONG_TERM_DEBT")</f>
        <v/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E2685" t="inlineStr">
        <is>
          <t>Total equity</t>
        </is>
      </c>
      <c r="F2685" s="83">
        <f>BDP("CRUS UW Equity","TOTAL_EQUITY")</f>
        <v/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E2686" t="inlineStr">
        <is>
          <t>Cash &amp; equivalents</t>
        </is>
      </c>
      <c r="F2686" s="83">
        <f>BDP("CRUS UW Equity","BS_CASH_NEAR_CASH_ITEM")</f>
        <v/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24Y</t>
        </is>
      </c>
      <c r="E2687" t="inlineStr">
        <is>
          <t>EPS estimate FY2024</t>
        </is>
      </c>
      <c r="F2687" s="83">
        <f>BDP("CRUS UW Equity","BEST_EPS","BEST_FPERIOD_OVERRIDE","24Y")</f>
        <v/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24Y</t>
        </is>
      </c>
      <c r="E2688" t="inlineStr">
        <is>
          <t>Revenue estimate FY2024</t>
        </is>
      </c>
      <c r="F2688" s="83">
        <f>BDP("CRUS UW Equity","BEST_SALES","BEST_FPERIOD_OVERRIDE","24Y")</f>
        <v/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24Y</t>
        </is>
      </c>
      <c r="E2689" t="inlineStr">
        <is>
          <t>EBIT estimate FY2024</t>
        </is>
      </c>
      <c r="F2689" s="83">
        <f>BDP("CRUS UW Equity","BEST_EBIT","BEST_FPERIOD_OVERRIDE","24Y")</f>
        <v/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25Y</t>
        </is>
      </c>
      <c r="E2690" t="inlineStr">
        <is>
          <t>EPS estimate FY2025</t>
        </is>
      </c>
      <c r="F2690" s="83">
        <f>BDP("CRUS UW Equity","BEST_EPS","BEST_FPERIOD_OVERRIDE","25Y")</f>
        <v/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25Y</t>
        </is>
      </c>
      <c r="E2691" t="inlineStr">
        <is>
          <t>Revenue estimate FY2025</t>
        </is>
      </c>
      <c r="F2691" s="83">
        <f>BDP("CRUS UW Equity","BEST_SALES","BEST_FPERIOD_OVERRIDE","25Y")</f>
        <v/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25Y</t>
        </is>
      </c>
      <c r="E2692" t="inlineStr">
        <is>
          <t>EBIT estimate FY2025</t>
        </is>
      </c>
      <c r="F2692" s="83">
        <f>BDP("CRUS UW Equity","BEST_EBIT","BEST_FPERIOD_OVERRIDE","25Y")</f>
        <v/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26Y</t>
        </is>
      </c>
      <c r="E2693" t="inlineStr">
        <is>
          <t>EPS estimate FY2026</t>
        </is>
      </c>
      <c r="F2693" s="83">
        <f>BDP("CRUS UW Equity","BEST_EPS","BEST_FPERIOD_OVERRIDE","26Y")</f>
        <v/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26Y</t>
        </is>
      </c>
      <c r="E2694" t="inlineStr">
        <is>
          <t>Revenue estimate FY2026</t>
        </is>
      </c>
      <c r="F2694" s="83">
        <f>BDP("CRUS UW Equity","BEST_SALES","BEST_FPERIOD_OVERRIDE","26Y")</f>
        <v/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26Y</t>
        </is>
      </c>
      <c r="E2695" t="inlineStr">
        <is>
          <t>EBIT estimate FY2026</t>
        </is>
      </c>
      <c r="F2695" s="83">
        <f>BDP("CRUS UW Equity","BEST_EBIT","BEST_FPERIOD_OVERRIDE","26Y")</f>
        <v/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27Y</t>
        </is>
      </c>
      <c r="E2696" t="inlineStr">
        <is>
          <t>EPS estimate FY2027</t>
        </is>
      </c>
      <c r="F2696" s="83">
        <f>BDP("CRUS UW Equity","BEST_EPS","BEST_FPERIOD_OVERRIDE","27Y")</f>
        <v/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27Y</t>
        </is>
      </c>
      <c r="E2697" t="inlineStr">
        <is>
          <t>Revenue estimate FY2027</t>
        </is>
      </c>
      <c r="F2697" s="83">
        <f>BDP("CRUS UW Equity","BEST_SALES","BEST_FPERIOD_OVERRIDE","27Y")</f>
        <v/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27Y</t>
        </is>
      </c>
      <c r="E2698" t="inlineStr">
        <is>
          <t>EBIT estimate FY2027</t>
        </is>
      </c>
      <c r="F2698" s="83">
        <f>BDP("CRUS UW Equity","BEST_EBIT","BEST_FPERIOD_OVERRIDE","27Y")</f>
        <v/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28Y</t>
        </is>
      </c>
      <c r="E2699" t="inlineStr">
        <is>
          <t>EPS estimate FY2028</t>
        </is>
      </c>
      <c r="F2699" s="83">
        <f>BDP("CRUS UW Equity","BEST_EPS","BEST_FPERIOD_OVERRIDE","28Y")</f>
        <v/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28Y</t>
        </is>
      </c>
      <c r="E2700" t="inlineStr">
        <is>
          <t>Revenue estimate FY2028</t>
        </is>
      </c>
      <c r="F2700" s="83">
        <f>BDP("CRUS UW Equity","BEST_SALES","BEST_FPERIOD_OVERRIDE","28Y")</f>
        <v/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28Y</t>
        </is>
      </c>
      <c r="E2701" t="inlineStr">
        <is>
          <t>EBIT estimate FY2028</t>
        </is>
      </c>
      <c r="F2701" s="83">
        <f>BDP("CRUS UW Equity","BEST_EBIT","BEST_FPERIOD_OVERRIDE","28Y")</f>
        <v/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E2702" t="inlineStr">
        <is>
          <t>Last price</t>
        </is>
      </c>
      <c r="F2702" s="83">
        <f>BDP("AMKR UW Equity","PX_LAST")</f>
        <v/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E2703" t="inlineStr">
        <is>
          <t>Market cap (raw)</t>
        </is>
      </c>
      <c r="F2703" s="83">
        <f>BDP("AMKR UW Equity","CUR_MKT_CAP")</f>
        <v/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E2704" t="inlineStr">
        <is>
          <t>YTD price change %</t>
        </is>
      </c>
      <c r="F2704" s="83">
        <f>BDP("AMKR UW Equity","CHG_PCT_YTD")</f>
        <v/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E2705" t="inlineStr">
        <is>
          <t>Net debt / EBITDA</t>
        </is>
      </c>
      <c r="F2705" s="83">
        <f>BDP("AMKR UW Equity","NET_DEBT_TO_EBITDA")</f>
        <v/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E2706" t="inlineStr">
        <is>
          <t>ROIC (LTM)</t>
        </is>
      </c>
      <c r="F2706" s="83">
        <f>BDP("AMKR UW Equity","RETURN_ON_INV_CAPITAL")</f>
        <v/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E2707" t="inlineStr">
        <is>
          <t>LTM operating income</t>
        </is>
      </c>
      <c r="F2707" s="83">
        <f>BDP("AMKR UW Equity","TRAIL_12M_OPER_INC")</f>
        <v/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E2708" t="inlineStr">
        <is>
          <t>LTM EBITDA</t>
        </is>
      </c>
      <c r="F2708" s="83">
        <f>BDP("AMKR UW Equity","TRAIL_12M_EBITDA")</f>
        <v/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E2709" t="inlineStr">
        <is>
          <t>Total debt</t>
        </is>
      </c>
      <c r="F2709" s="83">
        <f>BDP("AMKR UW Equity","SHORT_AND_LONG_TERM_DEBT")</f>
        <v/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E2710" t="inlineStr">
        <is>
          <t>Total equity</t>
        </is>
      </c>
      <c r="F2710" s="83">
        <f>BDP("AMKR UW Equity","TOTAL_EQUITY")</f>
        <v/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E2711" t="inlineStr">
        <is>
          <t>Cash &amp; equivalents</t>
        </is>
      </c>
      <c r="F2711" s="83">
        <f>BDP("AMKR UW Equity","BS_CASH_NEAR_CASH_ITEM")</f>
        <v/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24Y</t>
        </is>
      </c>
      <c r="E2712" t="inlineStr">
        <is>
          <t>EPS estimate FY2024</t>
        </is>
      </c>
      <c r="F2712" s="83">
        <f>BDP("AMKR UW Equity","BEST_EPS","BEST_FPERIOD_OVERRIDE","24Y")</f>
        <v/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24Y</t>
        </is>
      </c>
      <c r="E2713" t="inlineStr">
        <is>
          <t>Revenue estimate FY2024</t>
        </is>
      </c>
      <c r="F2713" s="83">
        <f>BDP("AMKR UW Equity","BEST_SALES","BEST_FPERIOD_OVERRIDE","24Y")</f>
        <v/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24Y</t>
        </is>
      </c>
      <c r="E2714" t="inlineStr">
        <is>
          <t>EBIT estimate FY2024</t>
        </is>
      </c>
      <c r="F2714" s="83">
        <f>BDP("AMKR UW Equity","BEST_EBIT","BEST_FPERIOD_OVERRIDE","24Y")</f>
        <v/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25Y</t>
        </is>
      </c>
      <c r="E2715" t="inlineStr">
        <is>
          <t>EPS estimate FY2025</t>
        </is>
      </c>
      <c r="F2715" s="83">
        <f>BDP("AMKR UW Equity","BEST_EPS","BEST_FPERIOD_OVERRIDE","25Y")</f>
        <v/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25Y</t>
        </is>
      </c>
      <c r="E2716" t="inlineStr">
        <is>
          <t>Revenue estimate FY2025</t>
        </is>
      </c>
      <c r="F2716" s="83">
        <f>BDP("AMKR UW Equity","BEST_SALES","BEST_FPERIOD_OVERRIDE","25Y")</f>
        <v/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25Y</t>
        </is>
      </c>
      <c r="E2717" t="inlineStr">
        <is>
          <t>EBIT estimate FY2025</t>
        </is>
      </c>
      <c r="F2717" s="83">
        <f>BDP("AMKR UW Equity","BEST_EBIT","BEST_FPERIOD_OVERRIDE","25Y")</f>
        <v/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26Y</t>
        </is>
      </c>
      <c r="E2718" t="inlineStr">
        <is>
          <t>EPS estimate FY2026</t>
        </is>
      </c>
      <c r="F2718" s="83">
        <f>BDP("AMKR UW Equity","BEST_EPS","BEST_FPERIOD_OVERRIDE","26Y")</f>
        <v/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26Y</t>
        </is>
      </c>
      <c r="E2719" t="inlineStr">
        <is>
          <t>Revenue estimate FY2026</t>
        </is>
      </c>
      <c r="F2719" s="83">
        <f>BDP("AMKR UW Equity","BEST_SALES","BEST_FPERIOD_OVERRIDE","26Y")</f>
        <v/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26Y</t>
        </is>
      </c>
      <c r="E2720" t="inlineStr">
        <is>
          <t>EBIT estimate FY2026</t>
        </is>
      </c>
      <c r="F2720" s="83">
        <f>BDP("AMKR UW Equity","BEST_EBIT","BEST_FPERIOD_OVERRIDE","26Y")</f>
        <v/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27Y</t>
        </is>
      </c>
      <c r="E2721" t="inlineStr">
        <is>
          <t>EPS estimate FY2027</t>
        </is>
      </c>
      <c r="F2721" s="83">
        <f>BDP("AMKR UW Equity","BEST_EPS","BEST_FPERIOD_OVERRIDE","27Y")</f>
        <v/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27Y</t>
        </is>
      </c>
      <c r="E2722" t="inlineStr">
        <is>
          <t>Revenue estimate FY2027</t>
        </is>
      </c>
      <c r="F2722" s="83">
        <f>BDP("AMKR UW Equity","BEST_SALES","BEST_FPERIOD_OVERRIDE","27Y")</f>
        <v/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27Y</t>
        </is>
      </c>
      <c r="E2723" t="inlineStr">
        <is>
          <t>EBIT estimate FY2027</t>
        </is>
      </c>
      <c r="F2723" s="83">
        <f>BDP("AMKR UW Equity","BEST_EBIT","BEST_FPERIOD_OVERRIDE","27Y")</f>
        <v/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28Y</t>
        </is>
      </c>
      <c r="E2724" t="inlineStr">
        <is>
          <t>EPS estimate FY2028</t>
        </is>
      </c>
      <c r="F2724" s="83">
        <f>BDP("AMKR UW Equity","BEST_EPS","BEST_FPERIOD_OVERRIDE","28Y")</f>
        <v/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28Y</t>
        </is>
      </c>
      <c r="E2725" t="inlineStr">
        <is>
          <t>Revenue estimate FY2028</t>
        </is>
      </c>
      <c r="F2725" s="83">
        <f>BDP("AMKR UW Equity","BEST_SALES","BEST_FPERIOD_OVERRIDE","28Y")</f>
        <v/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28Y</t>
        </is>
      </c>
      <c r="E2726" t="inlineStr">
        <is>
          <t>EBIT estimate FY2028</t>
        </is>
      </c>
      <c r="F2726" s="83">
        <f>BDP("AMKR UW Equity","BEST_EBIT","BEST_FPERIOD_OVERRIDE","28Y")</f>
        <v/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E2727" t="inlineStr">
        <is>
          <t>Last price</t>
        </is>
      </c>
      <c r="F2727" s="83">
        <f>BDP("TER UW Equity","PX_LAST")</f>
        <v/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E2728" t="inlineStr">
        <is>
          <t>Market cap (raw)</t>
        </is>
      </c>
      <c r="F2728" s="83">
        <f>BDP("TER UW Equity","CUR_MKT_CAP")</f>
        <v/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E2729" t="inlineStr">
        <is>
          <t>YTD price change %</t>
        </is>
      </c>
      <c r="F2729" s="83">
        <f>BDP("TER UW Equity","CHG_PCT_YTD")</f>
        <v/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E2730" t="inlineStr">
        <is>
          <t>Net debt / EBITDA</t>
        </is>
      </c>
      <c r="F2730" s="83">
        <f>BDP("TER UW Equity","NET_DEBT_TO_EBITDA")</f>
        <v/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E2731" t="inlineStr">
        <is>
          <t>ROIC (LTM)</t>
        </is>
      </c>
      <c r="F2731" s="83">
        <f>BDP("TER UW Equity","RETURN_ON_INV_CAPITAL")</f>
        <v/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E2732" t="inlineStr">
        <is>
          <t>LTM operating income</t>
        </is>
      </c>
      <c r="F2732" s="83">
        <f>BDP("TER UW Equity","TRAIL_12M_OPER_INC")</f>
        <v/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E2733" t="inlineStr">
        <is>
          <t>LTM EBITDA</t>
        </is>
      </c>
      <c r="F2733" s="83">
        <f>BDP("TER UW Equity","TRAIL_12M_EBITDA")</f>
        <v/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E2734" t="inlineStr">
        <is>
          <t>Total debt</t>
        </is>
      </c>
      <c r="F2734" s="83">
        <f>BDP("TER UW Equity","SHORT_AND_LONG_TERM_DEBT")</f>
        <v/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E2735" t="inlineStr">
        <is>
          <t>Total equity</t>
        </is>
      </c>
      <c r="F2735" s="83">
        <f>BDP("TER UW Equity","TOTAL_EQUITY")</f>
        <v/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E2736" t="inlineStr">
        <is>
          <t>Cash &amp; equivalents</t>
        </is>
      </c>
      <c r="F2736" s="83">
        <f>BDP("TER UW Equity","BS_CASH_NEAR_CASH_ITEM")</f>
        <v/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24Y</t>
        </is>
      </c>
      <c r="E2737" t="inlineStr">
        <is>
          <t>EPS estimate FY2024</t>
        </is>
      </c>
      <c r="F2737" s="83">
        <f>BDP("TER UW Equity","BEST_EPS","BEST_FPERIOD_OVERRIDE","24Y")</f>
        <v/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24Y</t>
        </is>
      </c>
      <c r="E2738" t="inlineStr">
        <is>
          <t>Revenue estimate FY2024</t>
        </is>
      </c>
      <c r="F2738" s="83">
        <f>BDP("TER UW Equity","BEST_SALES","BEST_FPERIOD_OVERRIDE","24Y")</f>
        <v/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24Y</t>
        </is>
      </c>
      <c r="E2739" t="inlineStr">
        <is>
          <t>EBIT estimate FY2024</t>
        </is>
      </c>
      <c r="F2739" s="83">
        <f>BDP("TER UW Equity","BEST_EBIT","BEST_FPERIOD_OVERRIDE","24Y")</f>
        <v/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25Y</t>
        </is>
      </c>
      <c r="E2740" t="inlineStr">
        <is>
          <t>EPS estimate FY2025</t>
        </is>
      </c>
      <c r="F2740" s="83">
        <f>BDP("TER UW Equity","BEST_EPS","BEST_FPERIOD_OVERRIDE","25Y")</f>
        <v/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25Y</t>
        </is>
      </c>
      <c r="E2741" t="inlineStr">
        <is>
          <t>Revenue estimate FY2025</t>
        </is>
      </c>
      <c r="F2741" s="83">
        <f>BDP("TER UW Equity","BEST_SALES","BEST_FPERIOD_OVERRIDE","25Y")</f>
        <v/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25Y</t>
        </is>
      </c>
      <c r="E2742" t="inlineStr">
        <is>
          <t>EBIT estimate FY2025</t>
        </is>
      </c>
      <c r="F2742" s="83">
        <f>BDP("TER UW Equity","BEST_EBIT","BEST_FPERIOD_OVERRIDE","25Y")</f>
        <v/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26Y</t>
        </is>
      </c>
      <c r="E2743" t="inlineStr">
        <is>
          <t>EPS estimate FY2026</t>
        </is>
      </c>
      <c r="F2743" s="83">
        <f>BDP("TER UW Equity","BEST_EPS","BEST_FPERIOD_OVERRIDE","26Y")</f>
        <v/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26Y</t>
        </is>
      </c>
      <c r="E2744" t="inlineStr">
        <is>
          <t>Revenue estimate FY2026</t>
        </is>
      </c>
      <c r="F2744" s="83">
        <f>BDP("TER UW Equity","BEST_SALES","BEST_FPERIOD_OVERRIDE","26Y")</f>
        <v/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26Y</t>
        </is>
      </c>
      <c r="E2745" t="inlineStr">
        <is>
          <t>EBIT estimate FY2026</t>
        </is>
      </c>
      <c r="F2745" s="83">
        <f>BDP("TER UW Equity","BEST_EBIT","BEST_FPERIOD_OVERRIDE","26Y")</f>
        <v/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27Y</t>
        </is>
      </c>
      <c r="E2746" t="inlineStr">
        <is>
          <t>EPS estimate FY2027</t>
        </is>
      </c>
      <c r="F2746" s="83">
        <f>BDP("TER UW Equity","BEST_EPS","BEST_FPERIOD_OVERRIDE","27Y")</f>
        <v/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27Y</t>
        </is>
      </c>
      <c r="E2747" t="inlineStr">
        <is>
          <t>Revenue estimate FY2027</t>
        </is>
      </c>
      <c r="F2747" s="83">
        <f>BDP("TER UW Equity","BEST_SALES","BEST_FPERIOD_OVERRIDE","27Y")</f>
        <v/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27Y</t>
        </is>
      </c>
      <c r="E2748" t="inlineStr">
        <is>
          <t>EBIT estimate FY2027</t>
        </is>
      </c>
      <c r="F2748" s="83">
        <f>BDP("TER UW Equity","BEST_EBIT","BEST_FPERIOD_OVERRIDE","27Y")</f>
        <v/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28Y</t>
        </is>
      </c>
      <c r="E2749" t="inlineStr">
        <is>
          <t>EPS estimate FY2028</t>
        </is>
      </c>
      <c r="F2749" s="83">
        <f>BDP("TER UW Equity","BEST_EPS","BEST_FPERIOD_OVERRIDE","28Y")</f>
        <v/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28Y</t>
        </is>
      </c>
      <c r="E2750" t="inlineStr">
        <is>
          <t>Revenue estimate FY2028</t>
        </is>
      </c>
      <c r="F2750" s="83">
        <f>BDP("TER UW Equity","BEST_SALES","BEST_FPERIOD_OVERRIDE","28Y")</f>
        <v/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28Y</t>
        </is>
      </c>
      <c r="E2751" t="inlineStr">
        <is>
          <t>EBIT estimate FY2028</t>
        </is>
      </c>
      <c r="F2751" s="83">
        <f>BDP("TER UW Equity","BEST_EBIT","BEST_FPERIOD_OVERRIDE","28Y")</f>
        <v/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E2752" t="inlineStr">
        <is>
          <t>Last price</t>
        </is>
      </c>
      <c r="F2752" s="83">
        <f>BDP("AEHR US Equity","PX_LAST")</f>
        <v/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E2753" t="inlineStr">
        <is>
          <t>Market cap (raw)</t>
        </is>
      </c>
      <c r="F2753" s="83">
        <f>BDP("AEHR US Equity","CUR_MKT_CAP")</f>
        <v/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E2754" t="inlineStr">
        <is>
          <t>YTD price change %</t>
        </is>
      </c>
      <c r="F2754" s="83">
        <f>BDP("AEHR US Equity","CHG_PCT_YTD")</f>
        <v/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E2755" t="inlineStr">
        <is>
          <t>Net debt / EBITDA</t>
        </is>
      </c>
      <c r="F2755" s="83">
        <f>BDP("AEHR US Equity","NET_DEBT_TO_EBITDA")</f>
        <v/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E2756" t="inlineStr">
        <is>
          <t>ROIC (LTM)</t>
        </is>
      </c>
      <c r="F2756" s="83">
        <f>BDP("AEHR US Equity","RETURN_ON_INV_CAPITAL")</f>
        <v/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E2757" t="inlineStr">
        <is>
          <t>LTM operating income</t>
        </is>
      </c>
      <c r="F2757" s="83">
        <f>BDP("AEHR US Equity","TRAIL_12M_OPER_INC")</f>
        <v/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E2758" t="inlineStr">
        <is>
          <t>LTM EBITDA</t>
        </is>
      </c>
      <c r="F2758" s="83">
        <f>BDP("AEHR US Equity","TRAIL_12M_EBITDA")</f>
        <v/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E2759" t="inlineStr">
        <is>
          <t>Total debt</t>
        </is>
      </c>
      <c r="F2759" s="83">
        <f>BDP("AEHR US Equity","SHORT_AND_LONG_TERM_DEBT")</f>
        <v/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E2760" t="inlineStr">
        <is>
          <t>Total equity</t>
        </is>
      </c>
      <c r="F2760" s="83">
        <f>BDP("AEHR US Equity","TOTAL_EQUITY")</f>
        <v/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E2761" t="inlineStr">
        <is>
          <t>Cash &amp; equivalents</t>
        </is>
      </c>
      <c r="F2761" s="83">
        <f>BDP("AEHR US Equity","BS_CASH_NEAR_CASH_ITEM")</f>
        <v/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24Y</t>
        </is>
      </c>
      <c r="E2762" t="inlineStr">
        <is>
          <t>EPS estimate FY2024</t>
        </is>
      </c>
      <c r="F2762" s="83">
        <f>BDP("AEHR US Equity","BEST_EPS","BEST_FPERIOD_OVERRIDE","24Y")</f>
        <v/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24Y</t>
        </is>
      </c>
      <c r="E2763" t="inlineStr">
        <is>
          <t>Revenue estimate FY2024</t>
        </is>
      </c>
      <c r="F2763" s="83">
        <f>BDP("AEHR US Equity","BEST_SALES","BEST_FPERIOD_OVERRIDE","24Y")</f>
        <v/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24Y</t>
        </is>
      </c>
      <c r="E2764" t="inlineStr">
        <is>
          <t>EBIT estimate FY2024</t>
        </is>
      </c>
      <c r="F2764" s="83">
        <f>BDP("AEHR US Equity","BEST_EBIT","BEST_FPERIOD_OVERRIDE","24Y")</f>
        <v/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25Y</t>
        </is>
      </c>
      <c r="E2765" t="inlineStr">
        <is>
          <t>EPS estimate FY2025</t>
        </is>
      </c>
      <c r="F2765" s="83">
        <f>BDP("AEHR US Equity","BEST_EPS","BEST_FPERIOD_OVERRIDE","25Y")</f>
        <v/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25Y</t>
        </is>
      </c>
      <c r="E2766" t="inlineStr">
        <is>
          <t>Revenue estimate FY2025</t>
        </is>
      </c>
      <c r="F2766" s="83">
        <f>BDP("AEHR US Equity","BEST_SALES","BEST_FPERIOD_OVERRIDE","25Y")</f>
        <v/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25Y</t>
        </is>
      </c>
      <c r="E2767" t="inlineStr">
        <is>
          <t>EBIT estimate FY2025</t>
        </is>
      </c>
      <c r="F2767" s="83">
        <f>BDP("AEHR US Equity","BEST_EBIT","BEST_FPERIOD_OVERRIDE","25Y")</f>
        <v/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26Y</t>
        </is>
      </c>
      <c r="E2768" t="inlineStr">
        <is>
          <t>EPS estimate FY2026</t>
        </is>
      </c>
      <c r="F2768" s="83">
        <f>BDP("AEHR US Equity","BEST_EPS","BEST_FPERIOD_OVERRIDE","26Y")</f>
        <v/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26Y</t>
        </is>
      </c>
      <c r="E2769" t="inlineStr">
        <is>
          <t>Revenue estimate FY2026</t>
        </is>
      </c>
      <c r="F2769" s="83">
        <f>BDP("AEHR US Equity","BEST_SALES","BEST_FPERIOD_OVERRIDE","26Y")</f>
        <v/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26Y</t>
        </is>
      </c>
      <c r="E2770" t="inlineStr">
        <is>
          <t>EBIT estimate FY2026</t>
        </is>
      </c>
      <c r="F2770" s="83">
        <f>BDP("AEHR US Equity","BEST_EBIT","BEST_FPERIOD_OVERRIDE","26Y")</f>
        <v/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27Y</t>
        </is>
      </c>
      <c r="E2771" t="inlineStr">
        <is>
          <t>EPS estimate FY2027</t>
        </is>
      </c>
      <c r="F2771" s="83">
        <f>BDP("AEHR US Equity","BEST_EPS","BEST_FPERIOD_OVERRIDE","27Y")</f>
        <v/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27Y</t>
        </is>
      </c>
      <c r="E2772" t="inlineStr">
        <is>
          <t>Revenue estimate FY2027</t>
        </is>
      </c>
      <c r="F2772" s="83">
        <f>BDP("AEHR US Equity","BEST_SALES","BEST_FPERIOD_OVERRIDE","27Y")</f>
        <v/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27Y</t>
        </is>
      </c>
      <c r="E2773" t="inlineStr">
        <is>
          <t>EBIT estimate FY2027</t>
        </is>
      </c>
      <c r="F2773" s="83">
        <f>BDP("AEHR US Equity","BEST_EBIT","BEST_FPERIOD_OVERRIDE","27Y")</f>
        <v/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28Y</t>
        </is>
      </c>
      <c r="E2774" t="inlineStr">
        <is>
          <t>EPS estimate FY2028</t>
        </is>
      </c>
      <c r="F2774" s="83">
        <f>BDP("AEHR US Equity","BEST_EPS","BEST_FPERIOD_OVERRIDE","28Y")</f>
        <v/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28Y</t>
        </is>
      </c>
      <c r="E2775" t="inlineStr">
        <is>
          <t>Revenue estimate FY2028</t>
        </is>
      </c>
      <c r="F2775" s="83">
        <f>BDP("AEHR US Equity","BEST_SALES","BEST_FPERIOD_OVERRIDE","28Y")</f>
        <v/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28Y</t>
        </is>
      </c>
      <c r="E2776" t="inlineStr">
        <is>
          <t>EBIT estimate FY2028</t>
        </is>
      </c>
      <c r="F2776" s="83">
        <f>BDP("AEHR US Equity","BEST_EBIT","BEST_FPERIOD_OVERRIDE","28Y")</f>
        <v/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E2777" t="inlineStr">
        <is>
          <t>Last price</t>
        </is>
      </c>
      <c r="F2777" s="83">
        <f>BDP("VRT US Equity","PX_LAST")</f>
        <v/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E2778" t="inlineStr">
        <is>
          <t>Market cap (raw)</t>
        </is>
      </c>
      <c r="F2778" s="83">
        <f>BDP("VRT US Equity","CUR_MKT_CAP")</f>
        <v/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E2779" t="inlineStr">
        <is>
          <t>YTD price change %</t>
        </is>
      </c>
      <c r="F2779" s="83">
        <f>BDP("VRT US Equity","CHG_PCT_YTD")</f>
        <v/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E2780" t="inlineStr">
        <is>
          <t>Net debt / EBITDA</t>
        </is>
      </c>
      <c r="F2780" s="83">
        <f>BDP("VRT US Equity","NET_DEBT_TO_EBITDA")</f>
        <v/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E2781" t="inlineStr">
        <is>
          <t>ROIC (LTM)</t>
        </is>
      </c>
      <c r="F2781" s="83">
        <f>BDP("VRT US Equity","RETURN_ON_INV_CAPITAL")</f>
        <v/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E2782" t="inlineStr">
        <is>
          <t>LTM operating income</t>
        </is>
      </c>
      <c r="F2782" s="83">
        <f>BDP("VRT US Equity","TRAIL_12M_OPER_INC")</f>
        <v/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E2783" t="inlineStr">
        <is>
          <t>LTM EBITDA</t>
        </is>
      </c>
      <c r="F2783" s="83">
        <f>BDP("VRT US Equity","TRAIL_12M_EBITDA")</f>
        <v/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E2784" t="inlineStr">
        <is>
          <t>Total debt</t>
        </is>
      </c>
      <c r="F2784" s="83">
        <f>BDP("VRT US Equity","SHORT_AND_LONG_TERM_DEBT")</f>
        <v/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E2785" t="inlineStr">
        <is>
          <t>Total equity</t>
        </is>
      </c>
      <c r="F2785" s="83">
        <f>BDP("VRT US Equity","TOTAL_EQUITY")</f>
        <v/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E2786" t="inlineStr">
        <is>
          <t>Cash &amp; equivalents</t>
        </is>
      </c>
      <c r="F2786" s="83">
        <f>BDP("VRT US Equity","BS_CASH_NEAR_CASH_ITEM")</f>
        <v/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24Y</t>
        </is>
      </c>
      <c r="E2787" t="inlineStr">
        <is>
          <t>EPS estimate FY2024</t>
        </is>
      </c>
      <c r="F2787" s="83">
        <f>BDP("VRT US Equity","BEST_EPS","BEST_FPERIOD_OVERRIDE","24Y")</f>
        <v/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24Y</t>
        </is>
      </c>
      <c r="E2788" t="inlineStr">
        <is>
          <t>Revenue estimate FY2024</t>
        </is>
      </c>
      <c r="F2788" s="83">
        <f>BDP("VRT US Equity","BEST_SALES","BEST_FPERIOD_OVERRIDE","24Y")</f>
        <v/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24Y</t>
        </is>
      </c>
      <c r="E2789" t="inlineStr">
        <is>
          <t>EBIT estimate FY2024</t>
        </is>
      </c>
      <c r="F2789" s="83">
        <f>BDP("VRT US Equity","BEST_EBIT","BEST_FPERIOD_OVERRIDE","24Y")</f>
        <v/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25Y</t>
        </is>
      </c>
      <c r="E2790" t="inlineStr">
        <is>
          <t>EPS estimate FY2025</t>
        </is>
      </c>
      <c r="F2790" s="83">
        <f>BDP("VRT US Equity","BEST_EPS","BEST_FPERIOD_OVERRIDE","25Y")</f>
        <v/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25Y</t>
        </is>
      </c>
      <c r="E2791" t="inlineStr">
        <is>
          <t>Revenue estimate FY2025</t>
        </is>
      </c>
      <c r="F2791" s="83">
        <f>BDP("VRT US Equity","BEST_SALES","BEST_FPERIOD_OVERRIDE","25Y")</f>
        <v/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25Y</t>
        </is>
      </c>
      <c r="E2792" t="inlineStr">
        <is>
          <t>EBIT estimate FY2025</t>
        </is>
      </c>
      <c r="F2792" s="83">
        <f>BDP("VRT US Equity","BEST_EBIT","BEST_FPERIOD_OVERRIDE","25Y")</f>
        <v/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26Y</t>
        </is>
      </c>
      <c r="E2793" t="inlineStr">
        <is>
          <t>EPS estimate FY2026</t>
        </is>
      </c>
      <c r="F2793" s="83">
        <f>BDP("VRT US Equity","BEST_EPS","BEST_FPERIOD_OVERRIDE","26Y")</f>
        <v/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26Y</t>
        </is>
      </c>
      <c r="E2794" t="inlineStr">
        <is>
          <t>Revenue estimate FY2026</t>
        </is>
      </c>
      <c r="F2794" s="83">
        <f>BDP("VRT US Equity","BEST_SALES","BEST_FPERIOD_OVERRIDE","26Y")</f>
        <v/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26Y</t>
        </is>
      </c>
      <c r="E2795" t="inlineStr">
        <is>
          <t>EBIT estimate FY2026</t>
        </is>
      </c>
      <c r="F2795" s="83">
        <f>BDP("VRT US Equity","BEST_EBIT","BEST_FPERIOD_OVERRIDE","26Y")</f>
        <v/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27Y</t>
        </is>
      </c>
      <c r="E2796" t="inlineStr">
        <is>
          <t>EPS estimate FY2027</t>
        </is>
      </c>
      <c r="F2796" s="83">
        <f>BDP("VRT US Equity","BEST_EPS","BEST_FPERIOD_OVERRIDE","27Y")</f>
        <v/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27Y</t>
        </is>
      </c>
      <c r="E2797" t="inlineStr">
        <is>
          <t>Revenue estimate FY2027</t>
        </is>
      </c>
      <c r="F2797" s="83">
        <f>BDP("VRT US Equity","BEST_SALES","BEST_FPERIOD_OVERRIDE","27Y")</f>
        <v/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27Y</t>
        </is>
      </c>
      <c r="E2798" t="inlineStr">
        <is>
          <t>EBIT estimate FY2027</t>
        </is>
      </c>
      <c r="F2798" s="83">
        <f>BDP("VRT US Equity","BEST_EBIT","BEST_FPERIOD_OVERRIDE","27Y")</f>
        <v/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28Y</t>
        </is>
      </c>
      <c r="E2799" t="inlineStr">
        <is>
          <t>EPS estimate FY2028</t>
        </is>
      </c>
      <c r="F2799" s="83">
        <f>BDP("VRT US Equity","BEST_EPS","BEST_FPERIOD_OVERRIDE","28Y")</f>
        <v/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28Y</t>
        </is>
      </c>
      <c r="E2800" t="inlineStr">
        <is>
          <t>Revenue estimate FY2028</t>
        </is>
      </c>
      <c r="F2800" s="83">
        <f>BDP("VRT US Equity","BEST_SALES","BEST_FPERIOD_OVERRIDE","28Y")</f>
        <v/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28Y</t>
        </is>
      </c>
      <c r="E2801" t="inlineStr">
        <is>
          <t>EBIT estimate FY2028</t>
        </is>
      </c>
      <c r="F2801" s="83">
        <f>BDP("VRT US Equity","BEST_EBIT","BEST_FPERIOD_OVERRIDE","28Y")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2026-04-06T01:42:14Z</dcterms:modified>
  <cp:lastModifiedBy>Adrian Ow</cp:lastModifiedBy>
</cp:coreProperties>
</file>